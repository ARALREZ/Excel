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tomas\Desktop\Maturki Eksel\EKSEL ROZSZERZENIE\eksel pr 2010\"/>
    </mc:Choice>
  </mc:AlternateContent>
  <xr:revisionPtr revIDLastSave="0" documentId="13_ncr:1_{1595B806-C3E3-4584-9264-582A4A84B67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ODP_A" sheetId="2" r:id="rId1"/>
    <sheet name="ODP_B" sheetId="3" r:id="rId2"/>
    <sheet name="ODP_C" sheetId="4" r:id="rId3"/>
    <sheet name="ODP_C1" sheetId="5" r:id="rId4"/>
    <sheet name="ODP_D" sheetId="10" r:id="rId5"/>
    <sheet name="ODP_E" sheetId="8" r:id="rId6"/>
  </sheets>
  <definedNames>
    <definedName name="ExternalData_1" localSheetId="0" hidden="1">ODP_A!$A$1:$A$151</definedName>
    <definedName name="ExternalData_1" localSheetId="1" hidden="1">ODP_B!$A$1:$A$151</definedName>
    <definedName name="ExternalData_1" localSheetId="2" hidden="1">ODP_C!$A$1:$A$151</definedName>
    <definedName name="ExternalData_1" localSheetId="4" hidden="1">ODP_D!$A$1:$K$151</definedName>
    <definedName name="ExternalData_1" localSheetId="5" hidden="1">ODP_E!$A$1:$A$151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2" i="8"/>
  <c r="J6" i="8"/>
  <c r="J5" i="8"/>
  <c r="J4" i="8"/>
  <c r="J3" i="8"/>
  <c r="J2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M4" i="10"/>
  <c r="M5" i="10"/>
  <c r="M6" i="10"/>
  <c r="M7" i="10"/>
  <c r="M8" i="10"/>
  <c r="N8" i="10" s="1"/>
  <c r="M9" i="10"/>
  <c r="M10" i="10"/>
  <c r="M11" i="10"/>
  <c r="M12" i="10"/>
  <c r="M13" i="10"/>
  <c r="M14" i="10"/>
  <c r="N14" i="10" s="1"/>
  <c r="M15" i="10"/>
  <c r="N15" i="10" s="1"/>
  <c r="M16" i="10"/>
  <c r="M17" i="10"/>
  <c r="M18" i="10"/>
  <c r="M19" i="10"/>
  <c r="M20" i="10"/>
  <c r="M21" i="10"/>
  <c r="M22" i="10"/>
  <c r="N22" i="10" s="1"/>
  <c r="M23" i="10"/>
  <c r="N23" i="10" s="1"/>
  <c r="M24" i="10"/>
  <c r="N24" i="10" s="1"/>
  <c r="M25" i="10"/>
  <c r="N25" i="10" s="1"/>
  <c r="M26" i="10"/>
  <c r="N26" i="10" s="1"/>
  <c r="M27" i="10"/>
  <c r="N27" i="10" s="1"/>
  <c r="M28" i="10"/>
  <c r="M29" i="10"/>
  <c r="N29" i="10" s="1"/>
  <c r="M30" i="10"/>
  <c r="M31" i="10"/>
  <c r="M32" i="10"/>
  <c r="N32" i="10" s="1"/>
  <c r="M33" i="10"/>
  <c r="N33" i="10" s="1"/>
  <c r="M34" i="10"/>
  <c r="N34" i="10" s="1"/>
  <c r="M35" i="10"/>
  <c r="N35" i="10" s="1"/>
  <c r="M36" i="10"/>
  <c r="N36" i="10" s="1"/>
  <c r="M37" i="10"/>
  <c r="N37" i="10" s="1"/>
  <c r="M38" i="10"/>
  <c r="N38" i="10" s="1"/>
  <c r="M39" i="10"/>
  <c r="N39" i="10" s="1"/>
  <c r="M40" i="10"/>
  <c r="M41" i="10"/>
  <c r="M42" i="10"/>
  <c r="M43" i="10"/>
  <c r="M44" i="10"/>
  <c r="M45" i="10"/>
  <c r="M46" i="10"/>
  <c r="M47" i="10"/>
  <c r="N47" i="10" s="1"/>
  <c r="M48" i="10"/>
  <c r="N48" i="10" s="1"/>
  <c r="M49" i="10"/>
  <c r="N49" i="10" s="1"/>
  <c r="M50" i="10"/>
  <c r="N50" i="10" s="1"/>
  <c r="M51" i="10"/>
  <c r="N51" i="10" s="1"/>
  <c r="M52" i="10"/>
  <c r="M53" i="10"/>
  <c r="M54" i="10"/>
  <c r="M55" i="10"/>
  <c r="M56" i="10"/>
  <c r="N56" i="10" s="1"/>
  <c r="M57" i="10"/>
  <c r="N57" i="10" s="1"/>
  <c r="M58" i="10"/>
  <c r="N58" i="10" s="1"/>
  <c r="M59" i="10"/>
  <c r="N59" i="10" s="1"/>
  <c r="M60" i="10"/>
  <c r="N60" i="10" s="1"/>
  <c r="M61" i="10"/>
  <c r="N61" i="10" s="1"/>
  <c r="M62" i="10"/>
  <c r="N62" i="10" s="1"/>
  <c r="M63" i="10"/>
  <c r="N63" i="10" s="1"/>
  <c r="M64" i="10"/>
  <c r="M65" i="10"/>
  <c r="N65" i="10" s="1"/>
  <c r="M66" i="10"/>
  <c r="M67" i="10"/>
  <c r="M68" i="10"/>
  <c r="M69" i="10"/>
  <c r="M70" i="10"/>
  <c r="M71" i="10"/>
  <c r="M72" i="10"/>
  <c r="N72" i="10" s="1"/>
  <c r="M73" i="10"/>
  <c r="N73" i="10" s="1"/>
  <c r="M74" i="10"/>
  <c r="N74" i="10" s="1"/>
  <c r="M75" i="10"/>
  <c r="N75" i="10" s="1"/>
  <c r="M76" i="10"/>
  <c r="M77" i="10"/>
  <c r="M78" i="10"/>
  <c r="M79" i="10"/>
  <c r="M80" i="10"/>
  <c r="N80" i="10" s="1"/>
  <c r="M81" i="10"/>
  <c r="N81" i="10" s="1"/>
  <c r="M82" i="10"/>
  <c r="N82" i="10" s="1"/>
  <c r="M83" i="10"/>
  <c r="N83" i="10" s="1"/>
  <c r="M84" i="10"/>
  <c r="N84" i="10" s="1"/>
  <c r="M85" i="10"/>
  <c r="N85" i="10" s="1"/>
  <c r="M86" i="10"/>
  <c r="N86" i="10" s="1"/>
  <c r="M87" i="10"/>
  <c r="N87" i="10" s="1"/>
  <c r="M88" i="10"/>
  <c r="M89" i="10"/>
  <c r="M90" i="10"/>
  <c r="M91" i="10"/>
  <c r="M92" i="10"/>
  <c r="M93" i="10"/>
  <c r="M94" i="10"/>
  <c r="N94" i="10" s="1"/>
  <c r="M95" i="10"/>
  <c r="N95" i="10" s="1"/>
  <c r="M96" i="10"/>
  <c r="N96" i="10" s="1"/>
  <c r="M97" i="10"/>
  <c r="N97" i="10" s="1"/>
  <c r="M98" i="10"/>
  <c r="N98" i="10" s="1"/>
  <c r="M99" i="10"/>
  <c r="N99" i="10" s="1"/>
  <c r="M100" i="10"/>
  <c r="M101" i="10"/>
  <c r="N101" i="10" s="1"/>
  <c r="M102" i="10"/>
  <c r="M103" i="10"/>
  <c r="M104" i="10"/>
  <c r="N104" i="10" s="1"/>
  <c r="M105" i="10"/>
  <c r="N105" i="10" s="1"/>
  <c r="M106" i="10"/>
  <c r="N106" i="10" s="1"/>
  <c r="M107" i="10"/>
  <c r="N107" i="10" s="1"/>
  <c r="M108" i="10"/>
  <c r="N108" i="10" s="1"/>
  <c r="M109" i="10"/>
  <c r="N109" i="10" s="1"/>
  <c r="M110" i="10"/>
  <c r="N110" i="10" s="1"/>
  <c r="M111" i="10"/>
  <c r="N111" i="10" s="1"/>
  <c r="M112" i="10"/>
  <c r="M113" i="10"/>
  <c r="M114" i="10"/>
  <c r="M115" i="10"/>
  <c r="M116" i="10"/>
  <c r="N116" i="10" s="1"/>
  <c r="M117" i="10"/>
  <c r="N117" i="10" s="1"/>
  <c r="M118" i="10"/>
  <c r="N118" i="10" s="1"/>
  <c r="M119" i="10"/>
  <c r="N119" i="10" s="1"/>
  <c r="M120" i="10"/>
  <c r="N120" i="10" s="1"/>
  <c r="M121" i="10"/>
  <c r="N121" i="10" s="1"/>
  <c r="M122" i="10"/>
  <c r="N122" i="10" s="1"/>
  <c r="M123" i="10"/>
  <c r="N123" i="10" s="1"/>
  <c r="M124" i="10"/>
  <c r="M125" i="10"/>
  <c r="M126" i="10"/>
  <c r="M127" i="10"/>
  <c r="M128" i="10"/>
  <c r="N128" i="10" s="1"/>
  <c r="M129" i="10"/>
  <c r="N129" i="10" s="1"/>
  <c r="M130" i="10"/>
  <c r="N130" i="10" s="1"/>
  <c r="M131" i="10"/>
  <c r="N131" i="10" s="1"/>
  <c r="M132" i="10"/>
  <c r="N132" i="10" s="1"/>
  <c r="M133" i="10"/>
  <c r="N133" i="10" s="1"/>
  <c r="M134" i="10"/>
  <c r="N134" i="10" s="1"/>
  <c r="M135" i="10"/>
  <c r="N135" i="10" s="1"/>
  <c r="M136" i="10"/>
  <c r="M137" i="10"/>
  <c r="N137" i="10" s="1"/>
  <c r="M138" i="10"/>
  <c r="M139" i="10"/>
  <c r="M140" i="10"/>
  <c r="N140" i="10" s="1"/>
  <c r="M141" i="10"/>
  <c r="N141" i="10" s="1"/>
  <c r="M142" i="10"/>
  <c r="N142" i="10" s="1"/>
  <c r="M143" i="10"/>
  <c r="N143" i="10" s="1"/>
  <c r="M144" i="10"/>
  <c r="N144" i="10" s="1"/>
  <c r="M145" i="10"/>
  <c r="N145" i="10" s="1"/>
  <c r="M146" i="10"/>
  <c r="N146" i="10" s="1"/>
  <c r="M147" i="10"/>
  <c r="N147" i="10" s="1"/>
  <c r="M148" i="10"/>
  <c r="M149" i="10"/>
  <c r="M150" i="10"/>
  <c r="M151" i="10"/>
  <c r="M2" i="10"/>
  <c r="N2" i="10" s="1"/>
  <c r="M3" i="10"/>
  <c r="N3" i="10" s="1"/>
  <c r="N9" i="10"/>
  <c r="N10" i="10"/>
  <c r="N11" i="10"/>
  <c r="N12" i="10"/>
  <c r="N13" i="10"/>
  <c r="N21" i="10"/>
  <c r="N45" i="10"/>
  <c r="N46" i="10"/>
  <c r="N69" i="10"/>
  <c r="N70" i="10"/>
  <c r="N71" i="10"/>
  <c r="N93" i="10"/>
  <c r="N20" i="10"/>
  <c r="N44" i="10"/>
  <c r="N68" i="10"/>
  <c r="N92" i="10"/>
  <c r="N4" i="10"/>
  <c r="N5" i="10"/>
  <c r="N6" i="10"/>
  <c r="N7" i="10"/>
  <c r="N16" i="10"/>
  <c r="N17" i="10"/>
  <c r="N18" i="10"/>
  <c r="N19" i="10"/>
  <c r="N28" i="10"/>
  <c r="N30" i="10"/>
  <c r="N31" i="10"/>
  <c r="N40" i="10"/>
  <c r="N41" i="10"/>
  <c r="N42" i="10"/>
  <c r="N43" i="10"/>
  <c r="N52" i="10"/>
  <c r="N53" i="10"/>
  <c r="N54" i="10"/>
  <c r="N55" i="10"/>
  <c r="N64" i="10"/>
  <c r="N66" i="10"/>
  <c r="N67" i="10"/>
  <c r="N76" i="10"/>
  <c r="N77" i="10"/>
  <c r="N78" i="10"/>
  <c r="N79" i="10"/>
  <c r="N88" i="10"/>
  <c r="N89" i="10"/>
  <c r="N90" i="10"/>
  <c r="N91" i="10"/>
  <c r="N100" i="10"/>
  <c r="N102" i="10"/>
  <c r="N103" i="10"/>
  <c r="N112" i="10"/>
  <c r="N113" i="10"/>
  <c r="N114" i="10"/>
  <c r="N115" i="10"/>
  <c r="N124" i="10"/>
  <c r="N125" i="10"/>
  <c r="N126" i="10"/>
  <c r="N127" i="10"/>
  <c r="N136" i="10"/>
  <c r="N138" i="10"/>
  <c r="N139" i="10"/>
  <c r="N148" i="10"/>
  <c r="N149" i="10"/>
  <c r="N150" i="10"/>
  <c r="N151" i="10"/>
  <c r="D5" i="5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E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E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9B954-882B-4C6F-8150-B2E9313987D7}" keepAlive="1" name="Zapytanie — PESEL" description="Połączenie z zapytaniem „PESEL” w skoroszycie." type="5" refreshedVersion="8" background="1" saveData="1">
    <dbPr connection="Provider=Microsoft.Mashup.OleDb.1;Data Source=$Workbook$;Location=PESEL;Extended Properties=&quot;&quot;" command="SELECT * FROM [PESEL]"/>
  </connection>
  <connection id="2" xr16:uid="{2E62C5A7-7F9E-4A68-A6B1-0E5816D0B90B}" keepAlive="1" name="Zapytanie — PESEL (2)" description="Połączenie z zapytaniem „PESEL (2)” w skoroszycie." type="5" refreshedVersion="8" background="1" saveData="1">
    <dbPr connection="Provider=Microsoft.Mashup.OleDb.1;Data Source=$Workbook$;Location=&quot;PESEL (2)&quot;;Extended Properties=&quot;&quot;" command="SELECT * FROM [PESEL (2)]"/>
  </connection>
  <connection id="3" xr16:uid="{1BC70494-D67A-428F-AD2B-3BFA37892A3B}" keepAlive="1" name="Zapytanie — PESEL (3)" description="Połączenie z zapytaniem „PESEL (3)” w skoroszycie." type="5" refreshedVersion="8" background="1" saveData="1">
    <dbPr connection="Provider=Microsoft.Mashup.OleDb.1;Data Source=$Workbook$;Location=&quot;PESEL (3)&quot;;Extended Properties=&quot;&quot;" command="SELECT * FROM [PESEL (3)]"/>
  </connection>
  <connection id="4" xr16:uid="{806D4E65-22F9-4E31-9125-7936FCA849AF}" keepAlive="1" name="Zapytanie — PESEL (4)" description="Połączenie z zapytaniem „PESEL (4)” w skoroszycie." type="5" refreshedVersion="8" background="1" saveData="1">
    <dbPr connection="Provider=Microsoft.Mashup.OleDb.1;Data Source=$Workbook$;Location=&quot;PESEL (4)&quot;;Extended Properties=&quot;&quot;" command="SELECT * FROM [PESEL (4)]"/>
  </connection>
  <connection id="5" xr16:uid="{9AB166D3-592A-41C1-9E2F-1AE9D87B4016}" keepAlive="1" name="Zapytanie — PESEL (5)" description="Połączenie z zapytaniem „PESEL (5)” w skoroszycie." type="5" refreshedVersion="8" background="1" saveData="1">
    <dbPr connection="Provider=Microsoft.Mashup.OleDb.1;Data Source=$Workbook$;Location=&quot;PESEL (5)&quot;;Extended Properties=&quot;&quot;" command="SELECT * FROM [PESEL (5)]"/>
  </connection>
  <connection id="6" xr16:uid="{9B3241CC-9B35-4665-8FC4-A68CF9C80789}" keepAlive="1" name="Zapytanie — PESEL (6)" description="Połączenie z zapytaniem „PESEL (6)” w skoroszycie." type="5" refreshedVersion="8" background="1" saveData="1">
    <dbPr connection="Provider=Microsoft.Mashup.OleDb.1;Data Source=$Workbook$;Location=&quot;PESEL (6)&quot;;Extended Properties=&quot;&quot;" command="SELECT * FROM [PESEL (6)]"/>
  </connection>
  <connection id="7" xr16:uid="{EA3BF9F4-E60A-414B-9E40-73FD12B2EA57}" keepAlive="1" name="Zapytanie — PESELxxx" description="Połączenie z zapytaniem „PESELxxx” w skoroszycie." type="5" refreshedVersion="8" background="1" saveData="1">
    <dbPr connection="Provider=Microsoft.Mashup.OleDb.1;Data Source=$Workbook$;Location=PESELxxx;Extended Properties=&quot;&quot;" command="SELECT * FROM [PESELxxx]"/>
  </connection>
</connections>
</file>

<file path=xl/sharedStrings.xml><?xml version="1.0" encoding="utf-8"?>
<sst xmlns="http://schemas.openxmlformats.org/spreadsheetml/2006/main" count="796" uniqueCount="184">
  <si>
    <t>PESEL</t>
  </si>
  <si>
    <t>53082806059</t>
  </si>
  <si>
    <t>89100192752</t>
  </si>
  <si>
    <t>85111779283</t>
  </si>
  <si>
    <t>86080941169</t>
  </si>
  <si>
    <t>89011129700</t>
  </si>
  <si>
    <t>62033089803</t>
  </si>
  <si>
    <t>62092569090</t>
  </si>
  <si>
    <t>64063159211</t>
  </si>
  <si>
    <t>88120262427</t>
  </si>
  <si>
    <t>75121005045</t>
  </si>
  <si>
    <t>74121108598</t>
  </si>
  <si>
    <t>67112966668</t>
  </si>
  <si>
    <t>89010737704</t>
  </si>
  <si>
    <t>52101156863</t>
  </si>
  <si>
    <t>91032272651</t>
  </si>
  <si>
    <t>75032006098</t>
  </si>
  <si>
    <t>55110906690</t>
  </si>
  <si>
    <t>67103111042</t>
  </si>
  <si>
    <t>77072919805</t>
  </si>
  <si>
    <t>92022716243</t>
  </si>
  <si>
    <t>83041812338</t>
  </si>
  <si>
    <t>86072032543</t>
  </si>
  <si>
    <t>71110410883</t>
  </si>
  <si>
    <t>73070871368</t>
  </si>
  <si>
    <t>74040249598</t>
  </si>
  <si>
    <t>85052135674</t>
  </si>
  <si>
    <t>70053179170</t>
  </si>
  <si>
    <t>89021468413</t>
  </si>
  <si>
    <t>64040919575</t>
  </si>
  <si>
    <t>66100294134</t>
  </si>
  <si>
    <t>63102092944</t>
  </si>
  <si>
    <t>89040205480</t>
  </si>
  <si>
    <t>74123184206</t>
  </si>
  <si>
    <t>88080204509</t>
  </si>
  <si>
    <t>70032057433</t>
  </si>
  <si>
    <t>89081421445</t>
  </si>
  <si>
    <t>66113183995</t>
  </si>
  <si>
    <t>56111161549</t>
  </si>
  <si>
    <t>78103188695</t>
  </si>
  <si>
    <t>88080601948</t>
  </si>
  <si>
    <t>71093058856</t>
  </si>
  <si>
    <t>64022301455</t>
  </si>
  <si>
    <t>65102086116</t>
  </si>
  <si>
    <t>68112117597</t>
  </si>
  <si>
    <t>70101195486</t>
  </si>
  <si>
    <t>77111084850</t>
  </si>
  <si>
    <t>78123189018</t>
  </si>
  <si>
    <t>79110673709</t>
  </si>
  <si>
    <t>74120284541</t>
  </si>
  <si>
    <t>89082179879</t>
  </si>
  <si>
    <t>86070630583</t>
  </si>
  <si>
    <t>63122755182</t>
  </si>
  <si>
    <t>90112004373</t>
  </si>
  <si>
    <t>54043010088</t>
  </si>
  <si>
    <t>69122174118</t>
  </si>
  <si>
    <t>84051294894</t>
  </si>
  <si>
    <t>66111176164</t>
  </si>
  <si>
    <t>71112677514</t>
  </si>
  <si>
    <t>89040633348</t>
  </si>
  <si>
    <t>90053120136</t>
  </si>
  <si>
    <t>75123199317</t>
  </si>
  <si>
    <t>73112328551</t>
  </si>
  <si>
    <t>85031079443</t>
  </si>
  <si>
    <t>85052568643</t>
  </si>
  <si>
    <t>55022153432</t>
  </si>
  <si>
    <t>83041947282</t>
  </si>
  <si>
    <t>86081443325</t>
  </si>
  <si>
    <t>59110570565</t>
  </si>
  <si>
    <t>66063014631</t>
  </si>
  <si>
    <t>67120749923</t>
  </si>
  <si>
    <t>89081519801</t>
  </si>
  <si>
    <t>70120794633</t>
  </si>
  <si>
    <t>76121186303</t>
  </si>
  <si>
    <t>72031096705</t>
  </si>
  <si>
    <t>61100157652</t>
  </si>
  <si>
    <t>79012564484</t>
  </si>
  <si>
    <t>88111094545</t>
  </si>
  <si>
    <t>89040876453</t>
  </si>
  <si>
    <t>89120952161</t>
  </si>
  <si>
    <t>59083036077</t>
  </si>
  <si>
    <t>61121020469</t>
  </si>
  <si>
    <t>89040185241</t>
  </si>
  <si>
    <t>88080416256</t>
  </si>
  <si>
    <t>61032479116</t>
  </si>
  <si>
    <t>54020837137</t>
  </si>
  <si>
    <t>87072724289</t>
  </si>
  <si>
    <t>88103032931</t>
  </si>
  <si>
    <t>59042989686</t>
  </si>
  <si>
    <t>91023191330</t>
  </si>
  <si>
    <t>59031152059</t>
  </si>
  <si>
    <t>84112185145</t>
  </si>
  <si>
    <t>60102890107</t>
  </si>
  <si>
    <t>84050694367</t>
  </si>
  <si>
    <t>89041133472</t>
  </si>
  <si>
    <t>82072219267</t>
  </si>
  <si>
    <t>57102202414</t>
  </si>
  <si>
    <t>55123128973</t>
  </si>
  <si>
    <t>86070511185</t>
  </si>
  <si>
    <t>81101148770</t>
  </si>
  <si>
    <t>87071164662</t>
  </si>
  <si>
    <t>51011153311</t>
  </si>
  <si>
    <t>89052085069</t>
  </si>
  <si>
    <t>50102636355</t>
  </si>
  <si>
    <t>89011581319</t>
  </si>
  <si>
    <t>53122299122</t>
  </si>
  <si>
    <t>75113162747</t>
  </si>
  <si>
    <t>89102588171</t>
  </si>
  <si>
    <t>89022379914</t>
  </si>
  <si>
    <t>92080709353</t>
  </si>
  <si>
    <t>50101111305</t>
  </si>
  <si>
    <t>89042620494</t>
  </si>
  <si>
    <t>51102573842</t>
  </si>
  <si>
    <t>89021697637</t>
  </si>
  <si>
    <t>63092608644</t>
  </si>
  <si>
    <t>78102945963</t>
  </si>
  <si>
    <t>86061995325</t>
  </si>
  <si>
    <t>78011115028</t>
  </si>
  <si>
    <t>89042750933</t>
  </si>
  <si>
    <t>89112466825</t>
  </si>
  <si>
    <t>89020265394</t>
  </si>
  <si>
    <t>66100651663</t>
  </si>
  <si>
    <t>65062892381</t>
  </si>
  <si>
    <t>69030626134</t>
  </si>
  <si>
    <t>67113048790</t>
  </si>
  <si>
    <t>84051840149</t>
  </si>
  <si>
    <t>57073163051</t>
  </si>
  <si>
    <t>81081010863</t>
  </si>
  <si>
    <t>89062644823</t>
  </si>
  <si>
    <t>52110446139</t>
  </si>
  <si>
    <t>50021011352</t>
  </si>
  <si>
    <t>65092056892</t>
  </si>
  <si>
    <t>85052605175</t>
  </si>
  <si>
    <t>89032143350</t>
  </si>
  <si>
    <t>71123061643</t>
  </si>
  <si>
    <t>73103000844</t>
  </si>
  <si>
    <t>89012630357</t>
  </si>
  <si>
    <t>73010399576</t>
  </si>
  <si>
    <t>87070895372</t>
  </si>
  <si>
    <t>60061144469</t>
  </si>
  <si>
    <t>76043169949</t>
  </si>
  <si>
    <t>79101146737</t>
  </si>
  <si>
    <t>76043054555</t>
  </si>
  <si>
    <t>89082608599</t>
  </si>
  <si>
    <t>76122752028</t>
  </si>
  <si>
    <t>77120835871</t>
  </si>
  <si>
    <t>89010293604</t>
  </si>
  <si>
    <t>89091482250</t>
  </si>
  <si>
    <t>58122188027</t>
  </si>
  <si>
    <t>89052295172</t>
  </si>
  <si>
    <t>79070627831</t>
  </si>
  <si>
    <t>grudzień</t>
  </si>
  <si>
    <t>a)</t>
  </si>
  <si>
    <t>czy kobieta</t>
  </si>
  <si>
    <t>b)</t>
  </si>
  <si>
    <t>rok</t>
  </si>
  <si>
    <t>Etykiety wierszy</t>
  </si>
  <si>
    <t>Suma końcowa</t>
  </si>
  <si>
    <t>Liczba z rok</t>
  </si>
  <si>
    <t>max</t>
  </si>
  <si>
    <t>c)</t>
  </si>
  <si>
    <t>ile ludzi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</si>
  <si>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</si>
  <si>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</si>
  <si>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</si>
  <si>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</si>
  <si>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</si>
  <si>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</si>
  <si>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</si>
  <si>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</si>
  <si>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</si>
  <si>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</si>
  <si>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czy poprawny</t>
  </si>
  <si>
    <t>kontrolna</t>
  </si>
  <si>
    <t>pesel</t>
  </si>
  <si>
    <t>suma kontrolna, mod</t>
  </si>
  <si>
    <t>d)</t>
  </si>
  <si>
    <t>Niepoprawny pesel</t>
  </si>
  <si>
    <t>lata</t>
  </si>
  <si>
    <t>lata2</t>
  </si>
  <si>
    <t>dziesięciolecie</t>
  </si>
  <si>
    <t>ilosc</t>
  </si>
  <si>
    <t>procent</t>
  </si>
  <si>
    <t>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</si>
</sst>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ny" xfId="0" builtinId="0"/>
    <cellStyle name="Procentowy" xfId="1" builtinId="5"/>
  </cellStyles>
  <dxfs count="15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ludzi urodzonych na przestrzeni kolejnych dziesięcioleci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ODP_E!$I$2:$I$6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numCache>
            </c:numRef>
          </c:cat>
          <c:val>
            <c:numRef>
              <c:f>ODP_E!$H$2:$H$6</c:f>
              <c:numCache>
                <c:formatCode>0%</c:formatCode>
                <c:ptCount val="5"/>
                <c:pt idx="0">
                  <c:v>0.14666666666666667</c:v>
                </c:pt>
                <c:pt idx="1">
                  <c:v>0.18666666666666668</c:v>
                </c:pt>
                <c:pt idx="2">
                  <c:v>0.24</c:v>
                </c:pt>
                <c:pt idx="3">
                  <c:v>0.38666666666666666</c:v>
                </c:pt>
                <c:pt idx="4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E-4C79-86E7-B8F3A14D7EA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ODP_E!$I$2:$I$6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numCache>
            </c:numRef>
          </c:cat>
          <c:val>
            <c:numRef>
              <c:f>ODP_E!$I$2:$I$6</c:f>
              <c:numCache>
                <c:formatCode>General</c:formatCode>
                <c:ptCount val="5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AE-4C79-86E7-B8F3A14D7E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8</xdr:row>
      <xdr:rowOff>147637</xdr:rowOff>
    </xdr:from>
    <xdr:to>
      <xdr:col>14</xdr:col>
      <xdr:colOff>209550</xdr:colOff>
      <xdr:row>23</xdr:row>
      <xdr:rowOff>33337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024C2F9E-E2E3-B56C-AAB7-995A9BFBF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ub Tomaszewski" refreshedDate="45641.562670601852" createdVersion="8" refreshedVersion="8" minRefreshableVersion="3" recordCount="150" xr:uid="{402E8F7D-01CF-4575-B11A-5DD5921E8827}">
  <cacheSource type="worksheet">
    <worksheetSource name="PESEL34"/>
  </cacheSource>
  <cacheFields count="2">
    <cacheField name="PESEL" numFmtId="0">
      <sharedItems/>
    </cacheField>
    <cacheField name="rok" numFmtId="0">
      <sharedItems containsSemiMixedTypes="0" containsString="0" containsNumber="1" containsInteger="1" minValue="1950" maxValue="1992" count="42">
        <n v="1953"/>
        <n v="1989"/>
        <n v="1985"/>
        <n v="1986"/>
        <n v="1962"/>
        <n v="1964"/>
        <n v="1988"/>
        <n v="1975"/>
        <n v="1974"/>
        <n v="1967"/>
        <n v="1952"/>
        <n v="1991"/>
        <n v="1955"/>
        <n v="1977"/>
        <n v="1992"/>
        <n v="1983"/>
        <n v="1971"/>
        <n v="1973"/>
        <n v="1970"/>
        <n v="1966"/>
        <n v="1963"/>
        <n v="1956"/>
        <n v="1978"/>
        <n v="1965"/>
        <n v="1968"/>
        <n v="1979"/>
        <n v="1990"/>
        <n v="1954"/>
        <n v="1969"/>
        <n v="1984"/>
        <n v="1959"/>
        <n v="1976"/>
        <n v="1972"/>
        <n v="1961"/>
        <n v="1987"/>
        <n v="1960"/>
        <n v="1982"/>
        <n v="1957"/>
        <n v="1981"/>
        <n v="1951"/>
        <n v="1950"/>
        <n v="195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53082806059"/>
    <x v="0"/>
  </r>
  <r>
    <s v="89100192752"/>
    <x v="1"/>
  </r>
  <r>
    <s v="85111779283"/>
    <x v="2"/>
  </r>
  <r>
    <s v="86080941169"/>
    <x v="3"/>
  </r>
  <r>
    <s v="89011129700"/>
    <x v="1"/>
  </r>
  <r>
    <s v="62033089803"/>
    <x v="4"/>
  </r>
  <r>
    <s v="62092569090"/>
    <x v="4"/>
  </r>
  <r>
    <s v="64063159211"/>
    <x v="5"/>
  </r>
  <r>
    <s v="88120262427"/>
    <x v="6"/>
  </r>
  <r>
    <s v="75121005045"/>
    <x v="7"/>
  </r>
  <r>
    <s v="74121108598"/>
    <x v="8"/>
  </r>
  <r>
    <s v="67112966668"/>
    <x v="9"/>
  </r>
  <r>
    <s v="89010737704"/>
    <x v="1"/>
  </r>
  <r>
    <s v="52101156863"/>
    <x v="10"/>
  </r>
  <r>
    <s v="91032272651"/>
    <x v="11"/>
  </r>
  <r>
    <s v="75032006098"/>
    <x v="7"/>
  </r>
  <r>
    <s v="55110906690"/>
    <x v="12"/>
  </r>
  <r>
    <s v="67103111042"/>
    <x v="9"/>
  </r>
  <r>
    <s v="77072919805"/>
    <x v="13"/>
  </r>
  <r>
    <s v="92022716243"/>
    <x v="14"/>
  </r>
  <r>
    <s v="83041812338"/>
    <x v="15"/>
  </r>
  <r>
    <s v="86072032543"/>
    <x v="3"/>
  </r>
  <r>
    <s v="71110410883"/>
    <x v="16"/>
  </r>
  <r>
    <s v="73070871368"/>
    <x v="17"/>
  </r>
  <r>
    <s v="74040249598"/>
    <x v="8"/>
  </r>
  <r>
    <s v="85052135674"/>
    <x v="2"/>
  </r>
  <r>
    <s v="70053179170"/>
    <x v="18"/>
  </r>
  <r>
    <s v="89021468413"/>
    <x v="1"/>
  </r>
  <r>
    <s v="64040919575"/>
    <x v="5"/>
  </r>
  <r>
    <s v="66100294134"/>
    <x v="19"/>
  </r>
  <r>
    <s v="63102092944"/>
    <x v="20"/>
  </r>
  <r>
    <s v="89040205480"/>
    <x v="1"/>
  </r>
  <r>
    <s v="74123184206"/>
    <x v="8"/>
  </r>
  <r>
    <s v="88080204509"/>
    <x v="6"/>
  </r>
  <r>
    <s v="70032057433"/>
    <x v="18"/>
  </r>
  <r>
    <s v="89081421445"/>
    <x v="1"/>
  </r>
  <r>
    <s v="66113183995"/>
    <x v="19"/>
  </r>
  <r>
    <s v="56111161549"/>
    <x v="21"/>
  </r>
  <r>
    <s v="78103188695"/>
    <x v="22"/>
  </r>
  <r>
    <s v="88080601948"/>
    <x v="6"/>
  </r>
  <r>
    <s v="71093058856"/>
    <x v="16"/>
  </r>
  <r>
    <s v="64022301455"/>
    <x v="5"/>
  </r>
  <r>
    <s v="65102086116"/>
    <x v="23"/>
  </r>
  <r>
    <s v="68112117597"/>
    <x v="24"/>
  </r>
  <r>
    <s v="70101195486"/>
    <x v="18"/>
  </r>
  <r>
    <s v="77111084850"/>
    <x v="13"/>
  </r>
  <r>
    <s v="78123189018"/>
    <x v="22"/>
  </r>
  <r>
    <s v="79110673709"/>
    <x v="25"/>
  </r>
  <r>
    <s v="74120284541"/>
    <x v="8"/>
  </r>
  <r>
    <s v="89082179879"/>
    <x v="1"/>
  </r>
  <r>
    <s v="86070630583"/>
    <x v="3"/>
  </r>
  <r>
    <s v="63122755182"/>
    <x v="20"/>
  </r>
  <r>
    <s v="90112004373"/>
    <x v="26"/>
  </r>
  <r>
    <s v="54043010088"/>
    <x v="27"/>
  </r>
  <r>
    <s v="69122174118"/>
    <x v="28"/>
  </r>
  <r>
    <s v="84051294894"/>
    <x v="29"/>
  </r>
  <r>
    <s v="66111176164"/>
    <x v="19"/>
  </r>
  <r>
    <s v="71112677514"/>
    <x v="16"/>
  </r>
  <r>
    <s v="89040633348"/>
    <x v="1"/>
  </r>
  <r>
    <s v="90053120136"/>
    <x v="26"/>
  </r>
  <r>
    <s v="75123199317"/>
    <x v="7"/>
  </r>
  <r>
    <s v="73112328551"/>
    <x v="17"/>
  </r>
  <r>
    <s v="85031079443"/>
    <x v="2"/>
  </r>
  <r>
    <s v="85052568643"/>
    <x v="2"/>
  </r>
  <r>
    <s v="55022153432"/>
    <x v="12"/>
  </r>
  <r>
    <s v="83041947282"/>
    <x v="15"/>
  </r>
  <r>
    <s v="86081443325"/>
    <x v="3"/>
  </r>
  <r>
    <s v="59110570565"/>
    <x v="30"/>
  </r>
  <r>
    <s v="66063014631"/>
    <x v="19"/>
  </r>
  <r>
    <s v="67120749923"/>
    <x v="9"/>
  </r>
  <r>
    <s v="89081519801"/>
    <x v="1"/>
  </r>
  <r>
    <s v="70120794633"/>
    <x v="18"/>
  </r>
  <r>
    <s v="76121186303"/>
    <x v="31"/>
  </r>
  <r>
    <s v="72031096705"/>
    <x v="32"/>
  </r>
  <r>
    <s v="61100157652"/>
    <x v="33"/>
  </r>
  <r>
    <s v="79012564484"/>
    <x v="25"/>
  </r>
  <r>
    <s v="88111094545"/>
    <x v="6"/>
  </r>
  <r>
    <s v="89040876453"/>
    <x v="1"/>
  </r>
  <r>
    <s v="89120952161"/>
    <x v="1"/>
  </r>
  <r>
    <s v="59083036077"/>
    <x v="30"/>
  </r>
  <r>
    <s v="61121020469"/>
    <x v="33"/>
  </r>
  <r>
    <s v="89040185241"/>
    <x v="1"/>
  </r>
  <r>
    <s v="88080416256"/>
    <x v="6"/>
  </r>
  <r>
    <s v="61032479116"/>
    <x v="33"/>
  </r>
  <r>
    <s v="54020837137"/>
    <x v="27"/>
  </r>
  <r>
    <s v="87072724289"/>
    <x v="34"/>
  </r>
  <r>
    <s v="88103032931"/>
    <x v="6"/>
  </r>
  <r>
    <s v="59042989686"/>
    <x v="30"/>
  </r>
  <r>
    <s v="91023191330"/>
    <x v="11"/>
  </r>
  <r>
    <s v="59031152059"/>
    <x v="30"/>
  </r>
  <r>
    <s v="84112185145"/>
    <x v="29"/>
  </r>
  <r>
    <s v="60102890107"/>
    <x v="35"/>
  </r>
  <r>
    <s v="84050694367"/>
    <x v="29"/>
  </r>
  <r>
    <s v="89041133472"/>
    <x v="1"/>
  </r>
  <r>
    <s v="82072219267"/>
    <x v="36"/>
  </r>
  <r>
    <s v="57102202414"/>
    <x v="37"/>
  </r>
  <r>
    <s v="55123128973"/>
    <x v="12"/>
  </r>
  <r>
    <s v="86070511185"/>
    <x v="3"/>
  </r>
  <r>
    <s v="81101148770"/>
    <x v="38"/>
  </r>
  <r>
    <s v="87071164662"/>
    <x v="34"/>
  </r>
  <r>
    <s v="51011153311"/>
    <x v="39"/>
  </r>
  <r>
    <s v="89052085069"/>
    <x v="1"/>
  </r>
  <r>
    <s v="50102636355"/>
    <x v="40"/>
  </r>
  <r>
    <s v="89011581319"/>
    <x v="1"/>
  </r>
  <r>
    <s v="53122299122"/>
    <x v="0"/>
  </r>
  <r>
    <s v="75113162747"/>
    <x v="7"/>
  </r>
  <r>
    <s v="89102588171"/>
    <x v="1"/>
  </r>
  <r>
    <s v="89022379914"/>
    <x v="1"/>
  </r>
  <r>
    <s v="92080709353"/>
    <x v="14"/>
  </r>
  <r>
    <s v="50101111305"/>
    <x v="40"/>
  </r>
  <r>
    <s v="89042620494"/>
    <x v="1"/>
  </r>
  <r>
    <s v="51102573842"/>
    <x v="39"/>
  </r>
  <r>
    <s v="89021697637"/>
    <x v="1"/>
  </r>
  <r>
    <s v="63092608644"/>
    <x v="20"/>
  </r>
  <r>
    <s v="78102945963"/>
    <x v="22"/>
  </r>
  <r>
    <s v="86061995325"/>
    <x v="3"/>
  </r>
  <r>
    <s v="78011115028"/>
    <x v="22"/>
  </r>
  <r>
    <s v="89042750933"/>
    <x v="1"/>
  </r>
  <r>
    <s v="89112466825"/>
    <x v="1"/>
  </r>
  <r>
    <s v="89020265394"/>
    <x v="1"/>
  </r>
  <r>
    <s v="66100651663"/>
    <x v="19"/>
  </r>
  <r>
    <s v="65062892381"/>
    <x v="23"/>
  </r>
  <r>
    <s v="69030626134"/>
    <x v="28"/>
  </r>
  <r>
    <s v="67113048790"/>
    <x v="9"/>
  </r>
  <r>
    <s v="84051840149"/>
    <x v="29"/>
  </r>
  <r>
    <s v="57073163051"/>
    <x v="37"/>
  </r>
  <r>
    <s v="81081010863"/>
    <x v="38"/>
  </r>
  <r>
    <s v="89062644823"/>
    <x v="1"/>
  </r>
  <r>
    <s v="52110446139"/>
    <x v="10"/>
  </r>
  <r>
    <s v="50021011352"/>
    <x v="40"/>
  </r>
  <r>
    <s v="65092056892"/>
    <x v="23"/>
  </r>
  <r>
    <s v="85052605175"/>
    <x v="2"/>
  </r>
  <r>
    <s v="89032143350"/>
    <x v="1"/>
  </r>
  <r>
    <s v="71123061643"/>
    <x v="16"/>
  </r>
  <r>
    <s v="73103000844"/>
    <x v="17"/>
  </r>
  <r>
    <s v="89012630357"/>
    <x v="1"/>
  </r>
  <r>
    <s v="73010399576"/>
    <x v="17"/>
  </r>
  <r>
    <s v="87070895372"/>
    <x v="34"/>
  </r>
  <r>
    <s v="60061144469"/>
    <x v="35"/>
  </r>
  <r>
    <s v="76043169949"/>
    <x v="31"/>
  </r>
  <r>
    <s v="79101146737"/>
    <x v="25"/>
  </r>
  <r>
    <s v="76043054555"/>
    <x v="31"/>
  </r>
  <r>
    <s v="89082608599"/>
    <x v="1"/>
  </r>
  <r>
    <s v="76122752028"/>
    <x v="31"/>
  </r>
  <r>
    <s v="77120835871"/>
    <x v="13"/>
  </r>
  <r>
    <s v="89010293604"/>
    <x v="1"/>
  </r>
  <r>
    <s v="89091482250"/>
    <x v="1"/>
  </r>
  <r>
    <s v="58122188027"/>
    <x v="41"/>
  </r>
  <r>
    <s v="89052295172"/>
    <x v="1"/>
  </r>
  <r>
    <s v="79070627831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A8F4C-743C-4A39-B4A2-47DF0DB114E6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46" firstHeaderRow="1" firstDataRow="1" firstDataCol="1"/>
  <pivotFields count="2">
    <pivotField showAll="0"/>
    <pivotField axis="axisRow" dataField="1" showAll="0">
      <items count="43">
        <item x="40"/>
        <item x="39"/>
        <item x="10"/>
        <item x="0"/>
        <item x="27"/>
        <item x="12"/>
        <item x="21"/>
        <item x="37"/>
        <item x="41"/>
        <item x="30"/>
        <item x="35"/>
        <item x="33"/>
        <item x="4"/>
        <item x="20"/>
        <item x="5"/>
        <item x="23"/>
        <item x="19"/>
        <item x="9"/>
        <item x="24"/>
        <item x="28"/>
        <item x="18"/>
        <item x="16"/>
        <item x="32"/>
        <item x="17"/>
        <item x="8"/>
        <item x="7"/>
        <item x="31"/>
        <item x="13"/>
        <item x="22"/>
        <item x="25"/>
        <item x="38"/>
        <item x="36"/>
        <item x="15"/>
        <item x="29"/>
        <item x="2"/>
        <item x="3"/>
        <item x="34"/>
        <item x="6"/>
        <item x="1"/>
        <item x="26"/>
        <item x="11"/>
        <item x="14"/>
        <item t="default"/>
      </items>
    </pivotField>
  </pivotFields>
  <rowFields count="1">
    <field x="1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dataFields count="1">
    <dataField name="Liczba z rok" fld="1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69218E-2D6F-4D19-926E-DBF110A04B7A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PESEL" tableColumnId="1"/>
      <queryTableField id="2" dataBound="0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BCE9C9-9A58-471A-AF8E-693B38F70766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PESEL" tableColumnId="1"/>
      <queryTableField id="2" dataBound="0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F599E2C-357C-4723-AC9B-3059586052DA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PESEL" tableColumnId="1"/>
      <queryTableField id="2" dataBound="0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380E0F8-2522-4AF2-86AC-52929DD9D373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1" tableColumnId="1"/>
      <queryTableField id="2" name="2" tableColumnId="2"/>
      <queryTableField id="3" name="3" tableColumnId="3"/>
      <queryTableField id="4" name="4" tableColumnId="4"/>
      <queryTableField id="5" name="5" tableColumnId="5"/>
      <queryTableField id="6" name="6" tableColumnId="6"/>
      <queryTableField id="7" name="7" tableColumnId="7"/>
      <queryTableField id="8" name="8" tableColumnId="8"/>
      <queryTableField id="9" name="9" tableColumnId="9"/>
      <queryTableField id="10" name="10" tableColumnId="10"/>
      <queryTableField id="11" name="kontrolna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4E1D83B-B6F0-4C63-9991-8CE04C7D0FA4}" autoFormatId="16" applyNumberFormats="0" applyBorderFormats="0" applyFontFormats="0" applyPatternFormats="0" applyAlignmentFormats="0" applyWidthHeightFormats="0">
  <queryTableRefresh nextId="4" unboundColumnsRight="2">
    <queryTableFields count="3">
      <queryTableField id="1" name="PESEL" tableColumnId="1"/>
      <queryTableField id="2" dataBound="0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B83F0-FF39-462D-B8AF-87B011E404D0}" name="PESEL" displayName="PESEL" ref="A1:B151" tableType="queryTable" totalsRowShown="0">
  <autoFilter ref="A1:B151" xr:uid="{BAFB83F0-FF39-462D-B8AF-87B011E404D0}"/>
  <tableColumns count="2">
    <tableColumn id="1" xr3:uid="{5AC43383-15E7-4A59-B47F-610E6A2C5F2D}" uniqueName="1" name="PESEL" queryTableFieldId="1" dataDxfId="14"/>
    <tableColumn id="2" xr3:uid="{9330DD9D-2856-4ECA-B8F6-736C507A7E72}" uniqueName="2" name="grudzień" queryTableFieldId="2" dataDxfId="13">
      <calculatedColumnFormula>MID(PESEL[[#This Row],[PESEL]],3,2)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BBB0A5-1760-4D0E-A453-EAD4D2A126E3}" name="PESEL3" displayName="PESEL3" ref="A1:B151" tableType="queryTable" totalsRowShown="0">
  <autoFilter ref="A1:B151" xr:uid="{BAFB83F0-FF39-462D-B8AF-87B011E404D0}"/>
  <tableColumns count="2">
    <tableColumn id="1" xr3:uid="{E586D166-B3AD-433A-9D95-773BB448FB99}" uniqueName="1" name="PESEL" queryTableFieldId="1" dataDxfId="12"/>
    <tableColumn id="2" xr3:uid="{4CFBE664-4E4C-4FF0-A350-57BFDFBF4A22}" uniqueName="2" name="czy kobieta" queryTableFieldId="2" dataDxfId="11">
      <calculatedColumnFormula>IF(MOD(MID(PESEL3[[#This Row],[PESEL]],10,1),2) = 0, "Tak","")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8C6E1F-C89B-40FB-9489-3E976D82E5B0}" name="PESEL34" displayName="PESEL34" ref="A1:B151" tableType="queryTable" totalsRowShown="0">
  <autoFilter ref="A1:B151" xr:uid="{BAFB83F0-FF39-462D-B8AF-87B011E404D0}"/>
  <tableColumns count="2">
    <tableColumn id="1" xr3:uid="{96CDAB4A-BC57-4D62-9AB4-B834A493E3A4}" uniqueName="1" name="PESEL" queryTableFieldId="1" dataDxfId="10"/>
    <tableColumn id="2" xr3:uid="{F1C18F3D-9AE5-4756-9992-63753D7ADE5F}" uniqueName="2" name="rok" queryTableFieldId="2" dataDxfId="9">
      <calculatedColumnFormula>MID(PESEL34[[#This Row],[PESEL]],1,2) + 1900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277478-FFF7-4C51-A325-10A4A1D882E7}" name="PESELxxx" displayName="PESELxxx" ref="A1:N151" tableType="queryTable" totalsRowShown="0">
  <autoFilter ref="A1:N151" xr:uid="{03277478-FFF7-4C51-A325-10A4A1D882E7}">
    <filterColumn colId="13">
      <filters>
        <filter val="Nie"/>
      </filters>
    </filterColumn>
  </autoFilter>
  <tableColumns count="14">
    <tableColumn id="1" xr3:uid="{3BD31152-1F3B-41E0-8F5A-AE00AAA9E218}" uniqueName="1" name="1" queryTableFieldId="1"/>
    <tableColumn id="2" xr3:uid="{669EF2E6-43C5-4291-9C56-E156C7E74EE1}" uniqueName="2" name="2" queryTableFieldId="2"/>
    <tableColumn id="3" xr3:uid="{34F61552-7936-4B76-929A-21E3372D8C99}" uniqueName="3" name="3" queryTableFieldId="3"/>
    <tableColumn id="4" xr3:uid="{F388ED06-2FCC-42CD-9CBD-1A4AC4D59343}" uniqueName="4" name="4" queryTableFieldId="4"/>
    <tableColumn id="5" xr3:uid="{30B0822E-C53A-488A-81EF-A7DDCF74D044}" uniqueName="5" name="5" queryTableFieldId="5"/>
    <tableColumn id="6" xr3:uid="{DD087291-A9E3-44E7-841A-B5EDA6B69EEB}" uniqueName="6" name="6" queryTableFieldId="6"/>
    <tableColumn id="7" xr3:uid="{02F2770C-C378-441B-A4BD-56B92C05E796}" uniqueName="7" name="7" queryTableFieldId="7"/>
    <tableColumn id="8" xr3:uid="{2B665B40-1FC3-460D-BF8A-850DFF48CD9E}" uniqueName="8" name="8" queryTableFieldId="8"/>
    <tableColumn id="9" xr3:uid="{4217FCE4-9E7E-418B-8A55-F7A1A906CCFB}" uniqueName="9" name="9" queryTableFieldId="9"/>
    <tableColumn id="10" xr3:uid="{19ADCFDC-2582-479A-9454-8B41EB91FC56}" uniqueName="10" name="10" queryTableFieldId="10"/>
    <tableColumn id="11" xr3:uid="{15764090-5BBA-4CB4-9068-3D89CC35BDED}" uniqueName="11" name="kontrolna" queryTableFieldId="11"/>
    <tableColumn id="12" xr3:uid="{FE46CD77-10A0-4FB7-BABE-913A11F35B9D}" uniqueName="12" name="pesel" queryTableFieldId="12"/>
    <tableColumn id="13" xr3:uid="{D8AB4455-C3D0-4788-97A5-0845D49D3447}" uniqueName="13" name="suma kontrolna, mod" queryTableFieldId="13" dataDxfId="8">
      <calculatedColumnFormula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calculatedColumnFormula>
    </tableColumn>
    <tableColumn id="14" xr3:uid="{4F7FC64D-8F52-4590-8549-D3A47397F06E}" uniqueName="14" name="czy poprawny" queryTableFieldId="14" dataDxfId="7">
      <calculatedColumnFormula>IF(AND(PESELxxx[[#This Row],[kontrolna]]=0,PESELxxx[[#This Row],[suma kontrolna, mod]]=0),"Tak",IF(PESELxxx[[#This Row],[suma kontrolna, mod]]+PESELxxx[[#This Row],[kontrolna]] =10,"Tak","Nie"))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257CED-B1C6-464C-807F-DA21A3E3A290}" name="Tabela7" displayName="Tabela7" ref="U156:U164" totalsRowShown="0" tableBorderDxfId="6">
  <autoFilter ref="U156:U164" xr:uid="{60257CED-B1C6-464C-807F-DA21A3E3A290}"/>
  <sortState xmlns:xlrd2="http://schemas.microsoft.com/office/spreadsheetml/2017/richdata2" ref="U157:U164">
    <sortCondition ref="U156:U164"/>
  </sortState>
  <tableColumns count="1">
    <tableColumn id="1" xr3:uid="{5822E639-466A-4470-8247-23DF59B58FDA}" name="Niepoprawny pesel" dataDxfId="5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4F3F67-C0B6-4C37-8377-9AD477B39534}" name="PESEL565" displayName="PESEL565" ref="A1:C151" tableType="queryTable" totalsRowShown="0">
  <autoFilter ref="A1:C151" xr:uid="{BAFB83F0-FF39-462D-B8AF-87B011E404D0}"/>
  <tableColumns count="3">
    <tableColumn id="1" xr3:uid="{32178B98-0F13-4CA4-A310-49798991CE28}" uniqueName="1" name="PESEL" queryTableFieldId="1" dataDxfId="4"/>
    <tableColumn id="2" xr3:uid="{8A7A4E1B-60B5-41E2-90BA-BC21149F9775}" uniqueName="2" name="lata" queryTableFieldId="2" dataDxfId="1">
      <calculatedColumnFormula>MID(PESEL565[[#This Row],[PESEL]],1,2)</calculatedColumnFormula>
    </tableColumn>
    <tableColumn id="3" xr3:uid="{378C84B6-EC20-43CB-A6AE-5B6189DC4C14}" uniqueName="3" name="lata2" queryTableFieldId="3" dataDxfId="0">
      <calculatedColumnFormula>VALUE(B2)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49E5-31D4-4565-A8BC-222530208CCC}">
  <dimension ref="A1:E151"/>
  <sheetViews>
    <sheetView topLeftCell="A125" workbookViewId="0">
      <selection activeCell="A2" sqref="A2:A151"/>
    </sheetView>
  </sheetViews>
  <sheetFormatPr defaultRowHeight="15" x14ac:dyDescent="0.25"/>
  <cols>
    <col min="1" max="1" width="12" bestFit="1" customWidth="1"/>
    <col min="2" max="2" width="11" bestFit="1" customWidth="1"/>
  </cols>
  <sheetData>
    <row r="1" spans="1:5" x14ac:dyDescent="0.25">
      <c r="A1" t="s">
        <v>0</v>
      </c>
      <c r="B1" t="s">
        <v>151</v>
      </c>
      <c r="D1" t="s">
        <v>152</v>
      </c>
      <c r="E1">
        <f>COUNTIF(B:B,"12")</f>
        <v>20</v>
      </c>
    </row>
    <row r="2" spans="1:5" x14ac:dyDescent="0.25">
      <c r="A2" t="s">
        <v>1</v>
      </c>
      <c r="B2" t="str">
        <f>MID(PESEL[[#This Row],[PESEL]],3,2)</f>
        <v>08</v>
      </c>
    </row>
    <row r="3" spans="1:5" x14ac:dyDescent="0.25">
      <c r="A3" t="s">
        <v>2</v>
      </c>
      <c r="B3" t="str">
        <f>MID(PESEL[[#This Row],[PESEL]],3,2)</f>
        <v>10</v>
      </c>
    </row>
    <row r="4" spans="1:5" x14ac:dyDescent="0.25">
      <c r="A4" t="s">
        <v>3</v>
      </c>
      <c r="B4" t="str">
        <f>MID(PESEL[[#This Row],[PESEL]],3,2)</f>
        <v>11</v>
      </c>
    </row>
    <row r="5" spans="1:5" x14ac:dyDescent="0.25">
      <c r="A5" t="s">
        <v>4</v>
      </c>
      <c r="B5" t="str">
        <f>MID(PESEL[[#This Row],[PESEL]],3,2)</f>
        <v>08</v>
      </c>
    </row>
    <row r="6" spans="1:5" x14ac:dyDescent="0.25">
      <c r="A6" t="s">
        <v>5</v>
      </c>
      <c r="B6" t="str">
        <f>MID(PESEL[[#This Row],[PESEL]],3,2)</f>
        <v>01</v>
      </c>
    </row>
    <row r="7" spans="1:5" x14ac:dyDescent="0.25">
      <c r="A7" t="s">
        <v>6</v>
      </c>
      <c r="B7" t="str">
        <f>MID(PESEL[[#This Row],[PESEL]],3,2)</f>
        <v>03</v>
      </c>
    </row>
    <row r="8" spans="1:5" x14ac:dyDescent="0.25">
      <c r="A8" t="s">
        <v>7</v>
      </c>
      <c r="B8" t="str">
        <f>MID(PESEL[[#This Row],[PESEL]],3,2)</f>
        <v>09</v>
      </c>
    </row>
    <row r="9" spans="1:5" x14ac:dyDescent="0.25">
      <c r="A9" t="s">
        <v>8</v>
      </c>
      <c r="B9" t="str">
        <f>MID(PESEL[[#This Row],[PESEL]],3,2)</f>
        <v>06</v>
      </c>
    </row>
    <row r="10" spans="1:5" x14ac:dyDescent="0.25">
      <c r="A10" t="s">
        <v>9</v>
      </c>
      <c r="B10" t="str">
        <f>MID(PESEL[[#This Row],[PESEL]],3,2)</f>
        <v>12</v>
      </c>
    </row>
    <row r="11" spans="1:5" x14ac:dyDescent="0.25">
      <c r="A11" t="s">
        <v>10</v>
      </c>
      <c r="B11" t="str">
        <f>MID(PESEL[[#This Row],[PESEL]],3,2)</f>
        <v>12</v>
      </c>
    </row>
    <row r="12" spans="1:5" x14ac:dyDescent="0.25">
      <c r="A12" t="s">
        <v>11</v>
      </c>
      <c r="B12" t="str">
        <f>MID(PESEL[[#This Row],[PESEL]],3,2)</f>
        <v>12</v>
      </c>
    </row>
    <row r="13" spans="1:5" x14ac:dyDescent="0.25">
      <c r="A13" t="s">
        <v>12</v>
      </c>
      <c r="B13" t="str">
        <f>MID(PESEL[[#This Row],[PESEL]],3,2)</f>
        <v>11</v>
      </c>
    </row>
    <row r="14" spans="1:5" x14ac:dyDescent="0.25">
      <c r="A14" t="s">
        <v>13</v>
      </c>
      <c r="B14" t="str">
        <f>MID(PESEL[[#This Row],[PESEL]],3,2)</f>
        <v>01</v>
      </c>
    </row>
    <row r="15" spans="1:5" x14ac:dyDescent="0.25">
      <c r="A15" t="s">
        <v>14</v>
      </c>
      <c r="B15" t="str">
        <f>MID(PESEL[[#This Row],[PESEL]],3,2)</f>
        <v>10</v>
      </c>
    </row>
    <row r="16" spans="1:5" x14ac:dyDescent="0.25">
      <c r="A16" t="s">
        <v>15</v>
      </c>
      <c r="B16" t="str">
        <f>MID(PESEL[[#This Row],[PESEL]],3,2)</f>
        <v>03</v>
      </c>
    </row>
    <row r="17" spans="1:2" x14ac:dyDescent="0.25">
      <c r="A17" t="s">
        <v>16</v>
      </c>
      <c r="B17" t="str">
        <f>MID(PESEL[[#This Row],[PESEL]],3,2)</f>
        <v>03</v>
      </c>
    </row>
    <row r="18" spans="1:2" x14ac:dyDescent="0.25">
      <c r="A18" t="s">
        <v>17</v>
      </c>
      <c r="B18" t="str">
        <f>MID(PESEL[[#This Row],[PESEL]],3,2)</f>
        <v>11</v>
      </c>
    </row>
    <row r="19" spans="1:2" x14ac:dyDescent="0.25">
      <c r="A19" t="s">
        <v>18</v>
      </c>
      <c r="B19" t="str">
        <f>MID(PESEL[[#This Row],[PESEL]],3,2)</f>
        <v>10</v>
      </c>
    </row>
    <row r="20" spans="1:2" x14ac:dyDescent="0.25">
      <c r="A20" t="s">
        <v>19</v>
      </c>
      <c r="B20" t="str">
        <f>MID(PESEL[[#This Row],[PESEL]],3,2)</f>
        <v>07</v>
      </c>
    </row>
    <row r="21" spans="1:2" x14ac:dyDescent="0.25">
      <c r="A21" t="s">
        <v>20</v>
      </c>
      <c r="B21" t="str">
        <f>MID(PESEL[[#This Row],[PESEL]],3,2)</f>
        <v>02</v>
      </c>
    </row>
    <row r="22" spans="1:2" x14ac:dyDescent="0.25">
      <c r="A22" t="s">
        <v>21</v>
      </c>
      <c r="B22" t="str">
        <f>MID(PESEL[[#This Row],[PESEL]],3,2)</f>
        <v>04</v>
      </c>
    </row>
    <row r="23" spans="1:2" x14ac:dyDescent="0.25">
      <c r="A23" t="s">
        <v>22</v>
      </c>
      <c r="B23" t="str">
        <f>MID(PESEL[[#This Row],[PESEL]],3,2)</f>
        <v>07</v>
      </c>
    </row>
    <row r="24" spans="1:2" x14ac:dyDescent="0.25">
      <c r="A24" t="s">
        <v>23</v>
      </c>
      <c r="B24" t="str">
        <f>MID(PESEL[[#This Row],[PESEL]],3,2)</f>
        <v>11</v>
      </c>
    </row>
    <row r="25" spans="1:2" x14ac:dyDescent="0.25">
      <c r="A25" t="s">
        <v>24</v>
      </c>
      <c r="B25" t="str">
        <f>MID(PESEL[[#This Row],[PESEL]],3,2)</f>
        <v>07</v>
      </c>
    </row>
    <row r="26" spans="1:2" x14ac:dyDescent="0.25">
      <c r="A26" t="s">
        <v>25</v>
      </c>
      <c r="B26" t="str">
        <f>MID(PESEL[[#This Row],[PESEL]],3,2)</f>
        <v>04</v>
      </c>
    </row>
    <row r="27" spans="1:2" x14ac:dyDescent="0.25">
      <c r="A27" t="s">
        <v>26</v>
      </c>
      <c r="B27" t="str">
        <f>MID(PESEL[[#This Row],[PESEL]],3,2)</f>
        <v>05</v>
      </c>
    </row>
    <row r="28" spans="1:2" x14ac:dyDescent="0.25">
      <c r="A28" t="s">
        <v>27</v>
      </c>
      <c r="B28" t="str">
        <f>MID(PESEL[[#This Row],[PESEL]],3,2)</f>
        <v>05</v>
      </c>
    </row>
    <row r="29" spans="1:2" x14ac:dyDescent="0.25">
      <c r="A29" t="s">
        <v>28</v>
      </c>
      <c r="B29" t="str">
        <f>MID(PESEL[[#This Row],[PESEL]],3,2)</f>
        <v>02</v>
      </c>
    </row>
    <row r="30" spans="1:2" x14ac:dyDescent="0.25">
      <c r="A30" t="s">
        <v>29</v>
      </c>
      <c r="B30" t="str">
        <f>MID(PESEL[[#This Row],[PESEL]],3,2)</f>
        <v>04</v>
      </c>
    </row>
    <row r="31" spans="1:2" x14ac:dyDescent="0.25">
      <c r="A31" t="s">
        <v>30</v>
      </c>
      <c r="B31" t="str">
        <f>MID(PESEL[[#This Row],[PESEL]],3,2)</f>
        <v>10</v>
      </c>
    </row>
    <row r="32" spans="1:2" x14ac:dyDescent="0.25">
      <c r="A32" t="s">
        <v>31</v>
      </c>
      <c r="B32" t="str">
        <f>MID(PESEL[[#This Row],[PESEL]],3,2)</f>
        <v>10</v>
      </c>
    </row>
    <row r="33" spans="1:2" x14ac:dyDescent="0.25">
      <c r="A33" t="s">
        <v>32</v>
      </c>
      <c r="B33" t="str">
        <f>MID(PESEL[[#This Row],[PESEL]],3,2)</f>
        <v>04</v>
      </c>
    </row>
    <row r="34" spans="1:2" x14ac:dyDescent="0.25">
      <c r="A34" t="s">
        <v>33</v>
      </c>
      <c r="B34" t="str">
        <f>MID(PESEL[[#This Row],[PESEL]],3,2)</f>
        <v>12</v>
      </c>
    </row>
    <row r="35" spans="1:2" x14ac:dyDescent="0.25">
      <c r="A35" t="s">
        <v>34</v>
      </c>
      <c r="B35" t="str">
        <f>MID(PESEL[[#This Row],[PESEL]],3,2)</f>
        <v>08</v>
      </c>
    </row>
    <row r="36" spans="1:2" x14ac:dyDescent="0.25">
      <c r="A36" t="s">
        <v>35</v>
      </c>
      <c r="B36" t="str">
        <f>MID(PESEL[[#This Row],[PESEL]],3,2)</f>
        <v>03</v>
      </c>
    </row>
    <row r="37" spans="1:2" x14ac:dyDescent="0.25">
      <c r="A37" t="s">
        <v>36</v>
      </c>
      <c r="B37" t="str">
        <f>MID(PESEL[[#This Row],[PESEL]],3,2)</f>
        <v>08</v>
      </c>
    </row>
    <row r="38" spans="1:2" x14ac:dyDescent="0.25">
      <c r="A38" t="s">
        <v>37</v>
      </c>
      <c r="B38" t="str">
        <f>MID(PESEL[[#This Row],[PESEL]],3,2)</f>
        <v>11</v>
      </c>
    </row>
    <row r="39" spans="1:2" x14ac:dyDescent="0.25">
      <c r="A39" t="s">
        <v>38</v>
      </c>
      <c r="B39" t="str">
        <f>MID(PESEL[[#This Row],[PESEL]],3,2)</f>
        <v>11</v>
      </c>
    </row>
    <row r="40" spans="1:2" x14ac:dyDescent="0.25">
      <c r="A40" t="s">
        <v>39</v>
      </c>
      <c r="B40" t="str">
        <f>MID(PESEL[[#This Row],[PESEL]],3,2)</f>
        <v>10</v>
      </c>
    </row>
    <row r="41" spans="1:2" x14ac:dyDescent="0.25">
      <c r="A41" t="s">
        <v>40</v>
      </c>
      <c r="B41" t="str">
        <f>MID(PESEL[[#This Row],[PESEL]],3,2)</f>
        <v>08</v>
      </c>
    </row>
    <row r="42" spans="1:2" x14ac:dyDescent="0.25">
      <c r="A42" t="s">
        <v>41</v>
      </c>
      <c r="B42" t="str">
        <f>MID(PESEL[[#This Row],[PESEL]],3,2)</f>
        <v>09</v>
      </c>
    </row>
    <row r="43" spans="1:2" x14ac:dyDescent="0.25">
      <c r="A43" t="s">
        <v>42</v>
      </c>
      <c r="B43" t="str">
        <f>MID(PESEL[[#This Row],[PESEL]],3,2)</f>
        <v>02</v>
      </c>
    </row>
    <row r="44" spans="1:2" x14ac:dyDescent="0.25">
      <c r="A44" t="s">
        <v>43</v>
      </c>
      <c r="B44" t="str">
        <f>MID(PESEL[[#This Row],[PESEL]],3,2)</f>
        <v>10</v>
      </c>
    </row>
    <row r="45" spans="1:2" x14ac:dyDescent="0.25">
      <c r="A45" t="s">
        <v>44</v>
      </c>
      <c r="B45" t="str">
        <f>MID(PESEL[[#This Row],[PESEL]],3,2)</f>
        <v>11</v>
      </c>
    </row>
    <row r="46" spans="1:2" x14ac:dyDescent="0.25">
      <c r="A46" t="s">
        <v>45</v>
      </c>
      <c r="B46" t="str">
        <f>MID(PESEL[[#This Row],[PESEL]],3,2)</f>
        <v>10</v>
      </c>
    </row>
    <row r="47" spans="1:2" x14ac:dyDescent="0.25">
      <c r="A47" t="s">
        <v>46</v>
      </c>
      <c r="B47" t="str">
        <f>MID(PESEL[[#This Row],[PESEL]],3,2)</f>
        <v>11</v>
      </c>
    </row>
    <row r="48" spans="1:2" x14ac:dyDescent="0.25">
      <c r="A48" t="s">
        <v>47</v>
      </c>
      <c r="B48" t="str">
        <f>MID(PESEL[[#This Row],[PESEL]],3,2)</f>
        <v>12</v>
      </c>
    </row>
    <row r="49" spans="1:2" x14ac:dyDescent="0.25">
      <c r="A49" t="s">
        <v>48</v>
      </c>
      <c r="B49" t="str">
        <f>MID(PESEL[[#This Row],[PESEL]],3,2)</f>
        <v>11</v>
      </c>
    </row>
    <row r="50" spans="1:2" x14ac:dyDescent="0.25">
      <c r="A50" t="s">
        <v>49</v>
      </c>
      <c r="B50" t="str">
        <f>MID(PESEL[[#This Row],[PESEL]],3,2)</f>
        <v>12</v>
      </c>
    </row>
    <row r="51" spans="1:2" x14ac:dyDescent="0.25">
      <c r="A51" t="s">
        <v>50</v>
      </c>
      <c r="B51" t="str">
        <f>MID(PESEL[[#This Row],[PESEL]],3,2)</f>
        <v>08</v>
      </c>
    </row>
    <row r="52" spans="1:2" x14ac:dyDescent="0.25">
      <c r="A52" t="s">
        <v>51</v>
      </c>
      <c r="B52" t="str">
        <f>MID(PESEL[[#This Row],[PESEL]],3,2)</f>
        <v>07</v>
      </c>
    </row>
    <row r="53" spans="1:2" x14ac:dyDescent="0.25">
      <c r="A53" t="s">
        <v>52</v>
      </c>
      <c r="B53" t="str">
        <f>MID(PESEL[[#This Row],[PESEL]],3,2)</f>
        <v>12</v>
      </c>
    </row>
    <row r="54" spans="1:2" x14ac:dyDescent="0.25">
      <c r="A54" t="s">
        <v>53</v>
      </c>
      <c r="B54" t="str">
        <f>MID(PESEL[[#This Row],[PESEL]],3,2)</f>
        <v>11</v>
      </c>
    </row>
    <row r="55" spans="1:2" x14ac:dyDescent="0.25">
      <c r="A55" t="s">
        <v>54</v>
      </c>
      <c r="B55" t="str">
        <f>MID(PESEL[[#This Row],[PESEL]],3,2)</f>
        <v>04</v>
      </c>
    </row>
    <row r="56" spans="1:2" x14ac:dyDescent="0.25">
      <c r="A56" t="s">
        <v>55</v>
      </c>
      <c r="B56" t="str">
        <f>MID(PESEL[[#This Row],[PESEL]],3,2)</f>
        <v>12</v>
      </c>
    </row>
    <row r="57" spans="1:2" x14ac:dyDescent="0.25">
      <c r="A57" t="s">
        <v>56</v>
      </c>
      <c r="B57" t="str">
        <f>MID(PESEL[[#This Row],[PESEL]],3,2)</f>
        <v>05</v>
      </c>
    </row>
    <row r="58" spans="1:2" x14ac:dyDescent="0.25">
      <c r="A58" t="s">
        <v>57</v>
      </c>
      <c r="B58" t="str">
        <f>MID(PESEL[[#This Row],[PESEL]],3,2)</f>
        <v>11</v>
      </c>
    </row>
    <row r="59" spans="1:2" x14ac:dyDescent="0.25">
      <c r="A59" t="s">
        <v>58</v>
      </c>
      <c r="B59" t="str">
        <f>MID(PESEL[[#This Row],[PESEL]],3,2)</f>
        <v>11</v>
      </c>
    </row>
    <row r="60" spans="1:2" x14ac:dyDescent="0.25">
      <c r="A60" t="s">
        <v>59</v>
      </c>
      <c r="B60" t="str">
        <f>MID(PESEL[[#This Row],[PESEL]],3,2)</f>
        <v>04</v>
      </c>
    </row>
    <row r="61" spans="1:2" x14ac:dyDescent="0.25">
      <c r="A61" t="s">
        <v>60</v>
      </c>
      <c r="B61" t="str">
        <f>MID(PESEL[[#This Row],[PESEL]],3,2)</f>
        <v>05</v>
      </c>
    </row>
    <row r="62" spans="1:2" x14ac:dyDescent="0.25">
      <c r="A62" t="s">
        <v>61</v>
      </c>
      <c r="B62" t="str">
        <f>MID(PESEL[[#This Row],[PESEL]],3,2)</f>
        <v>12</v>
      </c>
    </row>
    <row r="63" spans="1:2" x14ac:dyDescent="0.25">
      <c r="A63" t="s">
        <v>62</v>
      </c>
      <c r="B63" t="str">
        <f>MID(PESEL[[#This Row],[PESEL]],3,2)</f>
        <v>11</v>
      </c>
    </row>
    <row r="64" spans="1:2" x14ac:dyDescent="0.25">
      <c r="A64" t="s">
        <v>63</v>
      </c>
      <c r="B64" t="str">
        <f>MID(PESEL[[#This Row],[PESEL]],3,2)</f>
        <v>03</v>
      </c>
    </row>
    <row r="65" spans="1:2" x14ac:dyDescent="0.25">
      <c r="A65" t="s">
        <v>64</v>
      </c>
      <c r="B65" t="str">
        <f>MID(PESEL[[#This Row],[PESEL]],3,2)</f>
        <v>05</v>
      </c>
    </row>
    <row r="66" spans="1:2" x14ac:dyDescent="0.25">
      <c r="A66" t="s">
        <v>65</v>
      </c>
      <c r="B66" t="str">
        <f>MID(PESEL[[#This Row],[PESEL]],3,2)</f>
        <v>02</v>
      </c>
    </row>
    <row r="67" spans="1:2" x14ac:dyDescent="0.25">
      <c r="A67" t="s">
        <v>66</v>
      </c>
      <c r="B67" t="str">
        <f>MID(PESEL[[#This Row],[PESEL]],3,2)</f>
        <v>04</v>
      </c>
    </row>
    <row r="68" spans="1:2" x14ac:dyDescent="0.25">
      <c r="A68" t="s">
        <v>67</v>
      </c>
      <c r="B68" t="str">
        <f>MID(PESEL[[#This Row],[PESEL]],3,2)</f>
        <v>08</v>
      </c>
    </row>
    <row r="69" spans="1:2" x14ac:dyDescent="0.25">
      <c r="A69" t="s">
        <v>68</v>
      </c>
      <c r="B69" t="str">
        <f>MID(PESEL[[#This Row],[PESEL]],3,2)</f>
        <v>11</v>
      </c>
    </row>
    <row r="70" spans="1:2" x14ac:dyDescent="0.25">
      <c r="A70" t="s">
        <v>69</v>
      </c>
      <c r="B70" t="str">
        <f>MID(PESEL[[#This Row],[PESEL]],3,2)</f>
        <v>06</v>
      </c>
    </row>
    <row r="71" spans="1:2" x14ac:dyDescent="0.25">
      <c r="A71" t="s">
        <v>70</v>
      </c>
      <c r="B71" t="str">
        <f>MID(PESEL[[#This Row],[PESEL]],3,2)</f>
        <v>12</v>
      </c>
    </row>
    <row r="72" spans="1:2" x14ac:dyDescent="0.25">
      <c r="A72" t="s">
        <v>71</v>
      </c>
      <c r="B72" t="str">
        <f>MID(PESEL[[#This Row],[PESEL]],3,2)</f>
        <v>08</v>
      </c>
    </row>
    <row r="73" spans="1:2" x14ac:dyDescent="0.25">
      <c r="A73" t="s">
        <v>72</v>
      </c>
      <c r="B73" t="str">
        <f>MID(PESEL[[#This Row],[PESEL]],3,2)</f>
        <v>12</v>
      </c>
    </row>
    <row r="74" spans="1:2" x14ac:dyDescent="0.25">
      <c r="A74" t="s">
        <v>73</v>
      </c>
      <c r="B74" t="str">
        <f>MID(PESEL[[#This Row],[PESEL]],3,2)</f>
        <v>12</v>
      </c>
    </row>
    <row r="75" spans="1:2" x14ac:dyDescent="0.25">
      <c r="A75" t="s">
        <v>74</v>
      </c>
      <c r="B75" t="str">
        <f>MID(PESEL[[#This Row],[PESEL]],3,2)</f>
        <v>03</v>
      </c>
    </row>
    <row r="76" spans="1:2" x14ac:dyDescent="0.25">
      <c r="A76" t="s">
        <v>75</v>
      </c>
      <c r="B76" t="str">
        <f>MID(PESEL[[#This Row],[PESEL]],3,2)</f>
        <v>10</v>
      </c>
    </row>
    <row r="77" spans="1:2" x14ac:dyDescent="0.25">
      <c r="A77" t="s">
        <v>76</v>
      </c>
      <c r="B77" t="str">
        <f>MID(PESEL[[#This Row],[PESEL]],3,2)</f>
        <v>01</v>
      </c>
    </row>
    <row r="78" spans="1:2" x14ac:dyDescent="0.25">
      <c r="A78" t="s">
        <v>77</v>
      </c>
      <c r="B78" t="str">
        <f>MID(PESEL[[#This Row],[PESEL]],3,2)</f>
        <v>11</v>
      </c>
    </row>
    <row r="79" spans="1:2" x14ac:dyDescent="0.25">
      <c r="A79" t="s">
        <v>78</v>
      </c>
      <c r="B79" t="str">
        <f>MID(PESEL[[#This Row],[PESEL]],3,2)</f>
        <v>04</v>
      </c>
    </row>
    <row r="80" spans="1:2" x14ac:dyDescent="0.25">
      <c r="A80" t="s">
        <v>79</v>
      </c>
      <c r="B80" t="str">
        <f>MID(PESEL[[#This Row],[PESEL]],3,2)</f>
        <v>12</v>
      </c>
    </row>
    <row r="81" spans="1:2" x14ac:dyDescent="0.25">
      <c r="A81" t="s">
        <v>80</v>
      </c>
      <c r="B81" t="str">
        <f>MID(PESEL[[#This Row],[PESEL]],3,2)</f>
        <v>08</v>
      </c>
    </row>
    <row r="82" spans="1:2" x14ac:dyDescent="0.25">
      <c r="A82" t="s">
        <v>81</v>
      </c>
      <c r="B82" t="str">
        <f>MID(PESEL[[#This Row],[PESEL]],3,2)</f>
        <v>12</v>
      </c>
    </row>
    <row r="83" spans="1:2" x14ac:dyDescent="0.25">
      <c r="A83" t="s">
        <v>82</v>
      </c>
      <c r="B83" t="str">
        <f>MID(PESEL[[#This Row],[PESEL]],3,2)</f>
        <v>04</v>
      </c>
    </row>
    <row r="84" spans="1:2" x14ac:dyDescent="0.25">
      <c r="A84" t="s">
        <v>83</v>
      </c>
      <c r="B84" t="str">
        <f>MID(PESEL[[#This Row],[PESEL]],3,2)</f>
        <v>08</v>
      </c>
    </row>
    <row r="85" spans="1:2" x14ac:dyDescent="0.25">
      <c r="A85" t="s">
        <v>84</v>
      </c>
      <c r="B85" t="str">
        <f>MID(PESEL[[#This Row],[PESEL]],3,2)</f>
        <v>03</v>
      </c>
    </row>
    <row r="86" spans="1:2" x14ac:dyDescent="0.25">
      <c r="A86" t="s">
        <v>85</v>
      </c>
      <c r="B86" t="str">
        <f>MID(PESEL[[#This Row],[PESEL]],3,2)</f>
        <v>02</v>
      </c>
    </row>
    <row r="87" spans="1:2" x14ac:dyDescent="0.25">
      <c r="A87" t="s">
        <v>86</v>
      </c>
      <c r="B87" t="str">
        <f>MID(PESEL[[#This Row],[PESEL]],3,2)</f>
        <v>07</v>
      </c>
    </row>
    <row r="88" spans="1:2" x14ac:dyDescent="0.25">
      <c r="A88" t="s">
        <v>87</v>
      </c>
      <c r="B88" t="str">
        <f>MID(PESEL[[#This Row],[PESEL]],3,2)</f>
        <v>10</v>
      </c>
    </row>
    <row r="89" spans="1:2" x14ac:dyDescent="0.25">
      <c r="A89" t="s">
        <v>88</v>
      </c>
      <c r="B89" t="str">
        <f>MID(PESEL[[#This Row],[PESEL]],3,2)</f>
        <v>04</v>
      </c>
    </row>
    <row r="90" spans="1:2" x14ac:dyDescent="0.25">
      <c r="A90" t="s">
        <v>89</v>
      </c>
      <c r="B90" t="str">
        <f>MID(PESEL[[#This Row],[PESEL]],3,2)</f>
        <v>02</v>
      </c>
    </row>
    <row r="91" spans="1:2" x14ac:dyDescent="0.25">
      <c r="A91" t="s">
        <v>90</v>
      </c>
      <c r="B91" t="str">
        <f>MID(PESEL[[#This Row],[PESEL]],3,2)</f>
        <v>03</v>
      </c>
    </row>
    <row r="92" spans="1:2" x14ac:dyDescent="0.25">
      <c r="A92" t="s">
        <v>91</v>
      </c>
      <c r="B92" t="str">
        <f>MID(PESEL[[#This Row],[PESEL]],3,2)</f>
        <v>11</v>
      </c>
    </row>
    <row r="93" spans="1:2" x14ac:dyDescent="0.25">
      <c r="A93" t="s">
        <v>92</v>
      </c>
      <c r="B93" t="str">
        <f>MID(PESEL[[#This Row],[PESEL]],3,2)</f>
        <v>10</v>
      </c>
    </row>
    <row r="94" spans="1:2" x14ac:dyDescent="0.25">
      <c r="A94" t="s">
        <v>93</v>
      </c>
      <c r="B94" t="str">
        <f>MID(PESEL[[#This Row],[PESEL]],3,2)</f>
        <v>05</v>
      </c>
    </row>
    <row r="95" spans="1:2" x14ac:dyDescent="0.25">
      <c r="A95" t="s">
        <v>94</v>
      </c>
      <c r="B95" t="str">
        <f>MID(PESEL[[#This Row],[PESEL]],3,2)</f>
        <v>04</v>
      </c>
    </row>
    <row r="96" spans="1:2" x14ac:dyDescent="0.25">
      <c r="A96" t="s">
        <v>95</v>
      </c>
      <c r="B96" t="str">
        <f>MID(PESEL[[#This Row],[PESEL]],3,2)</f>
        <v>07</v>
      </c>
    </row>
    <row r="97" spans="1:2" x14ac:dyDescent="0.25">
      <c r="A97" t="s">
        <v>96</v>
      </c>
      <c r="B97" t="str">
        <f>MID(PESEL[[#This Row],[PESEL]],3,2)</f>
        <v>10</v>
      </c>
    </row>
    <row r="98" spans="1:2" x14ac:dyDescent="0.25">
      <c r="A98" t="s">
        <v>97</v>
      </c>
      <c r="B98" t="str">
        <f>MID(PESEL[[#This Row],[PESEL]],3,2)</f>
        <v>12</v>
      </c>
    </row>
    <row r="99" spans="1:2" x14ac:dyDescent="0.25">
      <c r="A99" t="s">
        <v>98</v>
      </c>
      <c r="B99" t="str">
        <f>MID(PESEL[[#This Row],[PESEL]],3,2)</f>
        <v>07</v>
      </c>
    </row>
    <row r="100" spans="1:2" x14ac:dyDescent="0.25">
      <c r="A100" t="s">
        <v>99</v>
      </c>
      <c r="B100" t="str">
        <f>MID(PESEL[[#This Row],[PESEL]],3,2)</f>
        <v>10</v>
      </c>
    </row>
    <row r="101" spans="1:2" x14ac:dyDescent="0.25">
      <c r="A101" t="s">
        <v>100</v>
      </c>
      <c r="B101" t="str">
        <f>MID(PESEL[[#This Row],[PESEL]],3,2)</f>
        <v>07</v>
      </c>
    </row>
    <row r="102" spans="1:2" x14ac:dyDescent="0.25">
      <c r="A102" t="s">
        <v>101</v>
      </c>
      <c r="B102" t="str">
        <f>MID(PESEL[[#This Row],[PESEL]],3,2)</f>
        <v>01</v>
      </c>
    </row>
    <row r="103" spans="1:2" x14ac:dyDescent="0.25">
      <c r="A103" t="s">
        <v>102</v>
      </c>
      <c r="B103" t="str">
        <f>MID(PESEL[[#This Row],[PESEL]],3,2)</f>
        <v>05</v>
      </c>
    </row>
    <row r="104" spans="1:2" x14ac:dyDescent="0.25">
      <c r="A104" t="s">
        <v>103</v>
      </c>
      <c r="B104" t="str">
        <f>MID(PESEL[[#This Row],[PESEL]],3,2)</f>
        <v>10</v>
      </c>
    </row>
    <row r="105" spans="1:2" x14ac:dyDescent="0.25">
      <c r="A105" t="s">
        <v>104</v>
      </c>
      <c r="B105" t="str">
        <f>MID(PESEL[[#This Row],[PESEL]],3,2)</f>
        <v>01</v>
      </c>
    </row>
    <row r="106" spans="1:2" x14ac:dyDescent="0.25">
      <c r="A106" t="s">
        <v>105</v>
      </c>
      <c r="B106" t="str">
        <f>MID(PESEL[[#This Row],[PESEL]],3,2)</f>
        <v>12</v>
      </c>
    </row>
    <row r="107" spans="1:2" x14ac:dyDescent="0.25">
      <c r="A107" t="s">
        <v>106</v>
      </c>
      <c r="B107" t="str">
        <f>MID(PESEL[[#This Row],[PESEL]],3,2)</f>
        <v>11</v>
      </c>
    </row>
    <row r="108" spans="1:2" x14ac:dyDescent="0.25">
      <c r="A108" t="s">
        <v>107</v>
      </c>
      <c r="B108" t="str">
        <f>MID(PESEL[[#This Row],[PESEL]],3,2)</f>
        <v>10</v>
      </c>
    </row>
    <row r="109" spans="1:2" x14ac:dyDescent="0.25">
      <c r="A109" t="s">
        <v>108</v>
      </c>
      <c r="B109" t="str">
        <f>MID(PESEL[[#This Row],[PESEL]],3,2)</f>
        <v>02</v>
      </c>
    </row>
    <row r="110" spans="1:2" x14ac:dyDescent="0.25">
      <c r="A110" t="s">
        <v>109</v>
      </c>
      <c r="B110" t="str">
        <f>MID(PESEL[[#This Row],[PESEL]],3,2)</f>
        <v>08</v>
      </c>
    </row>
    <row r="111" spans="1:2" x14ac:dyDescent="0.25">
      <c r="A111" t="s">
        <v>110</v>
      </c>
      <c r="B111" t="str">
        <f>MID(PESEL[[#This Row],[PESEL]],3,2)</f>
        <v>10</v>
      </c>
    </row>
    <row r="112" spans="1:2" x14ac:dyDescent="0.25">
      <c r="A112" t="s">
        <v>111</v>
      </c>
      <c r="B112" t="str">
        <f>MID(PESEL[[#This Row],[PESEL]],3,2)</f>
        <v>04</v>
      </c>
    </row>
    <row r="113" spans="1:2" x14ac:dyDescent="0.25">
      <c r="A113" t="s">
        <v>112</v>
      </c>
      <c r="B113" t="str">
        <f>MID(PESEL[[#This Row],[PESEL]],3,2)</f>
        <v>10</v>
      </c>
    </row>
    <row r="114" spans="1:2" x14ac:dyDescent="0.25">
      <c r="A114" t="s">
        <v>113</v>
      </c>
      <c r="B114" t="str">
        <f>MID(PESEL[[#This Row],[PESEL]],3,2)</f>
        <v>02</v>
      </c>
    </row>
    <row r="115" spans="1:2" x14ac:dyDescent="0.25">
      <c r="A115" t="s">
        <v>114</v>
      </c>
      <c r="B115" t="str">
        <f>MID(PESEL[[#This Row],[PESEL]],3,2)</f>
        <v>09</v>
      </c>
    </row>
    <row r="116" spans="1:2" x14ac:dyDescent="0.25">
      <c r="A116" t="s">
        <v>115</v>
      </c>
      <c r="B116" t="str">
        <f>MID(PESEL[[#This Row],[PESEL]],3,2)</f>
        <v>10</v>
      </c>
    </row>
    <row r="117" spans="1:2" x14ac:dyDescent="0.25">
      <c r="A117" t="s">
        <v>116</v>
      </c>
      <c r="B117" t="str">
        <f>MID(PESEL[[#This Row],[PESEL]],3,2)</f>
        <v>06</v>
      </c>
    </row>
    <row r="118" spans="1:2" x14ac:dyDescent="0.25">
      <c r="A118" t="s">
        <v>117</v>
      </c>
      <c r="B118" t="str">
        <f>MID(PESEL[[#This Row],[PESEL]],3,2)</f>
        <v>01</v>
      </c>
    </row>
    <row r="119" spans="1:2" x14ac:dyDescent="0.25">
      <c r="A119" t="s">
        <v>118</v>
      </c>
      <c r="B119" t="str">
        <f>MID(PESEL[[#This Row],[PESEL]],3,2)</f>
        <v>04</v>
      </c>
    </row>
    <row r="120" spans="1:2" x14ac:dyDescent="0.25">
      <c r="A120" t="s">
        <v>119</v>
      </c>
      <c r="B120" t="str">
        <f>MID(PESEL[[#This Row],[PESEL]],3,2)</f>
        <v>11</v>
      </c>
    </row>
    <row r="121" spans="1:2" x14ac:dyDescent="0.25">
      <c r="A121" t="s">
        <v>120</v>
      </c>
      <c r="B121" t="str">
        <f>MID(PESEL[[#This Row],[PESEL]],3,2)</f>
        <v>02</v>
      </c>
    </row>
    <row r="122" spans="1:2" x14ac:dyDescent="0.25">
      <c r="A122" t="s">
        <v>121</v>
      </c>
      <c r="B122" t="str">
        <f>MID(PESEL[[#This Row],[PESEL]],3,2)</f>
        <v>10</v>
      </c>
    </row>
    <row r="123" spans="1:2" x14ac:dyDescent="0.25">
      <c r="A123" t="s">
        <v>122</v>
      </c>
      <c r="B123" t="str">
        <f>MID(PESEL[[#This Row],[PESEL]],3,2)</f>
        <v>06</v>
      </c>
    </row>
    <row r="124" spans="1:2" x14ac:dyDescent="0.25">
      <c r="A124" t="s">
        <v>123</v>
      </c>
      <c r="B124" t="str">
        <f>MID(PESEL[[#This Row],[PESEL]],3,2)</f>
        <v>03</v>
      </c>
    </row>
    <row r="125" spans="1:2" x14ac:dyDescent="0.25">
      <c r="A125" t="s">
        <v>124</v>
      </c>
      <c r="B125" t="str">
        <f>MID(PESEL[[#This Row],[PESEL]],3,2)</f>
        <v>11</v>
      </c>
    </row>
    <row r="126" spans="1:2" x14ac:dyDescent="0.25">
      <c r="A126" t="s">
        <v>125</v>
      </c>
      <c r="B126" t="str">
        <f>MID(PESEL[[#This Row],[PESEL]],3,2)</f>
        <v>05</v>
      </c>
    </row>
    <row r="127" spans="1:2" x14ac:dyDescent="0.25">
      <c r="A127" t="s">
        <v>126</v>
      </c>
      <c r="B127" t="str">
        <f>MID(PESEL[[#This Row],[PESEL]],3,2)</f>
        <v>07</v>
      </c>
    </row>
    <row r="128" spans="1:2" x14ac:dyDescent="0.25">
      <c r="A128" t="s">
        <v>127</v>
      </c>
      <c r="B128" t="str">
        <f>MID(PESEL[[#This Row],[PESEL]],3,2)</f>
        <v>08</v>
      </c>
    </row>
    <row r="129" spans="1:2" x14ac:dyDescent="0.25">
      <c r="A129" t="s">
        <v>128</v>
      </c>
      <c r="B129" t="str">
        <f>MID(PESEL[[#This Row],[PESEL]],3,2)</f>
        <v>06</v>
      </c>
    </row>
    <row r="130" spans="1:2" x14ac:dyDescent="0.25">
      <c r="A130" t="s">
        <v>129</v>
      </c>
      <c r="B130" t="str">
        <f>MID(PESEL[[#This Row],[PESEL]],3,2)</f>
        <v>11</v>
      </c>
    </row>
    <row r="131" spans="1:2" x14ac:dyDescent="0.25">
      <c r="A131" t="s">
        <v>130</v>
      </c>
      <c r="B131" t="str">
        <f>MID(PESEL[[#This Row],[PESEL]],3,2)</f>
        <v>02</v>
      </c>
    </row>
    <row r="132" spans="1:2" x14ac:dyDescent="0.25">
      <c r="A132" t="s">
        <v>131</v>
      </c>
      <c r="B132" t="str">
        <f>MID(PESEL[[#This Row],[PESEL]],3,2)</f>
        <v>09</v>
      </c>
    </row>
    <row r="133" spans="1:2" x14ac:dyDescent="0.25">
      <c r="A133" t="s">
        <v>132</v>
      </c>
      <c r="B133" t="str">
        <f>MID(PESEL[[#This Row],[PESEL]],3,2)</f>
        <v>05</v>
      </c>
    </row>
    <row r="134" spans="1:2" x14ac:dyDescent="0.25">
      <c r="A134" t="s">
        <v>133</v>
      </c>
      <c r="B134" t="str">
        <f>MID(PESEL[[#This Row],[PESEL]],3,2)</f>
        <v>03</v>
      </c>
    </row>
    <row r="135" spans="1:2" x14ac:dyDescent="0.25">
      <c r="A135" t="s">
        <v>134</v>
      </c>
      <c r="B135" t="str">
        <f>MID(PESEL[[#This Row],[PESEL]],3,2)</f>
        <v>12</v>
      </c>
    </row>
    <row r="136" spans="1:2" x14ac:dyDescent="0.25">
      <c r="A136" t="s">
        <v>135</v>
      </c>
      <c r="B136" t="str">
        <f>MID(PESEL[[#This Row],[PESEL]],3,2)</f>
        <v>10</v>
      </c>
    </row>
    <row r="137" spans="1:2" x14ac:dyDescent="0.25">
      <c r="A137" t="s">
        <v>136</v>
      </c>
      <c r="B137" t="str">
        <f>MID(PESEL[[#This Row],[PESEL]],3,2)</f>
        <v>01</v>
      </c>
    </row>
    <row r="138" spans="1:2" x14ac:dyDescent="0.25">
      <c r="A138" t="s">
        <v>137</v>
      </c>
      <c r="B138" t="str">
        <f>MID(PESEL[[#This Row],[PESEL]],3,2)</f>
        <v>01</v>
      </c>
    </row>
    <row r="139" spans="1:2" x14ac:dyDescent="0.25">
      <c r="A139" t="s">
        <v>138</v>
      </c>
      <c r="B139" t="str">
        <f>MID(PESEL[[#This Row],[PESEL]],3,2)</f>
        <v>07</v>
      </c>
    </row>
    <row r="140" spans="1:2" x14ac:dyDescent="0.25">
      <c r="A140" t="s">
        <v>139</v>
      </c>
      <c r="B140" t="str">
        <f>MID(PESEL[[#This Row],[PESEL]],3,2)</f>
        <v>06</v>
      </c>
    </row>
    <row r="141" spans="1:2" x14ac:dyDescent="0.25">
      <c r="A141" t="s">
        <v>140</v>
      </c>
      <c r="B141" t="str">
        <f>MID(PESEL[[#This Row],[PESEL]],3,2)</f>
        <v>04</v>
      </c>
    </row>
    <row r="142" spans="1:2" x14ac:dyDescent="0.25">
      <c r="A142" t="s">
        <v>141</v>
      </c>
      <c r="B142" t="str">
        <f>MID(PESEL[[#This Row],[PESEL]],3,2)</f>
        <v>10</v>
      </c>
    </row>
    <row r="143" spans="1:2" x14ac:dyDescent="0.25">
      <c r="A143" t="s">
        <v>142</v>
      </c>
      <c r="B143" t="str">
        <f>MID(PESEL[[#This Row],[PESEL]],3,2)</f>
        <v>04</v>
      </c>
    </row>
    <row r="144" spans="1:2" x14ac:dyDescent="0.25">
      <c r="A144" t="s">
        <v>143</v>
      </c>
      <c r="B144" t="str">
        <f>MID(PESEL[[#This Row],[PESEL]],3,2)</f>
        <v>08</v>
      </c>
    </row>
    <row r="145" spans="1:2" x14ac:dyDescent="0.25">
      <c r="A145" t="s">
        <v>144</v>
      </c>
      <c r="B145" t="str">
        <f>MID(PESEL[[#This Row],[PESEL]],3,2)</f>
        <v>12</v>
      </c>
    </row>
    <row r="146" spans="1:2" x14ac:dyDescent="0.25">
      <c r="A146" t="s">
        <v>145</v>
      </c>
      <c r="B146" t="str">
        <f>MID(PESEL[[#This Row],[PESEL]],3,2)</f>
        <v>12</v>
      </c>
    </row>
    <row r="147" spans="1:2" x14ac:dyDescent="0.25">
      <c r="A147" t="s">
        <v>146</v>
      </c>
      <c r="B147" t="str">
        <f>MID(PESEL[[#This Row],[PESEL]],3,2)</f>
        <v>01</v>
      </c>
    </row>
    <row r="148" spans="1:2" x14ac:dyDescent="0.25">
      <c r="A148" t="s">
        <v>147</v>
      </c>
      <c r="B148" t="str">
        <f>MID(PESEL[[#This Row],[PESEL]],3,2)</f>
        <v>09</v>
      </c>
    </row>
    <row r="149" spans="1:2" x14ac:dyDescent="0.25">
      <c r="A149" t="s">
        <v>148</v>
      </c>
      <c r="B149" t="str">
        <f>MID(PESEL[[#This Row],[PESEL]],3,2)</f>
        <v>12</v>
      </c>
    </row>
    <row r="150" spans="1:2" x14ac:dyDescent="0.25">
      <c r="A150" t="s">
        <v>149</v>
      </c>
      <c r="B150" t="str">
        <f>MID(PESEL[[#This Row],[PESEL]],3,2)</f>
        <v>05</v>
      </c>
    </row>
    <row r="151" spans="1:2" x14ac:dyDescent="0.25">
      <c r="A151" t="s">
        <v>150</v>
      </c>
      <c r="B151" t="str">
        <f>MID(PESEL[[#This Row],[PESEL]],3,2)</f>
        <v>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A599-C0D0-4489-A4C6-6A6C8215966D}">
  <dimension ref="A1:E151"/>
  <sheetViews>
    <sheetView workbookViewId="0">
      <selection activeCell="D1" sqref="D1:E1"/>
    </sheetView>
  </sheetViews>
  <sheetFormatPr defaultRowHeight="15" x14ac:dyDescent="0.25"/>
  <cols>
    <col min="1" max="1" width="12" bestFit="1" customWidth="1"/>
    <col min="2" max="2" width="13.140625" bestFit="1" customWidth="1"/>
  </cols>
  <sheetData>
    <row r="1" spans="1:5" x14ac:dyDescent="0.25">
      <c r="A1" t="s">
        <v>0</v>
      </c>
      <c r="B1" t="s">
        <v>153</v>
      </c>
      <c r="D1" t="s">
        <v>154</v>
      </c>
      <c r="E1">
        <f>COUNTIF(B:B,"Tak")</f>
        <v>74</v>
      </c>
    </row>
    <row r="2" spans="1:5" x14ac:dyDescent="0.25">
      <c r="A2" t="s">
        <v>1</v>
      </c>
      <c r="B2" t="str">
        <f>IF(MOD(MID(PESEL3[[#This Row],[PESEL]],10,1),2) = 0, "Tak","")</f>
        <v/>
      </c>
    </row>
    <row r="3" spans="1:5" x14ac:dyDescent="0.25">
      <c r="A3" t="s">
        <v>2</v>
      </c>
      <c r="B3" t="str">
        <f>IF(MOD(MID(PESEL3[[#This Row],[PESEL]],10,1),2) = 0, "Tak","")</f>
        <v/>
      </c>
    </row>
    <row r="4" spans="1:5" x14ac:dyDescent="0.25">
      <c r="A4" t="s">
        <v>3</v>
      </c>
      <c r="B4" t="str">
        <f>IF(MOD(MID(PESEL3[[#This Row],[PESEL]],10,1),2) = 0, "Tak","")</f>
        <v>Tak</v>
      </c>
    </row>
    <row r="5" spans="1:5" x14ac:dyDescent="0.25">
      <c r="A5" t="s">
        <v>4</v>
      </c>
      <c r="B5" t="str">
        <f>IF(MOD(MID(PESEL3[[#This Row],[PESEL]],10,1),2) = 0, "Tak","")</f>
        <v>Tak</v>
      </c>
    </row>
    <row r="6" spans="1:5" x14ac:dyDescent="0.25">
      <c r="A6" t="s">
        <v>5</v>
      </c>
      <c r="B6" t="str">
        <f>IF(MOD(MID(PESEL3[[#This Row],[PESEL]],10,1),2) = 0, "Tak","")</f>
        <v>Tak</v>
      </c>
    </row>
    <row r="7" spans="1:5" x14ac:dyDescent="0.25">
      <c r="A7" t="s">
        <v>6</v>
      </c>
      <c r="B7" t="str">
        <f>IF(MOD(MID(PESEL3[[#This Row],[PESEL]],10,1),2) = 0, "Tak","")</f>
        <v>Tak</v>
      </c>
    </row>
    <row r="8" spans="1:5" x14ac:dyDescent="0.25">
      <c r="A8" t="s">
        <v>7</v>
      </c>
      <c r="B8" t="str">
        <f>IF(MOD(MID(PESEL3[[#This Row],[PESEL]],10,1),2) = 0, "Tak","")</f>
        <v/>
      </c>
    </row>
    <row r="9" spans="1:5" x14ac:dyDescent="0.25">
      <c r="A9" t="s">
        <v>8</v>
      </c>
      <c r="B9" t="str">
        <f>IF(MOD(MID(PESEL3[[#This Row],[PESEL]],10,1),2) = 0, "Tak","")</f>
        <v/>
      </c>
    </row>
    <row r="10" spans="1:5" x14ac:dyDescent="0.25">
      <c r="A10" t="s">
        <v>9</v>
      </c>
      <c r="B10" t="str">
        <f>IF(MOD(MID(PESEL3[[#This Row],[PESEL]],10,1),2) = 0, "Tak","")</f>
        <v>Tak</v>
      </c>
    </row>
    <row r="11" spans="1:5" x14ac:dyDescent="0.25">
      <c r="A11" t="s">
        <v>10</v>
      </c>
      <c r="B11" t="str">
        <f>IF(MOD(MID(PESEL3[[#This Row],[PESEL]],10,1),2) = 0, "Tak","")</f>
        <v>Tak</v>
      </c>
    </row>
    <row r="12" spans="1:5" x14ac:dyDescent="0.25">
      <c r="A12" t="s">
        <v>11</v>
      </c>
      <c r="B12" t="str">
        <f>IF(MOD(MID(PESEL3[[#This Row],[PESEL]],10,1),2) = 0, "Tak","")</f>
        <v/>
      </c>
    </row>
    <row r="13" spans="1:5" x14ac:dyDescent="0.25">
      <c r="A13" t="s">
        <v>12</v>
      </c>
      <c r="B13" t="str">
        <f>IF(MOD(MID(PESEL3[[#This Row],[PESEL]],10,1),2) = 0, "Tak","")</f>
        <v>Tak</v>
      </c>
    </row>
    <row r="14" spans="1:5" x14ac:dyDescent="0.25">
      <c r="A14" t="s">
        <v>13</v>
      </c>
      <c r="B14" t="str">
        <f>IF(MOD(MID(PESEL3[[#This Row],[PESEL]],10,1),2) = 0, "Tak","")</f>
        <v>Tak</v>
      </c>
    </row>
    <row r="15" spans="1:5" x14ac:dyDescent="0.25">
      <c r="A15" t="s">
        <v>14</v>
      </c>
      <c r="B15" t="str">
        <f>IF(MOD(MID(PESEL3[[#This Row],[PESEL]],10,1),2) = 0, "Tak","")</f>
        <v>Tak</v>
      </c>
    </row>
    <row r="16" spans="1:5" x14ac:dyDescent="0.25">
      <c r="A16" t="s">
        <v>15</v>
      </c>
      <c r="B16" t="str">
        <f>IF(MOD(MID(PESEL3[[#This Row],[PESEL]],10,1),2) = 0, "Tak","")</f>
        <v/>
      </c>
    </row>
    <row r="17" spans="1:2" x14ac:dyDescent="0.25">
      <c r="A17" t="s">
        <v>16</v>
      </c>
      <c r="B17" t="str">
        <f>IF(MOD(MID(PESEL3[[#This Row],[PESEL]],10,1),2) = 0, "Tak","")</f>
        <v/>
      </c>
    </row>
    <row r="18" spans="1:2" x14ac:dyDescent="0.25">
      <c r="A18" t="s">
        <v>17</v>
      </c>
      <c r="B18" t="str">
        <f>IF(MOD(MID(PESEL3[[#This Row],[PESEL]],10,1),2) = 0, "Tak","")</f>
        <v/>
      </c>
    </row>
    <row r="19" spans="1:2" x14ac:dyDescent="0.25">
      <c r="A19" t="s">
        <v>18</v>
      </c>
      <c r="B19" t="str">
        <f>IF(MOD(MID(PESEL3[[#This Row],[PESEL]],10,1),2) = 0, "Tak","")</f>
        <v>Tak</v>
      </c>
    </row>
    <row r="20" spans="1:2" x14ac:dyDescent="0.25">
      <c r="A20" t="s">
        <v>19</v>
      </c>
      <c r="B20" t="str">
        <f>IF(MOD(MID(PESEL3[[#This Row],[PESEL]],10,1),2) = 0, "Tak","")</f>
        <v>Tak</v>
      </c>
    </row>
    <row r="21" spans="1:2" x14ac:dyDescent="0.25">
      <c r="A21" t="s">
        <v>20</v>
      </c>
      <c r="B21" t="str">
        <f>IF(MOD(MID(PESEL3[[#This Row],[PESEL]],10,1),2) = 0, "Tak","")</f>
        <v>Tak</v>
      </c>
    </row>
    <row r="22" spans="1:2" x14ac:dyDescent="0.25">
      <c r="A22" t="s">
        <v>21</v>
      </c>
      <c r="B22" t="str">
        <f>IF(MOD(MID(PESEL3[[#This Row],[PESEL]],10,1),2) = 0, "Tak","")</f>
        <v/>
      </c>
    </row>
    <row r="23" spans="1:2" x14ac:dyDescent="0.25">
      <c r="A23" t="s">
        <v>22</v>
      </c>
      <c r="B23" t="str">
        <f>IF(MOD(MID(PESEL3[[#This Row],[PESEL]],10,1),2) = 0, "Tak","")</f>
        <v>Tak</v>
      </c>
    </row>
    <row r="24" spans="1:2" x14ac:dyDescent="0.25">
      <c r="A24" t="s">
        <v>23</v>
      </c>
      <c r="B24" t="str">
        <f>IF(MOD(MID(PESEL3[[#This Row],[PESEL]],10,1),2) = 0, "Tak","")</f>
        <v>Tak</v>
      </c>
    </row>
    <row r="25" spans="1:2" x14ac:dyDescent="0.25">
      <c r="A25" t="s">
        <v>24</v>
      </c>
      <c r="B25" t="str">
        <f>IF(MOD(MID(PESEL3[[#This Row],[PESEL]],10,1),2) = 0, "Tak","")</f>
        <v>Tak</v>
      </c>
    </row>
    <row r="26" spans="1:2" x14ac:dyDescent="0.25">
      <c r="A26" t="s">
        <v>25</v>
      </c>
      <c r="B26" t="str">
        <f>IF(MOD(MID(PESEL3[[#This Row],[PESEL]],10,1),2) = 0, "Tak","")</f>
        <v/>
      </c>
    </row>
    <row r="27" spans="1:2" x14ac:dyDescent="0.25">
      <c r="A27" t="s">
        <v>26</v>
      </c>
      <c r="B27" t="str">
        <f>IF(MOD(MID(PESEL3[[#This Row],[PESEL]],10,1),2) = 0, "Tak","")</f>
        <v/>
      </c>
    </row>
    <row r="28" spans="1:2" x14ac:dyDescent="0.25">
      <c r="A28" t="s">
        <v>27</v>
      </c>
      <c r="B28" t="str">
        <f>IF(MOD(MID(PESEL3[[#This Row],[PESEL]],10,1),2) = 0, "Tak","")</f>
        <v/>
      </c>
    </row>
    <row r="29" spans="1:2" x14ac:dyDescent="0.25">
      <c r="A29" t="s">
        <v>28</v>
      </c>
      <c r="B29" t="str">
        <f>IF(MOD(MID(PESEL3[[#This Row],[PESEL]],10,1),2) = 0, "Tak","")</f>
        <v/>
      </c>
    </row>
    <row r="30" spans="1:2" x14ac:dyDescent="0.25">
      <c r="A30" t="s">
        <v>29</v>
      </c>
      <c r="B30" t="str">
        <f>IF(MOD(MID(PESEL3[[#This Row],[PESEL]],10,1),2) = 0, "Tak","")</f>
        <v/>
      </c>
    </row>
    <row r="31" spans="1:2" x14ac:dyDescent="0.25">
      <c r="A31" t="s">
        <v>30</v>
      </c>
      <c r="B31" t="str">
        <f>IF(MOD(MID(PESEL3[[#This Row],[PESEL]],10,1),2) = 0, "Tak","")</f>
        <v/>
      </c>
    </row>
    <row r="32" spans="1:2" x14ac:dyDescent="0.25">
      <c r="A32" t="s">
        <v>31</v>
      </c>
      <c r="B32" t="str">
        <f>IF(MOD(MID(PESEL3[[#This Row],[PESEL]],10,1),2) = 0, "Tak","")</f>
        <v>Tak</v>
      </c>
    </row>
    <row r="33" spans="1:2" x14ac:dyDescent="0.25">
      <c r="A33" t="s">
        <v>32</v>
      </c>
      <c r="B33" t="str">
        <f>IF(MOD(MID(PESEL3[[#This Row],[PESEL]],10,1),2) = 0, "Tak","")</f>
        <v>Tak</v>
      </c>
    </row>
    <row r="34" spans="1:2" x14ac:dyDescent="0.25">
      <c r="A34" t="s">
        <v>33</v>
      </c>
      <c r="B34" t="str">
        <f>IF(MOD(MID(PESEL3[[#This Row],[PESEL]],10,1),2) = 0, "Tak","")</f>
        <v>Tak</v>
      </c>
    </row>
    <row r="35" spans="1:2" x14ac:dyDescent="0.25">
      <c r="A35" t="s">
        <v>34</v>
      </c>
      <c r="B35" t="str">
        <f>IF(MOD(MID(PESEL3[[#This Row],[PESEL]],10,1),2) = 0, "Tak","")</f>
        <v>Tak</v>
      </c>
    </row>
    <row r="36" spans="1:2" x14ac:dyDescent="0.25">
      <c r="A36" t="s">
        <v>35</v>
      </c>
      <c r="B36" t="str">
        <f>IF(MOD(MID(PESEL3[[#This Row],[PESEL]],10,1),2) = 0, "Tak","")</f>
        <v/>
      </c>
    </row>
    <row r="37" spans="1:2" x14ac:dyDescent="0.25">
      <c r="A37" t="s">
        <v>36</v>
      </c>
      <c r="B37" t="str">
        <f>IF(MOD(MID(PESEL3[[#This Row],[PESEL]],10,1),2) = 0, "Tak","")</f>
        <v>Tak</v>
      </c>
    </row>
    <row r="38" spans="1:2" x14ac:dyDescent="0.25">
      <c r="A38" t="s">
        <v>37</v>
      </c>
      <c r="B38" t="str">
        <f>IF(MOD(MID(PESEL3[[#This Row],[PESEL]],10,1),2) = 0, "Tak","")</f>
        <v/>
      </c>
    </row>
    <row r="39" spans="1:2" x14ac:dyDescent="0.25">
      <c r="A39" t="s">
        <v>38</v>
      </c>
      <c r="B39" t="str">
        <f>IF(MOD(MID(PESEL3[[#This Row],[PESEL]],10,1),2) = 0, "Tak","")</f>
        <v>Tak</v>
      </c>
    </row>
    <row r="40" spans="1:2" x14ac:dyDescent="0.25">
      <c r="A40" t="s">
        <v>39</v>
      </c>
      <c r="B40" t="str">
        <f>IF(MOD(MID(PESEL3[[#This Row],[PESEL]],10,1),2) = 0, "Tak","")</f>
        <v/>
      </c>
    </row>
    <row r="41" spans="1:2" x14ac:dyDescent="0.25">
      <c r="A41" t="s">
        <v>40</v>
      </c>
      <c r="B41" t="str">
        <f>IF(MOD(MID(PESEL3[[#This Row],[PESEL]],10,1),2) = 0, "Tak","")</f>
        <v>Tak</v>
      </c>
    </row>
    <row r="42" spans="1:2" x14ac:dyDescent="0.25">
      <c r="A42" t="s">
        <v>41</v>
      </c>
      <c r="B42" t="str">
        <f>IF(MOD(MID(PESEL3[[#This Row],[PESEL]],10,1),2) = 0, "Tak","")</f>
        <v/>
      </c>
    </row>
    <row r="43" spans="1:2" x14ac:dyDescent="0.25">
      <c r="A43" t="s">
        <v>42</v>
      </c>
      <c r="B43" t="str">
        <f>IF(MOD(MID(PESEL3[[#This Row],[PESEL]],10,1),2) = 0, "Tak","")</f>
        <v/>
      </c>
    </row>
    <row r="44" spans="1:2" x14ac:dyDescent="0.25">
      <c r="A44" t="s">
        <v>43</v>
      </c>
      <c r="B44" t="str">
        <f>IF(MOD(MID(PESEL3[[#This Row],[PESEL]],10,1),2) = 0, "Tak","")</f>
        <v/>
      </c>
    </row>
    <row r="45" spans="1:2" x14ac:dyDescent="0.25">
      <c r="A45" t="s">
        <v>44</v>
      </c>
      <c r="B45" t="str">
        <f>IF(MOD(MID(PESEL3[[#This Row],[PESEL]],10,1),2) = 0, "Tak","")</f>
        <v/>
      </c>
    </row>
    <row r="46" spans="1:2" x14ac:dyDescent="0.25">
      <c r="A46" t="s">
        <v>45</v>
      </c>
      <c r="B46" t="str">
        <f>IF(MOD(MID(PESEL3[[#This Row],[PESEL]],10,1),2) = 0, "Tak","")</f>
        <v>Tak</v>
      </c>
    </row>
    <row r="47" spans="1:2" x14ac:dyDescent="0.25">
      <c r="A47" t="s">
        <v>46</v>
      </c>
      <c r="B47" t="str">
        <f>IF(MOD(MID(PESEL3[[#This Row],[PESEL]],10,1),2) = 0, "Tak","")</f>
        <v/>
      </c>
    </row>
    <row r="48" spans="1:2" x14ac:dyDescent="0.25">
      <c r="A48" t="s">
        <v>47</v>
      </c>
      <c r="B48" t="str">
        <f>IF(MOD(MID(PESEL3[[#This Row],[PESEL]],10,1),2) = 0, "Tak","")</f>
        <v/>
      </c>
    </row>
    <row r="49" spans="1:2" x14ac:dyDescent="0.25">
      <c r="A49" t="s">
        <v>48</v>
      </c>
      <c r="B49" t="str">
        <f>IF(MOD(MID(PESEL3[[#This Row],[PESEL]],10,1),2) = 0, "Tak","")</f>
        <v>Tak</v>
      </c>
    </row>
    <row r="50" spans="1:2" x14ac:dyDescent="0.25">
      <c r="A50" t="s">
        <v>49</v>
      </c>
      <c r="B50" t="str">
        <f>IF(MOD(MID(PESEL3[[#This Row],[PESEL]],10,1),2) = 0, "Tak","")</f>
        <v>Tak</v>
      </c>
    </row>
    <row r="51" spans="1:2" x14ac:dyDescent="0.25">
      <c r="A51" t="s">
        <v>50</v>
      </c>
      <c r="B51" t="str">
        <f>IF(MOD(MID(PESEL3[[#This Row],[PESEL]],10,1),2) = 0, "Tak","")</f>
        <v/>
      </c>
    </row>
    <row r="52" spans="1:2" x14ac:dyDescent="0.25">
      <c r="A52" t="s">
        <v>51</v>
      </c>
      <c r="B52" t="str">
        <f>IF(MOD(MID(PESEL3[[#This Row],[PESEL]],10,1),2) = 0, "Tak","")</f>
        <v>Tak</v>
      </c>
    </row>
    <row r="53" spans="1:2" x14ac:dyDescent="0.25">
      <c r="A53" t="s">
        <v>52</v>
      </c>
      <c r="B53" t="str">
        <f>IF(MOD(MID(PESEL3[[#This Row],[PESEL]],10,1),2) = 0, "Tak","")</f>
        <v>Tak</v>
      </c>
    </row>
    <row r="54" spans="1:2" x14ac:dyDescent="0.25">
      <c r="A54" t="s">
        <v>53</v>
      </c>
      <c r="B54" t="str">
        <f>IF(MOD(MID(PESEL3[[#This Row],[PESEL]],10,1),2) = 0, "Tak","")</f>
        <v/>
      </c>
    </row>
    <row r="55" spans="1:2" x14ac:dyDescent="0.25">
      <c r="A55" t="s">
        <v>54</v>
      </c>
      <c r="B55" t="str">
        <f>IF(MOD(MID(PESEL3[[#This Row],[PESEL]],10,1),2) = 0, "Tak","")</f>
        <v>Tak</v>
      </c>
    </row>
    <row r="56" spans="1:2" x14ac:dyDescent="0.25">
      <c r="A56" t="s">
        <v>55</v>
      </c>
      <c r="B56" t="str">
        <f>IF(MOD(MID(PESEL3[[#This Row],[PESEL]],10,1),2) = 0, "Tak","")</f>
        <v/>
      </c>
    </row>
    <row r="57" spans="1:2" x14ac:dyDescent="0.25">
      <c r="A57" t="s">
        <v>56</v>
      </c>
      <c r="B57" t="str">
        <f>IF(MOD(MID(PESEL3[[#This Row],[PESEL]],10,1),2) = 0, "Tak","")</f>
        <v/>
      </c>
    </row>
    <row r="58" spans="1:2" x14ac:dyDescent="0.25">
      <c r="A58" t="s">
        <v>57</v>
      </c>
      <c r="B58" t="str">
        <f>IF(MOD(MID(PESEL3[[#This Row],[PESEL]],10,1),2) = 0, "Tak","")</f>
        <v>Tak</v>
      </c>
    </row>
    <row r="59" spans="1:2" x14ac:dyDescent="0.25">
      <c r="A59" t="s">
        <v>58</v>
      </c>
      <c r="B59" t="str">
        <f>IF(MOD(MID(PESEL3[[#This Row],[PESEL]],10,1),2) = 0, "Tak","")</f>
        <v/>
      </c>
    </row>
    <row r="60" spans="1:2" x14ac:dyDescent="0.25">
      <c r="A60" t="s">
        <v>59</v>
      </c>
      <c r="B60" t="str">
        <f>IF(MOD(MID(PESEL3[[#This Row],[PESEL]],10,1),2) = 0, "Tak","")</f>
        <v>Tak</v>
      </c>
    </row>
    <row r="61" spans="1:2" x14ac:dyDescent="0.25">
      <c r="A61" t="s">
        <v>60</v>
      </c>
      <c r="B61" t="str">
        <f>IF(MOD(MID(PESEL3[[#This Row],[PESEL]],10,1),2) = 0, "Tak","")</f>
        <v/>
      </c>
    </row>
    <row r="62" spans="1:2" x14ac:dyDescent="0.25">
      <c r="A62" t="s">
        <v>61</v>
      </c>
      <c r="B62" t="str">
        <f>IF(MOD(MID(PESEL3[[#This Row],[PESEL]],10,1),2) = 0, "Tak","")</f>
        <v/>
      </c>
    </row>
    <row r="63" spans="1:2" x14ac:dyDescent="0.25">
      <c r="A63" t="s">
        <v>62</v>
      </c>
      <c r="B63" t="str">
        <f>IF(MOD(MID(PESEL3[[#This Row],[PESEL]],10,1),2) = 0, "Tak","")</f>
        <v/>
      </c>
    </row>
    <row r="64" spans="1:2" x14ac:dyDescent="0.25">
      <c r="A64" t="s">
        <v>63</v>
      </c>
      <c r="B64" t="str">
        <f>IF(MOD(MID(PESEL3[[#This Row],[PESEL]],10,1),2) = 0, "Tak","")</f>
        <v>Tak</v>
      </c>
    </row>
    <row r="65" spans="1:2" x14ac:dyDescent="0.25">
      <c r="A65" t="s">
        <v>64</v>
      </c>
      <c r="B65" t="str">
        <f>IF(MOD(MID(PESEL3[[#This Row],[PESEL]],10,1),2) = 0, "Tak","")</f>
        <v>Tak</v>
      </c>
    </row>
    <row r="66" spans="1:2" x14ac:dyDescent="0.25">
      <c r="A66" t="s">
        <v>65</v>
      </c>
      <c r="B66" t="str">
        <f>IF(MOD(MID(PESEL3[[#This Row],[PESEL]],10,1),2) = 0, "Tak","")</f>
        <v/>
      </c>
    </row>
    <row r="67" spans="1:2" x14ac:dyDescent="0.25">
      <c r="A67" t="s">
        <v>66</v>
      </c>
      <c r="B67" t="str">
        <f>IF(MOD(MID(PESEL3[[#This Row],[PESEL]],10,1),2) = 0, "Tak","")</f>
        <v>Tak</v>
      </c>
    </row>
    <row r="68" spans="1:2" x14ac:dyDescent="0.25">
      <c r="A68" t="s">
        <v>67</v>
      </c>
      <c r="B68" t="str">
        <f>IF(MOD(MID(PESEL3[[#This Row],[PESEL]],10,1),2) = 0, "Tak","")</f>
        <v>Tak</v>
      </c>
    </row>
    <row r="69" spans="1:2" x14ac:dyDescent="0.25">
      <c r="A69" t="s">
        <v>68</v>
      </c>
      <c r="B69" t="str">
        <f>IF(MOD(MID(PESEL3[[#This Row],[PESEL]],10,1),2) = 0, "Tak","")</f>
        <v>Tak</v>
      </c>
    </row>
    <row r="70" spans="1:2" x14ac:dyDescent="0.25">
      <c r="A70" t="s">
        <v>69</v>
      </c>
      <c r="B70" t="str">
        <f>IF(MOD(MID(PESEL3[[#This Row],[PESEL]],10,1),2) = 0, "Tak","")</f>
        <v/>
      </c>
    </row>
    <row r="71" spans="1:2" x14ac:dyDescent="0.25">
      <c r="A71" t="s">
        <v>70</v>
      </c>
      <c r="B71" t="str">
        <f>IF(MOD(MID(PESEL3[[#This Row],[PESEL]],10,1),2) = 0, "Tak","")</f>
        <v>Tak</v>
      </c>
    </row>
    <row r="72" spans="1:2" x14ac:dyDescent="0.25">
      <c r="A72" t="s">
        <v>71</v>
      </c>
      <c r="B72" t="str">
        <f>IF(MOD(MID(PESEL3[[#This Row],[PESEL]],10,1),2) = 0, "Tak","")</f>
        <v>Tak</v>
      </c>
    </row>
    <row r="73" spans="1:2" x14ac:dyDescent="0.25">
      <c r="A73" t="s">
        <v>72</v>
      </c>
      <c r="B73" t="str">
        <f>IF(MOD(MID(PESEL3[[#This Row],[PESEL]],10,1),2) = 0, "Tak","")</f>
        <v/>
      </c>
    </row>
    <row r="74" spans="1:2" x14ac:dyDescent="0.25">
      <c r="A74" t="s">
        <v>73</v>
      </c>
      <c r="B74" t="str">
        <f>IF(MOD(MID(PESEL3[[#This Row],[PESEL]],10,1),2) = 0, "Tak","")</f>
        <v>Tak</v>
      </c>
    </row>
    <row r="75" spans="1:2" x14ac:dyDescent="0.25">
      <c r="A75" t="s">
        <v>74</v>
      </c>
      <c r="B75" t="str">
        <f>IF(MOD(MID(PESEL3[[#This Row],[PESEL]],10,1),2) = 0, "Tak","")</f>
        <v>Tak</v>
      </c>
    </row>
    <row r="76" spans="1:2" x14ac:dyDescent="0.25">
      <c r="A76" t="s">
        <v>75</v>
      </c>
      <c r="B76" t="str">
        <f>IF(MOD(MID(PESEL3[[#This Row],[PESEL]],10,1),2) = 0, "Tak","")</f>
        <v/>
      </c>
    </row>
    <row r="77" spans="1:2" x14ac:dyDescent="0.25">
      <c r="A77" t="s">
        <v>76</v>
      </c>
      <c r="B77" t="str">
        <f>IF(MOD(MID(PESEL3[[#This Row],[PESEL]],10,1),2) = 0, "Tak","")</f>
        <v>Tak</v>
      </c>
    </row>
    <row r="78" spans="1:2" x14ac:dyDescent="0.25">
      <c r="A78" t="s">
        <v>77</v>
      </c>
      <c r="B78" t="str">
        <f>IF(MOD(MID(PESEL3[[#This Row],[PESEL]],10,1),2) = 0, "Tak","")</f>
        <v>Tak</v>
      </c>
    </row>
    <row r="79" spans="1:2" x14ac:dyDescent="0.25">
      <c r="A79" t="s">
        <v>78</v>
      </c>
      <c r="B79" t="str">
        <f>IF(MOD(MID(PESEL3[[#This Row],[PESEL]],10,1),2) = 0, "Tak","")</f>
        <v/>
      </c>
    </row>
    <row r="80" spans="1:2" x14ac:dyDescent="0.25">
      <c r="A80" t="s">
        <v>79</v>
      </c>
      <c r="B80" t="str">
        <f>IF(MOD(MID(PESEL3[[#This Row],[PESEL]],10,1),2) = 0, "Tak","")</f>
        <v>Tak</v>
      </c>
    </row>
    <row r="81" spans="1:2" x14ac:dyDescent="0.25">
      <c r="A81" t="s">
        <v>80</v>
      </c>
      <c r="B81" t="str">
        <f>IF(MOD(MID(PESEL3[[#This Row],[PESEL]],10,1),2) = 0, "Tak","")</f>
        <v/>
      </c>
    </row>
    <row r="82" spans="1:2" x14ac:dyDescent="0.25">
      <c r="A82" t="s">
        <v>81</v>
      </c>
      <c r="B82" t="str">
        <f>IF(MOD(MID(PESEL3[[#This Row],[PESEL]],10,1),2) = 0, "Tak","")</f>
        <v>Tak</v>
      </c>
    </row>
    <row r="83" spans="1:2" x14ac:dyDescent="0.25">
      <c r="A83" t="s">
        <v>82</v>
      </c>
      <c r="B83" t="str">
        <f>IF(MOD(MID(PESEL3[[#This Row],[PESEL]],10,1),2) = 0, "Tak","")</f>
        <v>Tak</v>
      </c>
    </row>
    <row r="84" spans="1:2" x14ac:dyDescent="0.25">
      <c r="A84" t="s">
        <v>83</v>
      </c>
      <c r="B84" t="str">
        <f>IF(MOD(MID(PESEL3[[#This Row],[PESEL]],10,1),2) = 0, "Tak","")</f>
        <v/>
      </c>
    </row>
    <row r="85" spans="1:2" x14ac:dyDescent="0.25">
      <c r="A85" t="s">
        <v>84</v>
      </c>
      <c r="B85" t="str">
        <f>IF(MOD(MID(PESEL3[[#This Row],[PESEL]],10,1),2) = 0, "Tak","")</f>
        <v/>
      </c>
    </row>
    <row r="86" spans="1:2" x14ac:dyDescent="0.25">
      <c r="A86" t="s">
        <v>85</v>
      </c>
      <c r="B86" t="str">
        <f>IF(MOD(MID(PESEL3[[#This Row],[PESEL]],10,1),2) = 0, "Tak","")</f>
        <v/>
      </c>
    </row>
    <row r="87" spans="1:2" x14ac:dyDescent="0.25">
      <c r="A87" t="s">
        <v>86</v>
      </c>
      <c r="B87" t="str">
        <f>IF(MOD(MID(PESEL3[[#This Row],[PESEL]],10,1),2) = 0, "Tak","")</f>
        <v>Tak</v>
      </c>
    </row>
    <row r="88" spans="1:2" x14ac:dyDescent="0.25">
      <c r="A88" t="s">
        <v>87</v>
      </c>
      <c r="B88" t="str">
        <f>IF(MOD(MID(PESEL3[[#This Row],[PESEL]],10,1),2) = 0, "Tak","")</f>
        <v/>
      </c>
    </row>
    <row r="89" spans="1:2" x14ac:dyDescent="0.25">
      <c r="A89" t="s">
        <v>88</v>
      </c>
      <c r="B89" t="str">
        <f>IF(MOD(MID(PESEL3[[#This Row],[PESEL]],10,1),2) = 0, "Tak","")</f>
        <v>Tak</v>
      </c>
    </row>
    <row r="90" spans="1:2" x14ac:dyDescent="0.25">
      <c r="A90" t="s">
        <v>89</v>
      </c>
      <c r="B90" t="str">
        <f>IF(MOD(MID(PESEL3[[#This Row],[PESEL]],10,1),2) = 0, "Tak","")</f>
        <v/>
      </c>
    </row>
    <row r="91" spans="1:2" x14ac:dyDescent="0.25">
      <c r="A91" t="s">
        <v>90</v>
      </c>
      <c r="B91" t="str">
        <f>IF(MOD(MID(PESEL3[[#This Row],[PESEL]],10,1),2) = 0, "Tak","")</f>
        <v/>
      </c>
    </row>
    <row r="92" spans="1:2" x14ac:dyDescent="0.25">
      <c r="A92" t="s">
        <v>91</v>
      </c>
      <c r="B92" t="str">
        <f>IF(MOD(MID(PESEL3[[#This Row],[PESEL]],10,1),2) = 0, "Tak","")</f>
        <v>Tak</v>
      </c>
    </row>
    <row r="93" spans="1:2" x14ac:dyDescent="0.25">
      <c r="A93" t="s">
        <v>92</v>
      </c>
      <c r="B93" t="str">
        <f>IF(MOD(MID(PESEL3[[#This Row],[PESEL]],10,1),2) = 0, "Tak","")</f>
        <v>Tak</v>
      </c>
    </row>
    <row r="94" spans="1:2" x14ac:dyDescent="0.25">
      <c r="A94" t="s">
        <v>93</v>
      </c>
      <c r="B94" t="str">
        <f>IF(MOD(MID(PESEL3[[#This Row],[PESEL]],10,1),2) = 0, "Tak","")</f>
        <v>Tak</v>
      </c>
    </row>
    <row r="95" spans="1:2" x14ac:dyDescent="0.25">
      <c r="A95" t="s">
        <v>94</v>
      </c>
      <c r="B95" t="str">
        <f>IF(MOD(MID(PESEL3[[#This Row],[PESEL]],10,1),2) = 0, "Tak","")</f>
        <v/>
      </c>
    </row>
    <row r="96" spans="1:2" x14ac:dyDescent="0.25">
      <c r="A96" t="s">
        <v>95</v>
      </c>
      <c r="B96" t="str">
        <f>IF(MOD(MID(PESEL3[[#This Row],[PESEL]],10,1),2) = 0, "Tak","")</f>
        <v>Tak</v>
      </c>
    </row>
    <row r="97" spans="1:2" x14ac:dyDescent="0.25">
      <c r="A97" t="s">
        <v>96</v>
      </c>
      <c r="B97" t="str">
        <f>IF(MOD(MID(PESEL3[[#This Row],[PESEL]],10,1),2) = 0, "Tak","")</f>
        <v/>
      </c>
    </row>
    <row r="98" spans="1:2" x14ac:dyDescent="0.25">
      <c r="A98" t="s">
        <v>97</v>
      </c>
      <c r="B98" t="str">
        <f>IF(MOD(MID(PESEL3[[#This Row],[PESEL]],10,1),2) = 0, "Tak","")</f>
        <v/>
      </c>
    </row>
    <row r="99" spans="1:2" x14ac:dyDescent="0.25">
      <c r="A99" t="s">
        <v>98</v>
      </c>
      <c r="B99" t="str">
        <f>IF(MOD(MID(PESEL3[[#This Row],[PESEL]],10,1),2) = 0, "Tak","")</f>
        <v>Tak</v>
      </c>
    </row>
    <row r="100" spans="1:2" x14ac:dyDescent="0.25">
      <c r="A100" t="s">
        <v>99</v>
      </c>
      <c r="B100" t="str">
        <f>IF(MOD(MID(PESEL3[[#This Row],[PESEL]],10,1),2) = 0, "Tak","")</f>
        <v/>
      </c>
    </row>
    <row r="101" spans="1:2" x14ac:dyDescent="0.25">
      <c r="A101" t="s">
        <v>100</v>
      </c>
      <c r="B101" t="str">
        <f>IF(MOD(MID(PESEL3[[#This Row],[PESEL]],10,1),2) = 0, "Tak","")</f>
        <v>Tak</v>
      </c>
    </row>
    <row r="102" spans="1:2" x14ac:dyDescent="0.25">
      <c r="A102" t="s">
        <v>101</v>
      </c>
      <c r="B102" t="str">
        <f>IF(MOD(MID(PESEL3[[#This Row],[PESEL]],10,1),2) = 0, "Tak","")</f>
        <v/>
      </c>
    </row>
    <row r="103" spans="1:2" x14ac:dyDescent="0.25">
      <c r="A103" t="s">
        <v>102</v>
      </c>
      <c r="B103" t="str">
        <f>IF(MOD(MID(PESEL3[[#This Row],[PESEL]],10,1),2) = 0, "Tak","")</f>
        <v>Tak</v>
      </c>
    </row>
    <row r="104" spans="1:2" x14ac:dyDescent="0.25">
      <c r="A104" t="s">
        <v>103</v>
      </c>
      <c r="B104" t="str">
        <f>IF(MOD(MID(PESEL3[[#This Row],[PESEL]],10,1),2) = 0, "Tak","")</f>
        <v/>
      </c>
    </row>
    <row r="105" spans="1:2" x14ac:dyDescent="0.25">
      <c r="A105" t="s">
        <v>104</v>
      </c>
      <c r="B105" t="str">
        <f>IF(MOD(MID(PESEL3[[#This Row],[PESEL]],10,1),2) = 0, "Tak","")</f>
        <v/>
      </c>
    </row>
    <row r="106" spans="1:2" x14ac:dyDescent="0.25">
      <c r="A106" t="s">
        <v>105</v>
      </c>
      <c r="B106" t="str">
        <f>IF(MOD(MID(PESEL3[[#This Row],[PESEL]],10,1),2) = 0, "Tak","")</f>
        <v>Tak</v>
      </c>
    </row>
    <row r="107" spans="1:2" x14ac:dyDescent="0.25">
      <c r="A107" t="s">
        <v>106</v>
      </c>
      <c r="B107" t="str">
        <f>IF(MOD(MID(PESEL3[[#This Row],[PESEL]],10,1),2) = 0, "Tak","")</f>
        <v>Tak</v>
      </c>
    </row>
    <row r="108" spans="1:2" x14ac:dyDescent="0.25">
      <c r="A108" t="s">
        <v>107</v>
      </c>
      <c r="B108" t="str">
        <f>IF(MOD(MID(PESEL3[[#This Row],[PESEL]],10,1),2) = 0, "Tak","")</f>
        <v/>
      </c>
    </row>
    <row r="109" spans="1:2" x14ac:dyDescent="0.25">
      <c r="A109" t="s">
        <v>108</v>
      </c>
      <c r="B109" t="str">
        <f>IF(MOD(MID(PESEL3[[#This Row],[PESEL]],10,1),2) = 0, "Tak","")</f>
        <v/>
      </c>
    </row>
    <row r="110" spans="1:2" x14ac:dyDescent="0.25">
      <c r="A110" t="s">
        <v>109</v>
      </c>
      <c r="B110" t="str">
        <f>IF(MOD(MID(PESEL3[[#This Row],[PESEL]],10,1),2) = 0, "Tak","")</f>
        <v/>
      </c>
    </row>
    <row r="111" spans="1:2" x14ac:dyDescent="0.25">
      <c r="A111" t="s">
        <v>110</v>
      </c>
      <c r="B111" t="str">
        <f>IF(MOD(MID(PESEL3[[#This Row],[PESEL]],10,1),2) = 0, "Tak","")</f>
        <v>Tak</v>
      </c>
    </row>
    <row r="112" spans="1:2" x14ac:dyDescent="0.25">
      <c r="A112" t="s">
        <v>111</v>
      </c>
      <c r="B112" t="str">
        <f>IF(MOD(MID(PESEL3[[#This Row],[PESEL]],10,1),2) = 0, "Tak","")</f>
        <v/>
      </c>
    </row>
    <row r="113" spans="1:2" x14ac:dyDescent="0.25">
      <c r="A113" t="s">
        <v>112</v>
      </c>
      <c r="B113" t="str">
        <f>IF(MOD(MID(PESEL3[[#This Row],[PESEL]],10,1),2) = 0, "Tak","")</f>
        <v>Tak</v>
      </c>
    </row>
    <row r="114" spans="1:2" x14ac:dyDescent="0.25">
      <c r="A114" t="s">
        <v>113</v>
      </c>
      <c r="B114" t="str">
        <f>IF(MOD(MID(PESEL3[[#This Row],[PESEL]],10,1),2) = 0, "Tak","")</f>
        <v/>
      </c>
    </row>
    <row r="115" spans="1:2" x14ac:dyDescent="0.25">
      <c r="A115" t="s">
        <v>114</v>
      </c>
      <c r="B115" t="str">
        <f>IF(MOD(MID(PESEL3[[#This Row],[PESEL]],10,1),2) = 0, "Tak","")</f>
        <v>Tak</v>
      </c>
    </row>
    <row r="116" spans="1:2" x14ac:dyDescent="0.25">
      <c r="A116" t="s">
        <v>115</v>
      </c>
      <c r="B116" t="str">
        <f>IF(MOD(MID(PESEL3[[#This Row],[PESEL]],10,1),2) = 0, "Tak","")</f>
        <v>Tak</v>
      </c>
    </row>
    <row r="117" spans="1:2" x14ac:dyDescent="0.25">
      <c r="A117" t="s">
        <v>116</v>
      </c>
      <c r="B117" t="str">
        <f>IF(MOD(MID(PESEL3[[#This Row],[PESEL]],10,1),2) = 0, "Tak","")</f>
        <v>Tak</v>
      </c>
    </row>
    <row r="118" spans="1:2" x14ac:dyDescent="0.25">
      <c r="A118" t="s">
        <v>117</v>
      </c>
      <c r="B118" t="str">
        <f>IF(MOD(MID(PESEL3[[#This Row],[PESEL]],10,1),2) = 0, "Tak","")</f>
        <v>Tak</v>
      </c>
    </row>
    <row r="119" spans="1:2" x14ac:dyDescent="0.25">
      <c r="A119" t="s">
        <v>118</v>
      </c>
      <c r="B119" t="str">
        <f>IF(MOD(MID(PESEL3[[#This Row],[PESEL]],10,1),2) = 0, "Tak","")</f>
        <v/>
      </c>
    </row>
    <row r="120" spans="1:2" x14ac:dyDescent="0.25">
      <c r="A120" t="s">
        <v>119</v>
      </c>
      <c r="B120" t="str">
        <f>IF(MOD(MID(PESEL3[[#This Row],[PESEL]],10,1),2) = 0, "Tak","")</f>
        <v>Tak</v>
      </c>
    </row>
    <row r="121" spans="1:2" x14ac:dyDescent="0.25">
      <c r="A121" t="s">
        <v>120</v>
      </c>
      <c r="B121" t="str">
        <f>IF(MOD(MID(PESEL3[[#This Row],[PESEL]],10,1),2) = 0, "Tak","")</f>
        <v/>
      </c>
    </row>
    <row r="122" spans="1:2" x14ac:dyDescent="0.25">
      <c r="A122" t="s">
        <v>121</v>
      </c>
      <c r="B122" t="str">
        <f>IF(MOD(MID(PESEL3[[#This Row],[PESEL]],10,1),2) = 0, "Tak","")</f>
        <v>Tak</v>
      </c>
    </row>
    <row r="123" spans="1:2" x14ac:dyDescent="0.25">
      <c r="A123" t="s">
        <v>122</v>
      </c>
      <c r="B123" t="str">
        <f>IF(MOD(MID(PESEL3[[#This Row],[PESEL]],10,1),2) = 0, "Tak","")</f>
        <v>Tak</v>
      </c>
    </row>
    <row r="124" spans="1:2" x14ac:dyDescent="0.25">
      <c r="A124" t="s">
        <v>123</v>
      </c>
      <c r="B124" t="str">
        <f>IF(MOD(MID(PESEL3[[#This Row],[PESEL]],10,1),2) = 0, "Tak","")</f>
        <v/>
      </c>
    </row>
    <row r="125" spans="1:2" x14ac:dyDescent="0.25">
      <c r="A125" t="s">
        <v>124</v>
      </c>
      <c r="B125" t="str">
        <f>IF(MOD(MID(PESEL3[[#This Row],[PESEL]],10,1),2) = 0, "Tak","")</f>
        <v/>
      </c>
    </row>
    <row r="126" spans="1:2" x14ac:dyDescent="0.25">
      <c r="A126" t="s">
        <v>125</v>
      </c>
      <c r="B126" t="str">
        <f>IF(MOD(MID(PESEL3[[#This Row],[PESEL]],10,1),2) = 0, "Tak","")</f>
        <v>Tak</v>
      </c>
    </row>
    <row r="127" spans="1:2" x14ac:dyDescent="0.25">
      <c r="A127" t="s">
        <v>126</v>
      </c>
      <c r="B127" t="str">
        <f>IF(MOD(MID(PESEL3[[#This Row],[PESEL]],10,1),2) = 0, "Tak","")</f>
        <v/>
      </c>
    </row>
    <row r="128" spans="1:2" x14ac:dyDescent="0.25">
      <c r="A128" t="s">
        <v>127</v>
      </c>
      <c r="B128" t="str">
        <f>IF(MOD(MID(PESEL3[[#This Row],[PESEL]],10,1),2) = 0, "Tak","")</f>
        <v>Tak</v>
      </c>
    </row>
    <row r="129" spans="1:2" x14ac:dyDescent="0.25">
      <c r="A129" t="s">
        <v>128</v>
      </c>
      <c r="B129" t="str">
        <f>IF(MOD(MID(PESEL3[[#This Row],[PESEL]],10,1),2) = 0, "Tak","")</f>
        <v>Tak</v>
      </c>
    </row>
    <row r="130" spans="1:2" x14ac:dyDescent="0.25">
      <c r="A130" t="s">
        <v>129</v>
      </c>
      <c r="B130" t="str">
        <f>IF(MOD(MID(PESEL3[[#This Row],[PESEL]],10,1),2) = 0, "Tak","")</f>
        <v/>
      </c>
    </row>
    <row r="131" spans="1:2" x14ac:dyDescent="0.25">
      <c r="A131" t="s">
        <v>130</v>
      </c>
      <c r="B131" t="str">
        <f>IF(MOD(MID(PESEL3[[#This Row],[PESEL]],10,1),2) = 0, "Tak","")</f>
        <v/>
      </c>
    </row>
    <row r="132" spans="1:2" x14ac:dyDescent="0.25">
      <c r="A132" t="s">
        <v>131</v>
      </c>
      <c r="B132" t="str">
        <f>IF(MOD(MID(PESEL3[[#This Row],[PESEL]],10,1),2) = 0, "Tak","")</f>
        <v/>
      </c>
    </row>
    <row r="133" spans="1:2" x14ac:dyDescent="0.25">
      <c r="A133" t="s">
        <v>132</v>
      </c>
      <c r="B133" t="str">
        <f>IF(MOD(MID(PESEL3[[#This Row],[PESEL]],10,1),2) = 0, "Tak","")</f>
        <v/>
      </c>
    </row>
    <row r="134" spans="1:2" x14ac:dyDescent="0.25">
      <c r="A134" t="s">
        <v>133</v>
      </c>
      <c r="B134" t="str">
        <f>IF(MOD(MID(PESEL3[[#This Row],[PESEL]],10,1),2) = 0, "Tak","")</f>
        <v/>
      </c>
    </row>
    <row r="135" spans="1:2" x14ac:dyDescent="0.25">
      <c r="A135" t="s">
        <v>134</v>
      </c>
      <c r="B135" t="str">
        <f>IF(MOD(MID(PESEL3[[#This Row],[PESEL]],10,1),2) = 0, "Tak","")</f>
        <v>Tak</v>
      </c>
    </row>
    <row r="136" spans="1:2" x14ac:dyDescent="0.25">
      <c r="A136" t="s">
        <v>135</v>
      </c>
      <c r="B136" t="str">
        <f>IF(MOD(MID(PESEL3[[#This Row],[PESEL]],10,1),2) = 0, "Tak","")</f>
        <v>Tak</v>
      </c>
    </row>
    <row r="137" spans="1:2" x14ac:dyDescent="0.25">
      <c r="A137" t="s">
        <v>136</v>
      </c>
      <c r="B137" t="str">
        <f>IF(MOD(MID(PESEL3[[#This Row],[PESEL]],10,1),2) = 0, "Tak","")</f>
        <v/>
      </c>
    </row>
    <row r="138" spans="1:2" x14ac:dyDescent="0.25">
      <c r="A138" t="s">
        <v>137</v>
      </c>
      <c r="B138" t="str">
        <f>IF(MOD(MID(PESEL3[[#This Row],[PESEL]],10,1),2) = 0, "Tak","")</f>
        <v/>
      </c>
    </row>
    <row r="139" spans="1:2" x14ac:dyDescent="0.25">
      <c r="A139" t="s">
        <v>138</v>
      </c>
      <c r="B139" t="str">
        <f>IF(MOD(MID(PESEL3[[#This Row],[PESEL]],10,1),2) = 0, "Tak","")</f>
        <v/>
      </c>
    </row>
    <row r="140" spans="1:2" x14ac:dyDescent="0.25">
      <c r="A140" t="s">
        <v>139</v>
      </c>
      <c r="B140" t="str">
        <f>IF(MOD(MID(PESEL3[[#This Row],[PESEL]],10,1),2) = 0, "Tak","")</f>
        <v>Tak</v>
      </c>
    </row>
    <row r="141" spans="1:2" x14ac:dyDescent="0.25">
      <c r="A141" t="s">
        <v>140</v>
      </c>
      <c r="B141" t="str">
        <f>IF(MOD(MID(PESEL3[[#This Row],[PESEL]],10,1),2) = 0, "Tak","")</f>
        <v>Tak</v>
      </c>
    </row>
    <row r="142" spans="1:2" x14ac:dyDescent="0.25">
      <c r="A142" t="s">
        <v>141</v>
      </c>
      <c r="B142" t="str">
        <f>IF(MOD(MID(PESEL3[[#This Row],[PESEL]],10,1),2) = 0, "Tak","")</f>
        <v/>
      </c>
    </row>
    <row r="143" spans="1:2" x14ac:dyDescent="0.25">
      <c r="A143" t="s">
        <v>142</v>
      </c>
      <c r="B143" t="str">
        <f>IF(MOD(MID(PESEL3[[#This Row],[PESEL]],10,1),2) = 0, "Tak","")</f>
        <v/>
      </c>
    </row>
    <row r="144" spans="1:2" x14ac:dyDescent="0.25">
      <c r="A144" t="s">
        <v>143</v>
      </c>
      <c r="B144" t="str">
        <f>IF(MOD(MID(PESEL3[[#This Row],[PESEL]],10,1),2) = 0, "Tak","")</f>
        <v/>
      </c>
    </row>
    <row r="145" spans="1:2" x14ac:dyDescent="0.25">
      <c r="A145" t="s">
        <v>144</v>
      </c>
      <c r="B145" t="str">
        <f>IF(MOD(MID(PESEL3[[#This Row],[PESEL]],10,1),2) = 0, "Tak","")</f>
        <v>Tak</v>
      </c>
    </row>
    <row r="146" spans="1:2" x14ac:dyDescent="0.25">
      <c r="A146" t="s">
        <v>145</v>
      </c>
      <c r="B146" t="str">
        <f>IF(MOD(MID(PESEL3[[#This Row],[PESEL]],10,1),2) = 0, "Tak","")</f>
        <v/>
      </c>
    </row>
    <row r="147" spans="1:2" x14ac:dyDescent="0.25">
      <c r="A147" t="s">
        <v>146</v>
      </c>
      <c r="B147" t="str">
        <f>IF(MOD(MID(PESEL3[[#This Row],[PESEL]],10,1),2) = 0, "Tak","")</f>
        <v>Tak</v>
      </c>
    </row>
    <row r="148" spans="1:2" x14ac:dyDescent="0.25">
      <c r="A148" t="s">
        <v>147</v>
      </c>
      <c r="B148" t="str">
        <f>IF(MOD(MID(PESEL3[[#This Row],[PESEL]],10,1),2) = 0, "Tak","")</f>
        <v/>
      </c>
    </row>
    <row r="149" spans="1:2" x14ac:dyDescent="0.25">
      <c r="A149" t="s">
        <v>148</v>
      </c>
      <c r="B149" t="str">
        <f>IF(MOD(MID(PESEL3[[#This Row],[PESEL]],10,1),2) = 0, "Tak","")</f>
        <v>Tak</v>
      </c>
    </row>
    <row r="150" spans="1:2" x14ac:dyDescent="0.25">
      <c r="A150" t="s">
        <v>149</v>
      </c>
      <c r="B150" t="str">
        <f>IF(MOD(MID(PESEL3[[#This Row],[PESEL]],10,1),2) = 0, "Tak","")</f>
        <v/>
      </c>
    </row>
    <row r="151" spans="1:2" x14ac:dyDescent="0.25">
      <c r="A151" t="s">
        <v>150</v>
      </c>
      <c r="B151" t="str">
        <f>IF(MOD(MID(PESEL3[[#This Row],[PESEL]],10,1),2) = 0, "Tak","")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F0E8-A3EB-4343-BA6F-2E8C9A27C4EE}">
  <dimension ref="A1:F151"/>
  <sheetViews>
    <sheetView workbookViewId="0">
      <selection activeCell="D1" sqref="D1:F2"/>
    </sheetView>
  </sheetViews>
  <sheetFormatPr defaultRowHeight="15" x14ac:dyDescent="0.25"/>
  <cols>
    <col min="1" max="1" width="12" bestFit="1" customWidth="1"/>
  </cols>
  <sheetData>
    <row r="1" spans="1:6" x14ac:dyDescent="0.25">
      <c r="A1" t="s">
        <v>0</v>
      </c>
      <c r="B1" t="s">
        <v>155</v>
      </c>
      <c r="D1" t="s">
        <v>160</v>
      </c>
      <c r="E1" t="s">
        <v>155</v>
      </c>
      <c r="F1" t="s">
        <v>161</v>
      </c>
    </row>
    <row r="2" spans="1:6" x14ac:dyDescent="0.25">
      <c r="A2" t="s">
        <v>1</v>
      </c>
      <c r="B2">
        <f>MID(PESEL34[[#This Row],[PESEL]],1,2) + 1900</f>
        <v>1953</v>
      </c>
      <c r="E2" s="2">
        <v>1989</v>
      </c>
      <c r="F2">
        <v>29</v>
      </c>
    </row>
    <row r="3" spans="1:6" x14ac:dyDescent="0.25">
      <c r="A3" t="s">
        <v>2</v>
      </c>
      <c r="B3">
        <f>MID(PESEL34[[#This Row],[PESEL]],1,2) + 1900</f>
        <v>1989</v>
      </c>
    </row>
    <row r="4" spans="1:6" x14ac:dyDescent="0.25">
      <c r="A4" t="s">
        <v>3</v>
      </c>
      <c r="B4">
        <f>MID(PESEL34[[#This Row],[PESEL]],1,2) + 1900</f>
        <v>1985</v>
      </c>
    </row>
    <row r="5" spans="1:6" x14ac:dyDescent="0.25">
      <c r="A5" t="s">
        <v>4</v>
      </c>
      <c r="B5">
        <f>MID(PESEL34[[#This Row],[PESEL]],1,2) + 1900</f>
        <v>1986</v>
      </c>
    </row>
    <row r="6" spans="1:6" x14ac:dyDescent="0.25">
      <c r="A6" t="s">
        <v>5</v>
      </c>
      <c r="B6">
        <f>MID(PESEL34[[#This Row],[PESEL]],1,2) + 1900</f>
        <v>1989</v>
      </c>
    </row>
    <row r="7" spans="1:6" x14ac:dyDescent="0.25">
      <c r="A7" t="s">
        <v>6</v>
      </c>
      <c r="B7">
        <f>MID(PESEL34[[#This Row],[PESEL]],1,2) + 1900</f>
        <v>1962</v>
      </c>
    </row>
    <row r="8" spans="1:6" x14ac:dyDescent="0.25">
      <c r="A8" t="s">
        <v>7</v>
      </c>
      <c r="B8">
        <f>MID(PESEL34[[#This Row],[PESEL]],1,2) + 1900</f>
        <v>1962</v>
      </c>
    </row>
    <row r="9" spans="1:6" x14ac:dyDescent="0.25">
      <c r="A9" t="s">
        <v>8</v>
      </c>
      <c r="B9">
        <f>MID(PESEL34[[#This Row],[PESEL]],1,2) + 1900</f>
        <v>1964</v>
      </c>
    </row>
    <row r="10" spans="1:6" x14ac:dyDescent="0.25">
      <c r="A10" t="s">
        <v>9</v>
      </c>
      <c r="B10">
        <f>MID(PESEL34[[#This Row],[PESEL]],1,2) + 1900</f>
        <v>1988</v>
      </c>
    </row>
    <row r="11" spans="1:6" x14ac:dyDescent="0.25">
      <c r="A11" t="s">
        <v>10</v>
      </c>
      <c r="B11">
        <f>MID(PESEL34[[#This Row],[PESEL]],1,2) + 1900</f>
        <v>1975</v>
      </c>
    </row>
    <row r="12" spans="1:6" x14ac:dyDescent="0.25">
      <c r="A12" t="s">
        <v>11</v>
      </c>
      <c r="B12">
        <f>MID(PESEL34[[#This Row],[PESEL]],1,2) + 1900</f>
        <v>1974</v>
      </c>
    </row>
    <row r="13" spans="1:6" x14ac:dyDescent="0.25">
      <c r="A13" t="s">
        <v>12</v>
      </c>
      <c r="B13">
        <f>MID(PESEL34[[#This Row],[PESEL]],1,2) + 1900</f>
        <v>1967</v>
      </c>
    </row>
    <row r="14" spans="1:6" x14ac:dyDescent="0.25">
      <c r="A14" t="s">
        <v>13</v>
      </c>
      <c r="B14">
        <f>MID(PESEL34[[#This Row],[PESEL]],1,2) + 1900</f>
        <v>1989</v>
      </c>
    </row>
    <row r="15" spans="1:6" x14ac:dyDescent="0.25">
      <c r="A15" t="s">
        <v>14</v>
      </c>
      <c r="B15">
        <f>MID(PESEL34[[#This Row],[PESEL]],1,2) + 1900</f>
        <v>1952</v>
      </c>
    </row>
    <row r="16" spans="1:6" x14ac:dyDescent="0.25">
      <c r="A16" t="s">
        <v>15</v>
      </c>
      <c r="B16">
        <f>MID(PESEL34[[#This Row],[PESEL]],1,2) + 1900</f>
        <v>1991</v>
      </c>
    </row>
    <row r="17" spans="1:2" x14ac:dyDescent="0.25">
      <c r="A17" t="s">
        <v>16</v>
      </c>
      <c r="B17">
        <f>MID(PESEL34[[#This Row],[PESEL]],1,2) + 1900</f>
        <v>1975</v>
      </c>
    </row>
    <row r="18" spans="1:2" x14ac:dyDescent="0.25">
      <c r="A18" t="s">
        <v>17</v>
      </c>
      <c r="B18">
        <f>MID(PESEL34[[#This Row],[PESEL]],1,2) + 1900</f>
        <v>1955</v>
      </c>
    </row>
    <row r="19" spans="1:2" x14ac:dyDescent="0.25">
      <c r="A19" t="s">
        <v>18</v>
      </c>
      <c r="B19">
        <f>MID(PESEL34[[#This Row],[PESEL]],1,2) + 1900</f>
        <v>1967</v>
      </c>
    </row>
    <row r="20" spans="1:2" x14ac:dyDescent="0.25">
      <c r="A20" t="s">
        <v>19</v>
      </c>
      <c r="B20">
        <f>MID(PESEL34[[#This Row],[PESEL]],1,2) + 1900</f>
        <v>1977</v>
      </c>
    </row>
    <row r="21" spans="1:2" x14ac:dyDescent="0.25">
      <c r="A21" t="s">
        <v>20</v>
      </c>
      <c r="B21">
        <f>MID(PESEL34[[#This Row],[PESEL]],1,2) + 1900</f>
        <v>1992</v>
      </c>
    </row>
    <row r="22" spans="1:2" x14ac:dyDescent="0.25">
      <c r="A22" t="s">
        <v>21</v>
      </c>
      <c r="B22">
        <f>MID(PESEL34[[#This Row],[PESEL]],1,2) + 1900</f>
        <v>1983</v>
      </c>
    </row>
    <row r="23" spans="1:2" x14ac:dyDescent="0.25">
      <c r="A23" t="s">
        <v>22</v>
      </c>
      <c r="B23">
        <f>MID(PESEL34[[#This Row],[PESEL]],1,2) + 1900</f>
        <v>1986</v>
      </c>
    </row>
    <row r="24" spans="1:2" x14ac:dyDescent="0.25">
      <c r="A24" t="s">
        <v>23</v>
      </c>
      <c r="B24">
        <f>MID(PESEL34[[#This Row],[PESEL]],1,2) + 1900</f>
        <v>1971</v>
      </c>
    </row>
    <row r="25" spans="1:2" x14ac:dyDescent="0.25">
      <c r="A25" t="s">
        <v>24</v>
      </c>
      <c r="B25">
        <f>MID(PESEL34[[#This Row],[PESEL]],1,2) + 1900</f>
        <v>1973</v>
      </c>
    </row>
    <row r="26" spans="1:2" x14ac:dyDescent="0.25">
      <c r="A26" t="s">
        <v>25</v>
      </c>
      <c r="B26">
        <f>MID(PESEL34[[#This Row],[PESEL]],1,2) + 1900</f>
        <v>1974</v>
      </c>
    </row>
    <row r="27" spans="1:2" x14ac:dyDescent="0.25">
      <c r="A27" t="s">
        <v>26</v>
      </c>
      <c r="B27">
        <f>MID(PESEL34[[#This Row],[PESEL]],1,2) + 1900</f>
        <v>1985</v>
      </c>
    </row>
    <row r="28" spans="1:2" x14ac:dyDescent="0.25">
      <c r="A28" t="s">
        <v>27</v>
      </c>
      <c r="B28">
        <f>MID(PESEL34[[#This Row],[PESEL]],1,2) + 1900</f>
        <v>1970</v>
      </c>
    </row>
    <row r="29" spans="1:2" x14ac:dyDescent="0.25">
      <c r="A29" t="s">
        <v>28</v>
      </c>
      <c r="B29">
        <f>MID(PESEL34[[#This Row],[PESEL]],1,2) + 1900</f>
        <v>1989</v>
      </c>
    </row>
    <row r="30" spans="1:2" x14ac:dyDescent="0.25">
      <c r="A30" t="s">
        <v>29</v>
      </c>
      <c r="B30">
        <f>MID(PESEL34[[#This Row],[PESEL]],1,2) + 1900</f>
        <v>1964</v>
      </c>
    </row>
    <row r="31" spans="1:2" x14ac:dyDescent="0.25">
      <c r="A31" t="s">
        <v>30</v>
      </c>
      <c r="B31">
        <f>MID(PESEL34[[#This Row],[PESEL]],1,2) + 1900</f>
        <v>1966</v>
      </c>
    </row>
    <row r="32" spans="1:2" x14ac:dyDescent="0.25">
      <c r="A32" t="s">
        <v>31</v>
      </c>
      <c r="B32">
        <f>MID(PESEL34[[#This Row],[PESEL]],1,2) + 1900</f>
        <v>1963</v>
      </c>
    </row>
    <row r="33" spans="1:2" x14ac:dyDescent="0.25">
      <c r="A33" t="s">
        <v>32</v>
      </c>
      <c r="B33">
        <f>MID(PESEL34[[#This Row],[PESEL]],1,2) + 1900</f>
        <v>1989</v>
      </c>
    </row>
    <row r="34" spans="1:2" x14ac:dyDescent="0.25">
      <c r="A34" t="s">
        <v>33</v>
      </c>
      <c r="B34">
        <f>MID(PESEL34[[#This Row],[PESEL]],1,2) + 1900</f>
        <v>1974</v>
      </c>
    </row>
    <row r="35" spans="1:2" x14ac:dyDescent="0.25">
      <c r="A35" t="s">
        <v>34</v>
      </c>
      <c r="B35">
        <f>MID(PESEL34[[#This Row],[PESEL]],1,2) + 1900</f>
        <v>1988</v>
      </c>
    </row>
    <row r="36" spans="1:2" x14ac:dyDescent="0.25">
      <c r="A36" t="s">
        <v>35</v>
      </c>
      <c r="B36">
        <f>MID(PESEL34[[#This Row],[PESEL]],1,2) + 1900</f>
        <v>1970</v>
      </c>
    </row>
    <row r="37" spans="1:2" x14ac:dyDescent="0.25">
      <c r="A37" t="s">
        <v>36</v>
      </c>
      <c r="B37">
        <f>MID(PESEL34[[#This Row],[PESEL]],1,2) + 1900</f>
        <v>1989</v>
      </c>
    </row>
    <row r="38" spans="1:2" x14ac:dyDescent="0.25">
      <c r="A38" t="s">
        <v>37</v>
      </c>
      <c r="B38">
        <f>MID(PESEL34[[#This Row],[PESEL]],1,2) + 1900</f>
        <v>1966</v>
      </c>
    </row>
    <row r="39" spans="1:2" x14ac:dyDescent="0.25">
      <c r="A39" t="s">
        <v>38</v>
      </c>
      <c r="B39">
        <f>MID(PESEL34[[#This Row],[PESEL]],1,2) + 1900</f>
        <v>1956</v>
      </c>
    </row>
    <row r="40" spans="1:2" x14ac:dyDescent="0.25">
      <c r="A40" t="s">
        <v>39</v>
      </c>
      <c r="B40">
        <f>MID(PESEL34[[#This Row],[PESEL]],1,2) + 1900</f>
        <v>1978</v>
      </c>
    </row>
    <row r="41" spans="1:2" x14ac:dyDescent="0.25">
      <c r="A41" t="s">
        <v>40</v>
      </c>
      <c r="B41">
        <f>MID(PESEL34[[#This Row],[PESEL]],1,2) + 1900</f>
        <v>1988</v>
      </c>
    </row>
    <row r="42" spans="1:2" x14ac:dyDescent="0.25">
      <c r="A42" t="s">
        <v>41</v>
      </c>
      <c r="B42">
        <f>MID(PESEL34[[#This Row],[PESEL]],1,2) + 1900</f>
        <v>1971</v>
      </c>
    </row>
    <row r="43" spans="1:2" x14ac:dyDescent="0.25">
      <c r="A43" t="s">
        <v>42</v>
      </c>
      <c r="B43">
        <f>MID(PESEL34[[#This Row],[PESEL]],1,2) + 1900</f>
        <v>1964</v>
      </c>
    </row>
    <row r="44" spans="1:2" x14ac:dyDescent="0.25">
      <c r="A44" t="s">
        <v>43</v>
      </c>
      <c r="B44">
        <f>MID(PESEL34[[#This Row],[PESEL]],1,2) + 1900</f>
        <v>1965</v>
      </c>
    </row>
    <row r="45" spans="1:2" x14ac:dyDescent="0.25">
      <c r="A45" t="s">
        <v>44</v>
      </c>
      <c r="B45">
        <f>MID(PESEL34[[#This Row],[PESEL]],1,2) + 1900</f>
        <v>1968</v>
      </c>
    </row>
    <row r="46" spans="1:2" x14ac:dyDescent="0.25">
      <c r="A46" t="s">
        <v>45</v>
      </c>
      <c r="B46">
        <f>MID(PESEL34[[#This Row],[PESEL]],1,2) + 1900</f>
        <v>1970</v>
      </c>
    </row>
    <row r="47" spans="1:2" x14ac:dyDescent="0.25">
      <c r="A47" t="s">
        <v>46</v>
      </c>
      <c r="B47">
        <f>MID(PESEL34[[#This Row],[PESEL]],1,2) + 1900</f>
        <v>1977</v>
      </c>
    </row>
    <row r="48" spans="1:2" x14ac:dyDescent="0.25">
      <c r="A48" t="s">
        <v>47</v>
      </c>
      <c r="B48">
        <f>MID(PESEL34[[#This Row],[PESEL]],1,2) + 1900</f>
        <v>1978</v>
      </c>
    </row>
    <row r="49" spans="1:2" x14ac:dyDescent="0.25">
      <c r="A49" t="s">
        <v>48</v>
      </c>
      <c r="B49">
        <f>MID(PESEL34[[#This Row],[PESEL]],1,2) + 1900</f>
        <v>1979</v>
      </c>
    </row>
    <row r="50" spans="1:2" x14ac:dyDescent="0.25">
      <c r="A50" t="s">
        <v>49</v>
      </c>
      <c r="B50">
        <f>MID(PESEL34[[#This Row],[PESEL]],1,2) + 1900</f>
        <v>1974</v>
      </c>
    </row>
    <row r="51" spans="1:2" x14ac:dyDescent="0.25">
      <c r="A51" t="s">
        <v>50</v>
      </c>
      <c r="B51">
        <f>MID(PESEL34[[#This Row],[PESEL]],1,2) + 1900</f>
        <v>1989</v>
      </c>
    </row>
    <row r="52" spans="1:2" x14ac:dyDescent="0.25">
      <c r="A52" t="s">
        <v>51</v>
      </c>
      <c r="B52">
        <f>MID(PESEL34[[#This Row],[PESEL]],1,2) + 1900</f>
        <v>1986</v>
      </c>
    </row>
    <row r="53" spans="1:2" x14ac:dyDescent="0.25">
      <c r="A53" t="s">
        <v>52</v>
      </c>
      <c r="B53">
        <f>MID(PESEL34[[#This Row],[PESEL]],1,2) + 1900</f>
        <v>1963</v>
      </c>
    </row>
    <row r="54" spans="1:2" x14ac:dyDescent="0.25">
      <c r="A54" t="s">
        <v>53</v>
      </c>
      <c r="B54">
        <f>MID(PESEL34[[#This Row],[PESEL]],1,2) + 1900</f>
        <v>1990</v>
      </c>
    </row>
    <row r="55" spans="1:2" x14ac:dyDescent="0.25">
      <c r="A55" t="s">
        <v>54</v>
      </c>
      <c r="B55">
        <f>MID(PESEL34[[#This Row],[PESEL]],1,2) + 1900</f>
        <v>1954</v>
      </c>
    </row>
    <row r="56" spans="1:2" x14ac:dyDescent="0.25">
      <c r="A56" t="s">
        <v>55</v>
      </c>
      <c r="B56">
        <f>MID(PESEL34[[#This Row],[PESEL]],1,2) + 1900</f>
        <v>1969</v>
      </c>
    </row>
    <row r="57" spans="1:2" x14ac:dyDescent="0.25">
      <c r="A57" t="s">
        <v>56</v>
      </c>
      <c r="B57">
        <f>MID(PESEL34[[#This Row],[PESEL]],1,2) + 1900</f>
        <v>1984</v>
      </c>
    </row>
    <row r="58" spans="1:2" x14ac:dyDescent="0.25">
      <c r="A58" t="s">
        <v>57</v>
      </c>
      <c r="B58">
        <f>MID(PESEL34[[#This Row],[PESEL]],1,2) + 1900</f>
        <v>1966</v>
      </c>
    </row>
    <row r="59" spans="1:2" x14ac:dyDescent="0.25">
      <c r="A59" t="s">
        <v>58</v>
      </c>
      <c r="B59">
        <f>MID(PESEL34[[#This Row],[PESEL]],1,2) + 1900</f>
        <v>1971</v>
      </c>
    </row>
    <row r="60" spans="1:2" x14ac:dyDescent="0.25">
      <c r="A60" t="s">
        <v>59</v>
      </c>
      <c r="B60">
        <f>MID(PESEL34[[#This Row],[PESEL]],1,2) + 1900</f>
        <v>1989</v>
      </c>
    </row>
    <row r="61" spans="1:2" x14ac:dyDescent="0.25">
      <c r="A61" t="s">
        <v>60</v>
      </c>
      <c r="B61">
        <f>MID(PESEL34[[#This Row],[PESEL]],1,2) + 1900</f>
        <v>1990</v>
      </c>
    </row>
    <row r="62" spans="1:2" x14ac:dyDescent="0.25">
      <c r="A62" t="s">
        <v>61</v>
      </c>
      <c r="B62">
        <f>MID(PESEL34[[#This Row],[PESEL]],1,2) + 1900</f>
        <v>1975</v>
      </c>
    </row>
    <row r="63" spans="1:2" x14ac:dyDescent="0.25">
      <c r="A63" t="s">
        <v>62</v>
      </c>
      <c r="B63">
        <f>MID(PESEL34[[#This Row],[PESEL]],1,2) + 1900</f>
        <v>1973</v>
      </c>
    </row>
    <row r="64" spans="1:2" x14ac:dyDescent="0.25">
      <c r="A64" t="s">
        <v>63</v>
      </c>
      <c r="B64">
        <f>MID(PESEL34[[#This Row],[PESEL]],1,2) + 1900</f>
        <v>1985</v>
      </c>
    </row>
    <row r="65" spans="1:2" x14ac:dyDescent="0.25">
      <c r="A65" t="s">
        <v>64</v>
      </c>
      <c r="B65">
        <f>MID(PESEL34[[#This Row],[PESEL]],1,2) + 1900</f>
        <v>1985</v>
      </c>
    </row>
    <row r="66" spans="1:2" x14ac:dyDescent="0.25">
      <c r="A66" t="s">
        <v>65</v>
      </c>
      <c r="B66">
        <f>MID(PESEL34[[#This Row],[PESEL]],1,2) + 1900</f>
        <v>1955</v>
      </c>
    </row>
    <row r="67" spans="1:2" x14ac:dyDescent="0.25">
      <c r="A67" t="s">
        <v>66</v>
      </c>
      <c r="B67">
        <f>MID(PESEL34[[#This Row],[PESEL]],1,2) + 1900</f>
        <v>1983</v>
      </c>
    </row>
    <row r="68" spans="1:2" x14ac:dyDescent="0.25">
      <c r="A68" t="s">
        <v>67</v>
      </c>
      <c r="B68">
        <f>MID(PESEL34[[#This Row],[PESEL]],1,2) + 1900</f>
        <v>1986</v>
      </c>
    </row>
    <row r="69" spans="1:2" x14ac:dyDescent="0.25">
      <c r="A69" t="s">
        <v>68</v>
      </c>
      <c r="B69">
        <f>MID(PESEL34[[#This Row],[PESEL]],1,2) + 1900</f>
        <v>1959</v>
      </c>
    </row>
    <row r="70" spans="1:2" x14ac:dyDescent="0.25">
      <c r="A70" t="s">
        <v>69</v>
      </c>
      <c r="B70">
        <f>MID(PESEL34[[#This Row],[PESEL]],1,2) + 1900</f>
        <v>1966</v>
      </c>
    </row>
    <row r="71" spans="1:2" x14ac:dyDescent="0.25">
      <c r="A71" t="s">
        <v>70</v>
      </c>
      <c r="B71">
        <f>MID(PESEL34[[#This Row],[PESEL]],1,2) + 1900</f>
        <v>1967</v>
      </c>
    </row>
    <row r="72" spans="1:2" x14ac:dyDescent="0.25">
      <c r="A72" t="s">
        <v>71</v>
      </c>
      <c r="B72">
        <f>MID(PESEL34[[#This Row],[PESEL]],1,2) + 1900</f>
        <v>1989</v>
      </c>
    </row>
    <row r="73" spans="1:2" x14ac:dyDescent="0.25">
      <c r="A73" t="s">
        <v>72</v>
      </c>
      <c r="B73">
        <f>MID(PESEL34[[#This Row],[PESEL]],1,2) + 1900</f>
        <v>1970</v>
      </c>
    </row>
    <row r="74" spans="1:2" x14ac:dyDescent="0.25">
      <c r="A74" t="s">
        <v>73</v>
      </c>
      <c r="B74">
        <f>MID(PESEL34[[#This Row],[PESEL]],1,2) + 1900</f>
        <v>1976</v>
      </c>
    </row>
    <row r="75" spans="1:2" x14ac:dyDescent="0.25">
      <c r="A75" t="s">
        <v>74</v>
      </c>
      <c r="B75">
        <f>MID(PESEL34[[#This Row],[PESEL]],1,2) + 1900</f>
        <v>1972</v>
      </c>
    </row>
    <row r="76" spans="1:2" x14ac:dyDescent="0.25">
      <c r="A76" t="s">
        <v>75</v>
      </c>
      <c r="B76">
        <f>MID(PESEL34[[#This Row],[PESEL]],1,2) + 1900</f>
        <v>1961</v>
      </c>
    </row>
    <row r="77" spans="1:2" x14ac:dyDescent="0.25">
      <c r="A77" t="s">
        <v>76</v>
      </c>
      <c r="B77">
        <f>MID(PESEL34[[#This Row],[PESEL]],1,2) + 1900</f>
        <v>1979</v>
      </c>
    </row>
    <row r="78" spans="1:2" x14ac:dyDescent="0.25">
      <c r="A78" t="s">
        <v>77</v>
      </c>
      <c r="B78">
        <f>MID(PESEL34[[#This Row],[PESEL]],1,2) + 1900</f>
        <v>1988</v>
      </c>
    </row>
    <row r="79" spans="1:2" x14ac:dyDescent="0.25">
      <c r="A79" t="s">
        <v>78</v>
      </c>
      <c r="B79">
        <f>MID(PESEL34[[#This Row],[PESEL]],1,2) + 1900</f>
        <v>1989</v>
      </c>
    </row>
    <row r="80" spans="1:2" x14ac:dyDescent="0.25">
      <c r="A80" t="s">
        <v>79</v>
      </c>
      <c r="B80">
        <f>MID(PESEL34[[#This Row],[PESEL]],1,2) + 1900</f>
        <v>1989</v>
      </c>
    </row>
    <row r="81" spans="1:2" x14ac:dyDescent="0.25">
      <c r="A81" t="s">
        <v>80</v>
      </c>
      <c r="B81">
        <f>MID(PESEL34[[#This Row],[PESEL]],1,2) + 1900</f>
        <v>1959</v>
      </c>
    </row>
    <row r="82" spans="1:2" x14ac:dyDescent="0.25">
      <c r="A82" t="s">
        <v>81</v>
      </c>
      <c r="B82">
        <f>MID(PESEL34[[#This Row],[PESEL]],1,2) + 1900</f>
        <v>1961</v>
      </c>
    </row>
    <row r="83" spans="1:2" x14ac:dyDescent="0.25">
      <c r="A83" t="s">
        <v>82</v>
      </c>
      <c r="B83">
        <f>MID(PESEL34[[#This Row],[PESEL]],1,2) + 1900</f>
        <v>1989</v>
      </c>
    </row>
    <row r="84" spans="1:2" x14ac:dyDescent="0.25">
      <c r="A84" t="s">
        <v>83</v>
      </c>
      <c r="B84">
        <f>MID(PESEL34[[#This Row],[PESEL]],1,2) + 1900</f>
        <v>1988</v>
      </c>
    </row>
    <row r="85" spans="1:2" x14ac:dyDescent="0.25">
      <c r="A85" t="s">
        <v>84</v>
      </c>
      <c r="B85">
        <f>MID(PESEL34[[#This Row],[PESEL]],1,2) + 1900</f>
        <v>1961</v>
      </c>
    </row>
    <row r="86" spans="1:2" x14ac:dyDescent="0.25">
      <c r="A86" t="s">
        <v>85</v>
      </c>
      <c r="B86">
        <f>MID(PESEL34[[#This Row],[PESEL]],1,2) + 1900</f>
        <v>1954</v>
      </c>
    </row>
    <row r="87" spans="1:2" x14ac:dyDescent="0.25">
      <c r="A87" t="s">
        <v>86</v>
      </c>
      <c r="B87">
        <f>MID(PESEL34[[#This Row],[PESEL]],1,2) + 1900</f>
        <v>1987</v>
      </c>
    </row>
    <row r="88" spans="1:2" x14ac:dyDescent="0.25">
      <c r="A88" t="s">
        <v>87</v>
      </c>
      <c r="B88">
        <f>MID(PESEL34[[#This Row],[PESEL]],1,2) + 1900</f>
        <v>1988</v>
      </c>
    </row>
    <row r="89" spans="1:2" x14ac:dyDescent="0.25">
      <c r="A89" t="s">
        <v>88</v>
      </c>
      <c r="B89">
        <f>MID(PESEL34[[#This Row],[PESEL]],1,2) + 1900</f>
        <v>1959</v>
      </c>
    </row>
    <row r="90" spans="1:2" x14ac:dyDescent="0.25">
      <c r="A90" t="s">
        <v>89</v>
      </c>
      <c r="B90">
        <f>MID(PESEL34[[#This Row],[PESEL]],1,2) + 1900</f>
        <v>1991</v>
      </c>
    </row>
    <row r="91" spans="1:2" x14ac:dyDescent="0.25">
      <c r="A91" t="s">
        <v>90</v>
      </c>
      <c r="B91">
        <f>MID(PESEL34[[#This Row],[PESEL]],1,2) + 1900</f>
        <v>1959</v>
      </c>
    </row>
    <row r="92" spans="1:2" x14ac:dyDescent="0.25">
      <c r="A92" t="s">
        <v>91</v>
      </c>
      <c r="B92">
        <f>MID(PESEL34[[#This Row],[PESEL]],1,2) + 1900</f>
        <v>1984</v>
      </c>
    </row>
    <row r="93" spans="1:2" x14ac:dyDescent="0.25">
      <c r="A93" t="s">
        <v>92</v>
      </c>
      <c r="B93">
        <f>MID(PESEL34[[#This Row],[PESEL]],1,2) + 1900</f>
        <v>1960</v>
      </c>
    </row>
    <row r="94" spans="1:2" x14ac:dyDescent="0.25">
      <c r="A94" t="s">
        <v>93</v>
      </c>
      <c r="B94">
        <f>MID(PESEL34[[#This Row],[PESEL]],1,2) + 1900</f>
        <v>1984</v>
      </c>
    </row>
    <row r="95" spans="1:2" x14ac:dyDescent="0.25">
      <c r="A95" t="s">
        <v>94</v>
      </c>
      <c r="B95">
        <f>MID(PESEL34[[#This Row],[PESEL]],1,2) + 1900</f>
        <v>1989</v>
      </c>
    </row>
    <row r="96" spans="1:2" x14ac:dyDescent="0.25">
      <c r="A96" t="s">
        <v>95</v>
      </c>
      <c r="B96">
        <f>MID(PESEL34[[#This Row],[PESEL]],1,2) + 1900</f>
        <v>1982</v>
      </c>
    </row>
    <row r="97" spans="1:2" x14ac:dyDescent="0.25">
      <c r="A97" t="s">
        <v>96</v>
      </c>
      <c r="B97">
        <f>MID(PESEL34[[#This Row],[PESEL]],1,2) + 1900</f>
        <v>1957</v>
      </c>
    </row>
    <row r="98" spans="1:2" x14ac:dyDescent="0.25">
      <c r="A98" t="s">
        <v>97</v>
      </c>
      <c r="B98">
        <f>MID(PESEL34[[#This Row],[PESEL]],1,2) + 1900</f>
        <v>1955</v>
      </c>
    </row>
    <row r="99" spans="1:2" x14ac:dyDescent="0.25">
      <c r="A99" t="s">
        <v>98</v>
      </c>
      <c r="B99">
        <f>MID(PESEL34[[#This Row],[PESEL]],1,2) + 1900</f>
        <v>1986</v>
      </c>
    </row>
    <row r="100" spans="1:2" x14ac:dyDescent="0.25">
      <c r="A100" t="s">
        <v>99</v>
      </c>
      <c r="B100">
        <f>MID(PESEL34[[#This Row],[PESEL]],1,2) + 1900</f>
        <v>1981</v>
      </c>
    </row>
    <row r="101" spans="1:2" x14ac:dyDescent="0.25">
      <c r="A101" t="s">
        <v>100</v>
      </c>
      <c r="B101">
        <f>MID(PESEL34[[#This Row],[PESEL]],1,2) + 1900</f>
        <v>1987</v>
      </c>
    </row>
    <row r="102" spans="1:2" x14ac:dyDescent="0.25">
      <c r="A102" t="s">
        <v>101</v>
      </c>
      <c r="B102">
        <f>MID(PESEL34[[#This Row],[PESEL]],1,2) + 1900</f>
        <v>1951</v>
      </c>
    </row>
    <row r="103" spans="1:2" x14ac:dyDescent="0.25">
      <c r="A103" t="s">
        <v>102</v>
      </c>
      <c r="B103">
        <f>MID(PESEL34[[#This Row],[PESEL]],1,2) + 1900</f>
        <v>1989</v>
      </c>
    </row>
    <row r="104" spans="1:2" x14ac:dyDescent="0.25">
      <c r="A104" t="s">
        <v>103</v>
      </c>
      <c r="B104">
        <f>MID(PESEL34[[#This Row],[PESEL]],1,2) + 1900</f>
        <v>1950</v>
      </c>
    </row>
    <row r="105" spans="1:2" x14ac:dyDescent="0.25">
      <c r="A105" t="s">
        <v>104</v>
      </c>
      <c r="B105">
        <f>MID(PESEL34[[#This Row],[PESEL]],1,2) + 1900</f>
        <v>1989</v>
      </c>
    </row>
    <row r="106" spans="1:2" x14ac:dyDescent="0.25">
      <c r="A106" t="s">
        <v>105</v>
      </c>
      <c r="B106">
        <f>MID(PESEL34[[#This Row],[PESEL]],1,2) + 1900</f>
        <v>1953</v>
      </c>
    </row>
    <row r="107" spans="1:2" x14ac:dyDescent="0.25">
      <c r="A107" t="s">
        <v>106</v>
      </c>
      <c r="B107">
        <f>MID(PESEL34[[#This Row],[PESEL]],1,2) + 1900</f>
        <v>1975</v>
      </c>
    </row>
    <row r="108" spans="1:2" x14ac:dyDescent="0.25">
      <c r="A108" t="s">
        <v>107</v>
      </c>
      <c r="B108">
        <f>MID(PESEL34[[#This Row],[PESEL]],1,2) + 1900</f>
        <v>1989</v>
      </c>
    </row>
    <row r="109" spans="1:2" x14ac:dyDescent="0.25">
      <c r="A109" t="s">
        <v>108</v>
      </c>
      <c r="B109">
        <f>MID(PESEL34[[#This Row],[PESEL]],1,2) + 1900</f>
        <v>1989</v>
      </c>
    </row>
    <row r="110" spans="1:2" x14ac:dyDescent="0.25">
      <c r="A110" t="s">
        <v>109</v>
      </c>
      <c r="B110">
        <f>MID(PESEL34[[#This Row],[PESEL]],1,2) + 1900</f>
        <v>1992</v>
      </c>
    </row>
    <row r="111" spans="1:2" x14ac:dyDescent="0.25">
      <c r="A111" t="s">
        <v>110</v>
      </c>
      <c r="B111">
        <f>MID(PESEL34[[#This Row],[PESEL]],1,2) + 1900</f>
        <v>1950</v>
      </c>
    </row>
    <row r="112" spans="1:2" x14ac:dyDescent="0.25">
      <c r="A112" t="s">
        <v>111</v>
      </c>
      <c r="B112">
        <f>MID(PESEL34[[#This Row],[PESEL]],1,2) + 1900</f>
        <v>1989</v>
      </c>
    </row>
    <row r="113" spans="1:2" x14ac:dyDescent="0.25">
      <c r="A113" t="s">
        <v>112</v>
      </c>
      <c r="B113">
        <f>MID(PESEL34[[#This Row],[PESEL]],1,2) + 1900</f>
        <v>1951</v>
      </c>
    </row>
    <row r="114" spans="1:2" x14ac:dyDescent="0.25">
      <c r="A114" t="s">
        <v>113</v>
      </c>
      <c r="B114">
        <f>MID(PESEL34[[#This Row],[PESEL]],1,2) + 1900</f>
        <v>1989</v>
      </c>
    </row>
    <row r="115" spans="1:2" x14ac:dyDescent="0.25">
      <c r="A115" t="s">
        <v>114</v>
      </c>
      <c r="B115">
        <f>MID(PESEL34[[#This Row],[PESEL]],1,2) + 1900</f>
        <v>1963</v>
      </c>
    </row>
    <row r="116" spans="1:2" x14ac:dyDescent="0.25">
      <c r="A116" t="s">
        <v>115</v>
      </c>
      <c r="B116">
        <f>MID(PESEL34[[#This Row],[PESEL]],1,2) + 1900</f>
        <v>1978</v>
      </c>
    </row>
    <row r="117" spans="1:2" x14ac:dyDescent="0.25">
      <c r="A117" t="s">
        <v>116</v>
      </c>
      <c r="B117">
        <f>MID(PESEL34[[#This Row],[PESEL]],1,2) + 1900</f>
        <v>1986</v>
      </c>
    </row>
    <row r="118" spans="1:2" x14ac:dyDescent="0.25">
      <c r="A118" t="s">
        <v>117</v>
      </c>
      <c r="B118">
        <f>MID(PESEL34[[#This Row],[PESEL]],1,2) + 1900</f>
        <v>1978</v>
      </c>
    </row>
    <row r="119" spans="1:2" x14ac:dyDescent="0.25">
      <c r="A119" t="s">
        <v>118</v>
      </c>
      <c r="B119">
        <f>MID(PESEL34[[#This Row],[PESEL]],1,2) + 1900</f>
        <v>1989</v>
      </c>
    </row>
    <row r="120" spans="1:2" x14ac:dyDescent="0.25">
      <c r="A120" t="s">
        <v>119</v>
      </c>
      <c r="B120">
        <f>MID(PESEL34[[#This Row],[PESEL]],1,2) + 1900</f>
        <v>1989</v>
      </c>
    </row>
    <row r="121" spans="1:2" x14ac:dyDescent="0.25">
      <c r="A121" t="s">
        <v>120</v>
      </c>
      <c r="B121">
        <f>MID(PESEL34[[#This Row],[PESEL]],1,2) + 1900</f>
        <v>1989</v>
      </c>
    </row>
    <row r="122" spans="1:2" x14ac:dyDescent="0.25">
      <c r="A122" t="s">
        <v>121</v>
      </c>
      <c r="B122">
        <f>MID(PESEL34[[#This Row],[PESEL]],1,2) + 1900</f>
        <v>1966</v>
      </c>
    </row>
    <row r="123" spans="1:2" x14ac:dyDescent="0.25">
      <c r="A123" t="s">
        <v>122</v>
      </c>
      <c r="B123">
        <f>MID(PESEL34[[#This Row],[PESEL]],1,2) + 1900</f>
        <v>1965</v>
      </c>
    </row>
    <row r="124" spans="1:2" x14ac:dyDescent="0.25">
      <c r="A124" t="s">
        <v>123</v>
      </c>
      <c r="B124">
        <f>MID(PESEL34[[#This Row],[PESEL]],1,2) + 1900</f>
        <v>1969</v>
      </c>
    </row>
    <row r="125" spans="1:2" x14ac:dyDescent="0.25">
      <c r="A125" t="s">
        <v>124</v>
      </c>
      <c r="B125">
        <f>MID(PESEL34[[#This Row],[PESEL]],1,2) + 1900</f>
        <v>1967</v>
      </c>
    </row>
    <row r="126" spans="1:2" x14ac:dyDescent="0.25">
      <c r="A126" t="s">
        <v>125</v>
      </c>
      <c r="B126">
        <f>MID(PESEL34[[#This Row],[PESEL]],1,2) + 1900</f>
        <v>1984</v>
      </c>
    </row>
    <row r="127" spans="1:2" x14ac:dyDescent="0.25">
      <c r="A127" t="s">
        <v>126</v>
      </c>
      <c r="B127">
        <f>MID(PESEL34[[#This Row],[PESEL]],1,2) + 1900</f>
        <v>1957</v>
      </c>
    </row>
    <row r="128" spans="1:2" x14ac:dyDescent="0.25">
      <c r="A128" t="s">
        <v>127</v>
      </c>
      <c r="B128">
        <f>MID(PESEL34[[#This Row],[PESEL]],1,2) + 1900</f>
        <v>1981</v>
      </c>
    </row>
    <row r="129" spans="1:2" x14ac:dyDescent="0.25">
      <c r="A129" t="s">
        <v>128</v>
      </c>
      <c r="B129">
        <f>MID(PESEL34[[#This Row],[PESEL]],1,2) + 1900</f>
        <v>1989</v>
      </c>
    </row>
    <row r="130" spans="1:2" x14ac:dyDescent="0.25">
      <c r="A130" t="s">
        <v>129</v>
      </c>
      <c r="B130">
        <f>MID(PESEL34[[#This Row],[PESEL]],1,2) + 1900</f>
        <v>1952</v>
      </c>
    </row>
    <row r="131" spans="1:2" x14ac:dyDescent="0.25">
      <c r="A131" t="s">
        <v>130</v>
      </c>
      <c r="B131">
        <f>MID(PESEL34[[#This Row],[PESEL]],1,2) + 1900</f>
        <v>1950</v>
      </c>
    </row>
    <row r="132" spans="1:2" x14ac:dyDescent="0.25">
      <c r="A132" t="s">
        <v>131</v>
      </c>
      <c r="B132">
        <f>MID(PESEL34[[#This Row],[PESEL]],1,2) + 1900</f>
        <v>1965</v>
      </c>
    </row>
    <row r="133" spans="1:2" x14ac:dyDescent="0.25">
      <c r="A133" t="s">
        <v>132</v>
      </c>
      <c r="B133">
        <f>MID(PESEL34[[#This Row],[PESEL]],1,2) + 1900</f>
        <v>1985</v>
      </c>
    </row>
    <row r="134" spans="1:2" x14ac:dyDescent="0.25">
      <c r="A134" t="s">
        <v>133</v>
      </c>
      <c r="B134">
        <f>MID(PESEL34[[#This Row],[PESEL]],1,2) + 1900</f>
        <v>1989</v>
      </c>
    </row>
    <row r="135" spans="1:2" x14ac:dyDescent="0.25">
      <c r="A135" t="s">
        <v>134</v>
      </c>
      <c r="B135">
        <f>MID(PESEL34[[#This Row],[PESEL]],1,2) + 1900</f>
        <v>1971</v>
      </c>
    </row>
    <row r="136" spans="1:2" x14ac:dyDescent="0.25">
      <c r="A136" t="s">
        <v>135</v>
      </c>
      <c r="B136">
        <f>MID(PESEL34[[#This Row],[PESEL]],1,2) + 1900</f>
        <v>1973</v>
      </c>
    </row>
    <row r="137" spans="1:2" x14ac:dyDescent="0.25">
      <c r="A137" t="s">
        <v>136</v>
      </c>
      <c r="B137">
        <f>MID(PESEL34[[#This Row],[PESEL]],1,2) + 1900</f>
        <v>1989</v>
      </c>
    </row>
    <row r="138" spans="1:2" x14ac:dyDescent="0.25">
      <c r="A138" t="s">
        <v>137</v>
      </c>
      <c r="B138">
        <f>MID(PESEL34[[#This Row],[PESEL]],1,2) + 1900</f>
        <v>1973</v>
      </c>
    </row>
    <row r="139" spans="1:2" x14ac:dyDescent="0.25">
      <c r="A139" t="s">
        <v>138</v>
      </c>
      <c r="B139">
        <f>MID(PESEL34[[#This Row],[PESEL]],1,2) + 1900</f>
        <v>1987</v>
      </c>
    </row>
    <row r="140" spans="1:2" x14ac:dyDescent="0.25">
      <c r="A140" t="s">
        <v>139</v>
      </c>
      <c r="B140">
        <f>MID(PESEL34[[#This Row],[PESEL]],1,2) + 1900</f>
        <v>1960</v>
      </c>
    </row>
    <row r="141" spans="1:2" x14ac:dyDescent="0.25">
      <c r="A141" t="s">
        <v>140</v>
      </c>
      <c r="B141">
        <f>MID(PESEL34[[#This Row],[PESEL]],1,2) + 1900</f>
        <v>1976</v>
      </c>
    </row>
    <row r="142" spans="1:2" x14ac:dyDescent="0.25">
      <c r="A142" t="s">
        <v>141</v>
      </c>
      <c r="B142">
        <f>MID(PESEL34[[#This Row],[PESEL]],1,2) + 1900</f>
        <v>1979</v>
      </c>
    </row>
    <row r="143" spans="1:2" x14ac:dyDescent="0.25">
      <c r="A143" t="s">
        <v>142</v>
      </c>
      <c r="B143">
        <f>MID(PESEL34[[#This Row],[PESEL]],1,2) + 1900</f>
        <v>1976</v>
      </c>
    </row>
    <row r="144" spans="1:2" x14ac:dyDescent="0.25">
      <c r="A144" t="s">
        <v>143</v>
      </c>
      <c r="B144">
        <f>MID(PESEL34[[#This Row],[PESEL]],1,2) + 1900</f>
        <v>1989</v>
      </c>
    </row>
    <row r="145" spans="1:2" x14ac:dyDescent="0.25">
      <c r="A145" t="s">
        <v>144</v>
      </c>
      <c r="B145">
        <f>MID(PESEL34[[#This Row],[PESEL]],1,2) + 1900</f>
        <v>1976</v>
      </c>
    </row>
    <row r="146" spans="1:2" x14ac:dyDescent="0.25">
      <c r="A146" t="s">
        <v>145</v>
      </c>
      <c r="B146">
        <f>MID(PESEL34[[#This Row],[PESEL]],1,2) + 1900</f>
        <v>1977</v>
      </c>
    </row>
    <row r="147" spans="1:2" x14ac:dyDescent="0.25">
      <c r="A147" t="s">
        <v>146</v>
      </c>
      <c r="B147">
        <f>MID(PESEL34[[#This Row],[PESEL]],1,2) + 1900</f>
        <v>1989</v>
      </c>
    </row>
    <row r="148" spans="1:2" x14ac:dyDescent="0.25">
      <c r="A148" t="s">
        <v>147</v>
      </c>
      <c r="B148">
        <f>MID(PESEL34[[#This Row],[PESEL]],1,2) + 1900</f>
        <v>1989</v>
      </c>
    </row>
    <row r="149" spans="1:2" x14ac:dyDescent="0.25">
      <c r="A149" t="s">
        <v>148</v>
      </c>
      <c r="B149">
        <f>MID(PESEL34[[#This Row],[PESEL]],1,2) + 1900</f>
        <v>1958</v>
      </c>
    </row>
    <row r="150" spans="1:2" x14ac:dyDescent="0.25">
      <c r="A150" t="s">
        <v>149</v>
      </c>
      <c r="B150">
        <f>MID(PESEL34[[#This Row],[PESEL]],1,2) + 1900</f>
        <v>1989</v>
      </c>
    </row>
    <row r="151" spans="1:2" x14ac:dyDescent="0.25">
      <c r="A151" t="s">
        <v>150</v>
      </c>
      <c r="B151">
        <f>MID(PESEL34[[#This Row],[PESEL]],1,2) + 1900</f>
        <v>1979</v>
      </c>
    </row>
  </sheetData>
  <conditionalFormatting sqref="F2">
    <cfRule type="cellIs" dxfId="3" priority="1" operator="equal">
      <formula>$D$5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A76F-7A02-4BA1-A5FA-99FB7BE1401A}">
  <dimension ref="A3:D46"/>
  <sheetViews>
    <sheetView topLeftCell="A24" workbookViewId="0">
      <selection activeCell="B42" sqref="A42:B42"/>
    </sheetView>
  </sheetViews>
  <sheetFormatPr defaultRowHeight="15" x14ac:dyDescent="0.25"/>
  <cols>
    <col min="1" max="1" width="17.7109375" bestFit="1" customWidth="1"/>
    <col min="2" max="2" width="10.85546875" bestFit="1" customWidth="1"/>
  </cols>
  <sheetData>
    <row r="3" spans="1:4" x14ac:dyDescent="0.25">
      <c r="A3" s="1" t="s">
        <v>156</v>
      </c>
      <c r="B3" t="s">
        <v>158</v>
      </c>
    </row>
    <row r="4" spans="1:4" x14ac:dyDescent="0.25">
      <c r="A4" s="2">
        <v>1950</v>
      </c>
      <c r="B4">
        <v>3</v>
      </c>
      <c r="D4" t="s">
        <v>159</v>
      </c>
    </row>
    <row r="5" spans="1:4" x14ac:dyDescent="0.25">
      <c r="A5" s="2">
        <v>1951</v>
      </c>
      <c r="B5">
        <v>2</v>
      </c>
      <c r="D5">
        <f>MAX(B3:B45)</f>
        <v>29</v>
      </c>
    </row>
    <row r="6" spans="1:4" x14ac:dyDescent="0.25">
      <c r="A6" s="2">
        <v>1952</v>
      </c>
      <c r="B6">
        <v>2</v>
      </c>
    </row>
    <row r="7" spans="1:4" x14ac:dyDescent="0.25">
      <c r="A7" s="2">
        <v>1953</v>
      </c>
      <c r="B7">
        <v>2</v>
      </c>
    </row>
    <row r="8" spans="1:4" x14ac:dyDescent="0.25">
      <c r="A8" s="2">
        <v>1954</v>
      </c>
      <c r="B8">
        <v>2</v>
      </c>
    </row>
    <row r="9" spans="1:4" x14ac:dyDescent="0.25">
      <c r="A9" s="2">
        <v>1955</v>
      </c>
      <c r="B9">
        <v>3</v>
      </c>
    </row>
    <row r="10" spans="1:4" x14ac:dyDescent="0.25">
      <c r="A10" s="2">
        <v>1956</v>
      </c>
      <c r="B10">
        <v>1</v>
      </c>
    </row>
    <row r="11" spans="1:4" x14ac:dyDescent="0.25">
      <c r="A11" s="2">
        <v>1957</v>
      </c>
      <c r="B11">
        <v>2</v>
      </c>
    </row>
    <row r="12" spans="1:4" x14ac:dyDescent="0.25">
      <c r="A12" s="2">
        <v>1958</v>
      </c>
      <c r="B12">
        <v>1</v>
      </c>
    </row>
    <row r="13" spans="1:4" x14ac:dyDescent="0.25">
      <c r="A13" s="2">
        <v>1959</v>
      </c>
      <c r="B13">
        <v>4</v>
      </c>
    </row>
    <row r="14" spans="1:4" x14ac:dyDescent="0.25">
      <c r="A14" s="2">
        <v>1960</v>
      </c>
      <c r="B14">
        <v>2</v>
      </c>
    </row>
    <row r="15" spans="1:4" x14ac:dyDescent="0.25">
      <c r="A15" s="2">
        <v>1961</v>
      </c>
      <c r="B15">
        <v>3</v>
      </c>
    </row>
    <row r="16" spans="1:4" x14ac:dyDescent="0.25">
      <c r="A16" s="2">
        <v>1962</v>
      </c>
      <c r="B16">
        <v>2</v>
      </c>
    </row>
    <row r="17" spans="1:2" x14ac:dyDescent="0.25">
      <c r="A17" s="2">
        <v>1963</v>
      </c>
      <c r="B17">
        <v>3</v>
      </c>
    </row>
    <row r="18" spans="1:2" x14ac:dyDescent="0.25">
      <c r="A18" s="2">
        <v>1964</v>
      </c>
      <c r="B18">
        <v>3</v>
      </c>
    </row>
    <row r="19" spans="1:2" x14ac:dyDescent="0.25">
      <c r="A19" s="2">
        <v>1965</v>
      </c>
      <c r="B19">
        <v>3</v>
      </c>
    </row>
    <row r="20" spans="1:2" x14ac:dyDescent="0.25">
      <c r="A20" s="2">
        <v>1966</v>
      </c>
      <c r="B20">
        <v>5</v>
      </c>
    </row>
    <row r="21" spans="1:2" x14ac:dyDescent="0.25">
      <c r="A21" s="2">
        <v>1967</v>
      </c>
      <c r="B21">
        <v>4</v>
      </c>
    </row>
    <row r="22" spans="1:2" x14ac:dyDescent="0.25">
      <c r="A22" s="2">
        <v>1968</v>
      </c>
      <c r="B22">
        <v>1</v>
      </c>
    </row>
    <row r="23" spans="1:2" x14ac:dyDescent="0.25">
      <c r="A23" s="2">
        <v>1969</v>
      </c>
      <c r="B23">
        <v>2</v>
      </c>
    </row>
    <row r="24" spans="1:2" x14ac:dyDescent="0.25">
      <c r="A24" s="2">
        <v>1970</v>
      </c>
      <c r="B24">
        <v>4</v>
      </c>
    </row>
    <row r="25" spans="1:2" x14ac:dyDescent="0.25">
      <c r="A25" s="2">
        <v>1971</v>
      </c>
      <c r="B25">
        <v>4</v>
      </c>
    </row>
    <row r="26" spans="1:2" x14ac:dyDescent="0.25">
      <c r="A26" s="2">
        <v>1972</v>
      </c>
      <c r="B26">
        <v>1</v>
      </c>
    </row>
    <row r="27" spans="1:2" x14ac:dyDescent="0.25">
      <c r="A27" s="2">
        <v>1973</v>
      </c>
      <c r="B27">
        <v>4</v>
      </c>
    </row>
    <row r="28" spans="1:2" x14ac:dyDescent="0.25">
      <c r="A28" s="2">
        <v>1974</v>
      </c>
      <c r="B28">
        <v>4</v>
      </c>
    </row>
    <row r="29" spans="1:2" x14ac:dyDescent="0.25">
      <c r="A29" s="2">
        <v>1975</v>
      </c>
      <c r="B29">
        <v>4</v>
      </c>
    </row>
    <row r="30" spans="1:2" x14ac:dyDescent="0.25">
      <c r="A30" s="2">
        <v>1976</v>
      </c>
      <c r="B30">
        <v>4</v>
      </c>
    </row>
    <row r="31" spans="1:2" x14ac:dyDescent="0.25">
      <c r="A31" s="2">
        <v>1977</v>
      </c>
      <c r="B31">
        <v>3</v>
      </c>
    </row>
    <row r="32" spans="1:2" x14ac:dyDescent="0.25">
      <c r="A32" s="2">
        <v>1978</v>
      </c>
      <c r="B32">
        <v>4</v>
      </c>
    </row>
    <row r="33" spans="1:2" x14ac:dyDescent="0.25">
      <c r="A33" s="2">
        <v>1979</v>
      </c>
      <c r="B33">
        <v>4</v>
      </c>
    </row>
    <row r="34" spans="1:2" x14ac:dyDescent="0.25">
      <c r="A34" s="2">
        <v>1981</v>
      </c>
      <c r="B34">
        <v>2</v>
      </c>
    </row>
    <row r="35" spans="1:2" x14ac:dyDescent="0.25">
      <c r="A35" s="2">
        <v>1982</v>
      </c>
      <c r="B35">
        <v>1</v>
      </c>
    </row>
    <row r="36" spans="1:2" x14ac:dyDescent="0.25">
      <c r="A36" s="2">
        <v>1983</v>
      </c>
      <c r="B36">
        <v>2</v>
      </c>
    </row>
    <row r="37" spans="1:2" x14ac:dyDescent="0.25">
      <c r="A37" s="2">
        <v>1984</v>
      </c>
      <c r="B37">
        <v>4</v>
      </c>
    </row>
    <row r="38" spans="1:2" x14ac:dyDescent="0.25">
      <c r="A38" s="2">
        <v>1985</v>
      </c>
      <c r="B38">
        <v>5</v>
      </c>
    </row>
    <row r="39" spans="1:2" x14ac:dyDescent="0.25">
      <c r="A39" s="2">
        <v>1986</v>
      </c>
      <c r="B39">
        <v>6</v>
      </c>
    </row>
    <row r="40" spans="1:2" x14ac:dyDescent="0.25">
      <c r="A40" s="2">
        <v>1987</v>
      </c>
      <c r="B40">
        <v>3</v>
      </c>
    </row>
    <row r="41" spans="1:2" x14ac:dyDescent="0.25">
      <c r="A41" s="2">
        <v>1988</v>
      </c>
      <c r="B41">
        <v>6</v>
      </c>
    </row>
    <row r="42" spans="1:2" x14ac:dyDescent="0.25">
      <c r="A42" s="2">
        <v>1989</v>
      </c>
      <c r="B42">
        <v>29</v>
      </c>
    </row>
    <row r="43" spans="1:2" x14ac:dyDescent="0.25">
      <c r="A43" s="2">
        <v>1990</v>
      </c>
      <c r="B43">
        <v>2</v>
      </c>
    </row>
    <row r="44" spans="1:2" x14ac:dyDescent="0.25">
      <c r="A44" s="2">
        <v>1991</v>
      </c>
      <c r="B44">
        <v>2</v>
      </c>
    </row>
    <row r="45" spans="1:2" x14ac:dyDescent="0.25">
      <c r="A45" s="2">
        <v>1992</v>
      </c>
      <c r="B45">
        <v>2</v>
      </c>
    </row>
    <row r="46" spans="1:2" x14ac:dyDescent="0.25">
      <c r="A46" s="2" t="s">
        <v>157</v>
      </c>
      <c r="B46">
        <v>150</v>
      </c>
    </row>
  </sheetData>
  <conditionalFormatting sqref="B1:B1048576">
    <cfRule type="cellIs" dxfId="2" priority="1" operator="equal">
      <formula>$D$5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1DD1-4114-4DAD-A8D7-08C74D598E67}">
  <dimension ref="A1:V164"/>
  <sheetViews>
    <sheetView workbookViewId="0">
      <selection activeCell="T156" sqref="T156:U164"/>
    </sheetView>
  </sheetViews>
  <sheetFormatPr defaultRowHeight="15" x14ac:dyDescent="0.25"/>
  <cols>
    <col min="1" max="9" width="4.28515625" bestFit="1" customWidth="1"/>
    <col min="10" max="10" width="5.28515625" bestFit="1" customWidth="1"/>
    <col min="11" max="11" width="11.85546875" bestFit="1" customWidth="1"/>
    <col min="12" max="12" width="12" bestFit="1" customWidth="1"/>
    <col min="13" max="13" width="22.28515625" bestFit="1" customWidth="1"/>
    <col min="14" max="14" width="15.42578125" bestFit="1" customWidth="1"/>
    <col min="21" max="21" width="20.85546875" bestFit="1" customWidth="1"/>
  </cols>
  <sheetData>
    <row r="1" spans="1:22" x14ac:dyDescent="0.25">
      <c r="A1" t="s">
        <v>162</v>
      </c>
      <c r="B1" t="s">
        <v>163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173</v>
      </c>
      <c r="L1" t="s">
        <v>174</v>
      </c>
      <c r="M1" t="s">
        <v>175</v>
      </c>
      <c r="N1" t="s">
        <v>172</v>
      </c>
      <c r="U1">
        <v>1</v>
      </c>
      <c r="V1">
        <v>1</v>
      </c>
    </row>
    <row r="2" spans="1:22" hidden="1" x14ac:dyDescent="0.25">
      <c r="A2">
        <v>5</v>
      </c>
      <c r="B2">
        <v>3</v>
      </c>
      <c r="C2">
        <v>0</v>
      </c>
      <c r="D2">
        <v>8</v>
      </c>
      <c r="E2">
        <v>2</v>
      </c>
      <c r="F2">
        <v>8</v>
      </c>
      <c r="G2">
        <v>0</v>
      </c>
      <c r="H2">
        <v>6</v>
      </c>
      <c r="I2">
        <v>0</v>
      </c>
      <c r="J2">
        <v>5</v>
      </c>
      <c r="K2">
        <v>9</v>
      </c>
      <c r="L2" t="s">
        <v>1</v>
      </c>
      <c r="M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2" t="str">
        <f>IF(AND(PESELxxx[[#This Row],[kontrolna]]=0,PESELxxx[[#This Row],[suma kontrolna, mod]]=0),"Tak",IF(PESELxxx[[#This Row],[suma kontrolna, mod]]+PESELxxx[[#This Row],[kontrolna]] =10,"Tak","Nie"))</f>
        <v>Tak</v>
      </c>
      <c r="U2">
        <v>2</v>
      </c>
      <c r="V2">
        <v>3</v>
      </c>
    </row>
    <row r="3" spans="1:22" hidden="1" x14ac:dyDescent="0.25">
      <c r="A3">
        <v>8</v>
      </c>
      <c r="B3">
        <v>9</v>
      </c>
      <c r="C3">
        <v>1</v>
      </c>
      <c r="D3">
        <v>0</v>
      </c>
      <c r="E3">
        <v>0</v>
      </c>
      <c r="F3">
        <v>1</v>
      </c>
      <c r="G3">
        <v>9</v>
      </c>
      <c r="H3">
        <v>2</v>
      </c>
      <c r="I3">
        <v>7</v>
      </c>
      <c r="J3">
        <v>5</v>
      </c>
      <c r="K3">
        <v>2</v>
      </c>
      <c r="L3" t="s">
        <v>2</v>
      </c>
      <c r="M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3" t="str">
        <f>IF(AND(PESELxxx[[#This Row],[kontrolna]]=0,PESELxxx[[#This Row],[suma kontrolna, mod]]=0),"Tak",IF(PESELxxx[[#This Row],[suma kontrolna, mod]]+PESELxxx[[#This Row],[kontrolna]] =10,"Tak","Nie"))</f>
        <v>Tak</v>
      </c>
      <c r="U3">
        <v>3</v>
      </c>
      <c r="V3">
        <v>7</v>
      </c>
    </row>
    <row r="4" spans="1:22" hidden="1" x14ac:dyDescent="0.25">
      <c r="A4">
        <v>8</v>
      </c>
      <c r="B4">
        <v>5</v>
      </c>
      <c r="C4">
        <v>1</v>
      </c>
      <c r="D4">
        <v>1</v>
      </c>
      <c r="E4">
        <v>1</v>
      </c>
      <c r="F4">
        <v>7</v>
      </c>
      <c r="G4">
        <v>7</v>
      </c>
      <c r="H4">
        <v>9</v>
      </c>
      <c r="I4">
        <v>2</v>
      </c>
      <c r="J4">
        <v>8</v>
      </c>
      <c r="K4">
        <v>3</v>
      </c>
      <c r="L4" t="s">
        <v>3</v>
      </c>
      <c r="M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4" t="str">
        <f>IF(AND(PESELxxx[[#This Row],[kontrolna]]=0,PESELxxx[[#This Row],[suma kontrolna, mod]]=0),"Tak",IF(PESELxxx[[#This Row],[suma kontrolna, mod]]+PESELxxx[[#This Row],[kontrolna]] =10,"Tak","Nie"))</f>
        <v>Tak</v>
      </c>
      <c r="U4">
        <v>4</v>
      </c>
      <c r="V4">
        <v>9</v>
      </c>
    </row>
    <row r="5" spans="1:22" hidden="1" x14ac:dyDescent="0.25">
      <c r="A5">
        <v>8</v>
      </c>
      <c r="B5">
        <v>6</v>
      </c>
      <c r="C5">
        <v>0</v>
      </c>
      <c r="D5">
        <v>8</v>
      </c>
      <c r="E5">
        <v>0</v>
      </c>
      <c r="F5">
        <v>9</v>
      </c>
      <c r="G5">
        <v>4</v>
      </c>
      <c r="H5">
        <v>1</v>
      </c>
      <c r="I5">
        <v>1</v>
      </c>
      <c r="J5">
        <v>6</v>
      </c>
      <c r="K5">
        <v>9</v>
      </c>
      <c r="L5" t="s">
        <v>4</v>
      </c>
      <c r="M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5" t="str">
        <f>IF(AND(PESELxxx[[#This Row],[kontrolna]]=0,PESELxxx[[#This Row],[suma kontrolna, mod]]=0),"Tak",IF(PESELxxx[[#This Row],[suma kontrolna, mod]]+PESELxxx[[#This Row],[kontrolna]] =10,"Tak","Nie"))</f>
        <v>Tak</v>
      </c>
      <c r="U5">
        <v>5</v>
      </c>
      <c r="V5">
        <v>1</v>
      </c>
    </row>
    <row r="6" spans="1:22" hidden="1" x14ac:dyDescent="0.25">
      <c r="A6">
        <v>8</v>
      </c>
      <c r="B6">
        <v>9</v>
      </c>
      <c r="C6">
        <v>0</v>
      </c>
      <c r="D6">
        <v>1</v>
      </c>
      <c r="E6">
        <v>1</v>
      </c>
      <c r="F6">
        <v>1</v>
      </c>
      <c r="G6">
        <v>2</v>
      </c>
      <c r="H6">
        <v>9</v>
      </c>
      <c r="I6">
        <v>7</v>
      </c>
      <c r="J6">
        <v>0</v>
      </c>
      <c r="K6">
        <v>0</v>
      </c>
      <c r="L6" t="s">
        <v>5</v>
      </c>
      <c r="M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6" t="str">
        <f>IF(AND(PESELxxx[[#This Row],[kontrolna]]=0,PESELxxx[[#This Row],[suma kontrolna, mod]]=0),"Tak",IF(PESELxxx[[#This Row],[suma kontrolna, mod]]+PESELxxx[[#This Row],[kontrolna]] =10,"Tak","Nie"))</f>
        <v>Tak</v>
      </c>
      <c r="U6">
        <v>6</v>
      </c>
      <c r="V6">
        <v>3</v>
      </c>
    </row>
    <row r="7" spans="1:22" hidden="1" x14ac:dyDescent="0.25">
      <c r="A7">
        <v>6</v>
      </c>
      <c r="B7">
        <v>2</v>
      </c>
      <c r="C7">
        <v>0</v>
      </c>
      <c r="D7">
        <v>3</v>
      </c>
      <c r="E7">
        <v>3</v>
      </c>
      <c r="F7">
        <v>0</v>
      </c>
      <c r="G7">
        <v>8</v>
      </c>
      <c r="H7">
        <v>9</v>
      </c>
      <c r="I7">
        <v>8</v>
      </c>
      <c r="J7">
        <v>0</v>
      </c>
      <c r="K7">
        <v>3</v>
      </c>
      <c r="L7" t="s">
        <v>6</v>
      </c>
      <c r="M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7" t="str">
        <f>IF(AND(PESELxxx[[#This Row],[kontrolna]]=0,PESELxxx[[#This Row],[suma kontrolna, mod]]=0),"Tak",IF(PESELxxx[[#This Row],[suma kontrolna, mod]]+PESELxxx[[#This Row],[kontrolna]] =10,"Tak","Nie"))</f>
        <v>Tak</v>
      </c>
      <c r="U7">
        <v>7</v>
      </c>
      <c r="V7">
        <v>7</v>
      </c>
    </row>
    <row r="8" spans="1:22" hidden="1" x14ac:dyDescent="0.25">
      <c r="A8">
        <v>6</v>
      </c>
      <c r="B8">
        <v>2</v>
      </c>
      <c r="C8">
        <v>0</v>
      </c>
      <c r="D8">
        <v>9</v>
      </c>
      <c r="E8">
        <v>2</v>
      </c>
      <c r="F8">
        <v>5</v>
      </c>
      <c r="G8">
        <v>6</v>
      </c>
      <c r="H8">
        <v>9</v>
      </c>
      <c r="I8">
        <v>0</v>
      </c>
      <c r="J8">
        <v>9</v>
      </c>
      <c r="K8">
        <v>0</v>
      </c>
      <c r="L8" t="s">
        <v>7</v>
      </c>
      <c r="M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8" t="str">
        <f>IF(AND(PESELxxx[[#This Row],[kontrolna]]=0,PESELxxx[[#This Row],[suma kontrolna, mod]]=0),"Tak",IF(PESELxxx[[#This Row],[suma kontrolna, mod]]+PESELxxx[[#This Row],[kontrolna]] =10,"Tak","Nie"))</f>
        <v>Tak</v>
      </c>
      <c r="U8">
        <v>8</v>
      </c>
      <c r="V8">
        <v>9</v>
      </c>
    </row>
    <row r="9" spans="1:22" hidden="1" x14ac:dyDescent="0.25">
      <c r="A9">
        <v>6</v>
      </c>
      <c r="B9">
        <v>4</v>
      </c>
      <c r="C9">
        <v>0</v>
      </c>
      <c r="D9">
        <v>6</v>
      </c>
      <c r="E9">
        <v>3</v>
      </c>
      <c r="F9">
        <v>1</v>
      </c>
      <c r="G9">
        <v>5</v>
      </c>
      <c r="H9">
        <v>9</v>
      </c>
      <c r="I9">
        <v>2</v>
      </c>
      <c r="J9">
        <v>1</v>
      </c>
      <c r="K9">
        <v>1</v>
      </c>
      <c r="L9" t="s">
        <v>8</v>
      </c>
      <c r="M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9" t="str">
        <f>IF(AND(PESELxxx[[#This Row],[kontrolna]]=0,PESELxxx[[#This Row],[suma kontrolna, mod]]=0),"Tak",IF(PESELxxx[[#This Row],[suma kontrolna, mod]]+PESELxxx[[#This Row],[kontrolna]] =10,"Tak","Nie"))</f>
        <v>Tak</v>
      </c>
      <c r="U9">
        <v>9</v>
      </c>
      <c r="V9">
        <v>1</v>
      </c>
    </row>
    <row r="10" spans="1:22" hidden="1" x14ac:dyDescent="0.25">
      <c r="A10">
        <v>8</v>
      </c>
      <c r="B10">
        <v>8</v>
      </c>
      <c r="C10">
        <v>1</v>
      </c>
      <c r="D10">
        <v>2</v>
      </c>
      <c r="E10">
        <v>0</v>
      </c>
      <c r="F10">
        <v>2</v>
      </c>
      <c r="G10">
        <v>6</v>
      </c>
      <c r="H10">
        <v>2</v>
      </c>
      <c r="I10">
        <v>4</v>
      </c>
      <c r="J10">
        <v>2</v>
      </c>
      <c r="K10">
        <v>7</v>
      </c>
      <c r="L10" t="s">
        <v>9</v>
      </c>
      <c r="M1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10" t="str">
        <f>IF(AND(PESELxxx[[#This Row],[kontrolna]]=0,PESELxxx[[#This Row],[suma kontrolna, mod]]=0),"Tak",IF(PESELxxx[[#This Row],[suma kontrolna, mod]]+PESELxxx[[#This Row],[kontrolna]] =10,"Tak","Nie"))</f>
        <v>Tak</v>
      </c>
      <c r="U10">
        <v>10</v>
      </c>
      <c r="V10">
        <v>3</v>
      </c>
    </row>
    <row r="11" spans="1:22" hidden="1" x14ac:dyDescent="0.25">
      <c r="A11">
        <v>7</v>
      </c>
      <c r="B11">
        <v>5</v>
      </c>
      <c r="C11">
        <v>1</v>
      </c>
      <c r="D11">
        <v>2</v>
      </c>
      <c r="E11">
        <v>1</v>
      </c>
      <c r="F11">
        <v>0</v>
      </c>
      <c r="G11">
        <v>0</v>
      </c>
      <c r="H11">
        <v>5</v>
      </c>
      <c r="I11">
        <v>0</v>
      </c>
      <c r="J11">
        <v>4</v>
      </c>
      <c r="K11">
        <v>5</v>
      </c>
      <c r="L11" t="s">
        <v>10</v>
      </c>
      <c r="M1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11" t="str">
        <f>IF(AND(PESELxxx[[#This Row],[kontrolna]]=0,PESELxxx[[#This Row],[suma kontrolna, mod]]=0),"Tak",IF(PESELxxx[[#This Row],[suma kontrolna, mod]]+PESELxxx[[#This Row],[kontrolna]] =10,"Tak","Nie"))</f>
        <v>Tak</v>
      </c>
    </row>
    <row r="12" spans="1:22" hidden="1" x14ac:dyDescent="0.25">
      <c r="A12">
        <v>7</v>
      </c>
      <c r="B12">
        <v>4</v>
      </c>
      <c r="C12">
        <v>1</v>
      </c>
      <c r="D12">
        <v>2</v>
      </c>
      <c r="E12">
        <v>1</v>
      </c>
      <c r="F12">
        <v>1</v>
      </c>
      <c r="G12">
        <v>0</v>
      </c>
      <c r="H12">
        <v>8</v>
      </c>
      <c r="I12">
        <v>5</v>
      </c>
      <c r="J12">
        <v>9</v>
      </c>
      <c r="K12">
        <v>8</v>
      </c>
      <c r="L12" t="s">
        <v>11</v>
      </c>
      <c r="M1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12" t="str">
        <f>IF(AND(PESELxxx[[#This Row],[kontrolna]]=0,PESELxxx[[#This Row],[suma kontrolna, mod]]=0),"Tak",IF(PESELxxx[[#This Row],[suma kontrolna, mod]]+PESELxxx[[#This Row],[kontrolna]] =10,"Tak","Nie"))</f>
        <v>Tak</v>
      </c>
    </row>
    <row r="13" spans="1:22" hidden="1" x14ac:dyDescent="0.25">
      <c r="A13">
        <v>6</v>
      </c>
      <c r="B13">
        <v>7</v>
      </c>
      <c r="C13">
        <v>1</v>
      </c>
      <c r="D13">
        <v>1</v>
      </c>
      <c r="E13">
        <v>2</v>
      </c>
      <c r="F13">
        <v>9</v>
      </c>
      <c r="G13">
        <v>6</v>
      </c>
      <c r="H13">
        <v>6</v>
      </c>
      <c r="I13">
        <v>6</v>
      </c>
      <c r="J13">
        <v>6</v>
      </c>
      <c r="K13">
        <v>8</v>
      </c>
      <c r="L13" t="s">
        <v>12</v>
      </c>
      <c r="M1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13" t="str">
        <f>IF(AND(PESELxxx[[#This Row],[kontrolna]]=0,PESELxxx[[#This Row],[suma kontrolna, mod]]=0),"Tak",IF(PESELxxx[[#This Row],[suma kontrolna, mod]]+PESELxxx[[#This Row],[kontrolna]] =10,"Tak","Nie"))</f>
        <v>Tak</v>
      </c>
    </row>
    <row r="14" spans="1:22" hidden="1" x14ac:dyDescent="0.25">
      <c r="A14">
        <v>8</v>
      </c>
      <c r="B14">
        <v>9</v>
      </c>
      <c r="C14">
        <v>0</v>
      </c>
      <c r="D14">
        <v>1</v>
      </c>
      <c r="E14">
        <v>0</v>
      </c>
      <c r="F14">
        <v>7</v>
      </c>
      <c r="G14">
        <v>3</v>
      </c>
      <c r="H14">
        <v>7</v>
      </c>
      <c r="I14">
        <v>7</v>
      </c>
      <c r="J14">
        <v>0</v>
      </c>
      <c r="K14">
        <v>4</v>
      </c>
      <c r="L14" t="s">
        <v>13</v>
      </c>
      <c r="M1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14" t="str">
        <f>IF(AND(PESELxxx[[#This Row],[kontrolna]]=0,PESELxxx[[#This Row],[suma kontrolna, mod]]=0),"Tak",IF(PESELxxx[[#This Row],[suma kontrolna, mod]]+PESELxxx[[#This Row],[kontrolna]] =10,"Tak","Nie"))</f>
        <v>Tak</v>
      </c>
    </row>
    <row r="15" spans="1:22" hidden="1" x14ac:dyDescent="0.25">
      <c r="A15">
        <v>5</v>
      </c>
      <c r="B15">
        <v>2</v>
      </c>
      <c r="C15">
        <v>1</v>
      </c>
      <c r="D15">
        <v>0</v>
      </c>
      <c r="E15">
        <v>1</v>
      </c>
      <c r="F15">
        <v>1</v>
      </c>
      <c r="G15">
        <v>5</v>
      </c>
      <c r="H15">
        <v>6</v>
      </c>
      <c r="I15">
        <v>8</v>
      </c>
      <c r="J15">
        <v>6</v>
      </c>
      <c r="K15">
        <v>3</v>
      </c>
      <c r="L15" t="s">
        <v>14</v>
      </c>
      <c r="M1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15" t="str">
        <f>IF(AND(PESELxxx[[#This Row],[kontrolna]]=0,PESELxxx[[#This Row],[suma kontrolna, mod]]=0),"Tak",IF(PESELxxx[[#This Row],[suma kontrolna, mod]]+PESELxxx[[#This Row],[kontrolna]] =10,"Tak","Nie"))</f>
        <v>Tak</v>
      </c>
    </row>
    <row r="16" spans="1:22" x14ac:dyDescent="0.25">
      <c r="A16">
        <v>9</v>
      </c>
      <c r="B16">
        <v>1</v>
      </c>
      <c r="C16">
        <v>0</v>
      </c>
      <c r="D16">
        <v>3</v>
      </c>
      <c r="E16">
        <v>2</v>
      </c>
      <c r="F16">
        <v>2</v>
      </c>
      <c r="G16">
        <v>7</v>
      </c>
      <c r="H16">
        <v>2</v>
      </c>
      <c r="I16">
        <v>6</v>
      </c>
      <c r="J16">
        <v>5</v>
      </c>
      <c r="K16">
        <v>1</v>
      </c>
      <c r="L16" t="s">
        <v>15</v>
      </c>
      <c r="M1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16" t="str">
        <f>IF(AND(PESELxxx[[#This Row],[kontrolna]]=0,PESELxxx[[#This Row],[suma kontrolna, mod]]=0),"Tak",IF(PESELxxx[[#This Row],[suma kontrolna, mod]]+PESELxxx[[#This Row],[kontrolna]] =10,"Tak","Nie"))</f>
        <v>Nie</v>
      </c>
    </row>
    <row r="17" spans="1:14" hidden="1" x14ac:dyDescent="0.25">
      <c r="A17">
        <v>7</v>
      </c>
      <c r="B17">
        <v>5</v>
      </c>
      <c r="C17">
        <v>0</v>
      </c>
      <c r="D17">
        <v>3</v>
      </c>
      <c r="E17">
        <v>2</v>
      </c>
      <c r="F17">
        <v>0</v>
      </c>
      <c r="G17">
        <v>0</v>
      </c>
      <c r="H17">
        <v>6</v>
      </c>
      <c r="I17">
        <v>0</v>
      </c>
      <c r="J17">
        <v>9</v>
      </c>
      <c r="K17">
        <v>8</v>
      </c>
      <c r="L17" t="s">
        <v>16</v>
      </c>
      <c r="M1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17" t="str">
        <f>IF(AND(PESELxxx[[#This Row],[kontrolna]]=0,PESELxxx[[#This Row],[suma kontrolna, mod]]=0),"Tak",IF(PESELxxx[[#This Row],[suma kontrolna, mod]]+PESELxxx[[#This Row],[kontrolna]] =10,"Tak","Nie"))</f>
        <v>Tak</v>
      </c>
    </row>
    <row r="18" spans="1:14" hidden="1" x14ac:dyDescent="0.25">
      <c r="A18">
        <v>5</v>
      </c>
      <c r="B18">
        <v>5</v>
      </c>
      <c r="C18">
        <v>1</v>
      </c>
      <c r="D18">
        <v>1</v>
      </c>
      <c r="E18">
        <v>0</v>
      </c>
      <c r="F18">
        <v>9</v>
      </c>
      <c r="G18">
        <v>0</v>
      </c>
      <c r="H18">
        <v>6</v>
      </c>
      <c r="I18">
        <v>6</v>
      </c>
      <c r="J18">
        <v>9</v>
      </c>
      <c r="K18">
        <v>0</v>
      </c>
      <c r="L18" t="s">
        <v>17</v>
      </c>
      <c r="M1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18" t="str">
        <f>IF(AND(PESELxxx[[#This Row],[kontrolna]]=0,PESELxxx[[#This Row],[suma kontrolna, mod]]=0),"Tak",IF(PESELxxx[[#This Row],[suma kontrolna, mod]]+PESELxxx[[#This Row],[kontrolna]] =10,"Tak","Nie"))</f>
        <v>Tak</v>
      </c>
    </row>
    <row r="19" spans="1:14" hidden="1" x14ac:dyDescent="0.25">
      <c r="A19">
        <v>6</v>
      </c>
      <c r="B19">
        <v>7</v>
      </c>
      <c r="C19">
        <v>1</v>
      </c>
      <c r="D19">
        <v>0</v>
      </c>
      <c r="E19">
        <v>3</v>
      </c>
      <c r="F19">
        <v>1</v>
      </c>
      <c r="G19">
        <v>1</v>
      </c>
      <c r="H19">
        <v>1</v>
      </c>
      <c r="I19">
        <v>0</v>
      </c>
      <c r="J19">
        <v>4</v>
      </c>
      <c r="K19">
        <v>2</v>
      </c>
      <c r="L19" t="s">
        <v>18</v>
      </c>
      <c r="M1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19" t="str">
        <f>IF(AND(PESELxxx[[#This Row],[kontrolna]]=0,PESELxxx[[#This Row],[suma kontrolna, mod]]=0),"Tak",IF(PESELxxx[[#This Row],[suma kontrolna, mod]]+PESELxxx[[#This Row],[kontrolna]] =10,"Tak","Nie"))</f>
        <v>Tak</v>
      </c>
    </row>
    <row r="20" spans="1:14" x14ac:dyDescent="0.25">
      <c r="A20">
        <v>7</v>
      </c>
      <c r="B20">
        <v>7</v>
      </c>
      <c r="C20">
        <v>0</v>
      </c>
      <c r="D20">
        <v>7</v>
      </c>
      <c r="E20">
        <v>2</v>
      </c>
      <c r="F20">
        <v>9</v>
      </c>
      <c r="G20">
        <v>1</v>
      </c>
      <c r="H20">
        <v>9</v>
      </c>
      <c r="I20">
        <v>8</v>
      </c>
      <c r="J20">
        <v>0</v>
      </c>
      <c r="K20">
        <v>5</v>
      </c>
      <c r="L20" t="s">
        <v>19</v>
      </c>
      <c r="M2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20" t="str">
        <f>IF(AND(PESELxxx[[#This Row],[kontrolna]]=0,PESELxxx[[#This Row],[suma kontrolna, mod]]=0),"Tak",IF(PESELxxx[[#This Row],[suma kontrolna, mod]]+PESELxxx[[#This Row],[kontrolna]] =10,"Tak","Nie"))</f>
        <v>Nie</v>
      </c>
    </row>
    <row r="21" spans="1:14" x14ac:dyDescent="0.25">
      <c r="A21">
        <v>9</v>
      </c>
      <c r="B21">
        <v>2</v>
      </c>
      <c r="C21">
        <v>0</v>
      </c>
      <c r="D21">
        <v>2</v>
      </c>
      <c r="E21">
        <v>2</v>
      </c>
      <c r="F21">
        <v>7</v>
      </c>
      <c r="G21">
        <v>1</v>
      </c>
      <c r="H21">
        <v>6</v>
      </c>
      <c r="I21">
        <v>2</v>
      </c>
      <c r="J21">
        <v>4</v>
      </c>
      <c r="K21">
        <v>3</v>
      </c>
      <c r="L21" t="s">
        <v>20</v>
      </c>
      <c r="M2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21" t="str">
        <f>IF(AND(PESELxxx[[#This Row],[kontrolna]]=0,PESELxxx[[#This Row],[suma kontrolna, mod]]=0),"Tak",IF(PESELxxx[[#This Row],[suma kontrolna, mod]]+PESELxxx[[#This Row],[kontrolna]] =10,"Tak","Nie"))</f>
        <v>Nie</v>
      </c>
    </row>
    <row r="22" spans="1:14" x14ac:dyDescent="0.25">
      <c r="A22">
        <v>8</v>
      </c>
      <c r="B22">
        <v>3</v>
      </c>
      <c r="C22">
        <v>0</v>
      </c>
      <c r="D22">
        <v>4</v>
      </c>
      <c r="E22">
        <v>1</v>
      </c>
      <c r="F22">
        <v>8</v>
      </c>
      <c r="G22">
        <v>1</v>
      </c>
      <c r="H22">
        <v>2</v>
      </c>
      <c r="I22">
        <v>3</v>
      </c>
      <c r="J22">
        <v>3</v>
      </c>
      <c r="K22">
        <v>8</v>
      </c>
      <c r="L22" t="s">
        <v>21</v>
      </c>
      <c r="M2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22" t="str">
        <f>IF(AND(PESELxxx[[#This Row],[kontrolna]]=0,PESELxxx[[#This Row],[suma kontrolna, mod]]=0),"Tak",IF(PESELxxx[[#This Row],[suma kontrolna, mod]]+PESELxxx[[#This Row],[kontrolna]] =10,"Tak","Nie"))</f>
        <v>Nie</v>
      </c>
    </row>
    <row r="23" spans="1:14" hidden="1" x14ac:dyDescent="0.25">
      <c r="A23">
        <v>8</v>
      </c>
      <c r="B23">
        <v>6</v>
      </c>
      <c r="C23">
        <v>0</v>
      </c>
      <c r="D23">
        <v>7</v>
      </c>
      <c r="E23">
        <v>2</v>
      </c>
      <c r="F23">
        <v>0</v>
      </c>
      <c r="G23">
        <v>3</v>
      </c>
      <c r="H23">
        <v>2</v>
      </c>
      <c r="I23">
        <v>5</v>
      </c>
      <c r="J23">
        <v>4</v>
      </c>
      <c r="K23">
        <v>3</v>
      </c>
      <c r="L23" t="s">
        <v>22</v>
      </c>
      <c r="M2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23" t="str">
        <f>IF(AND(PESELxxx[[#This Row],[kontrolna]]=0,PESELxxx[[#This Row],[suma kontrolna, mod]]=0),"Tak",IF(PESELxxx[[#This Row],[suma kontrolna, mod]]+PESELxxx[[#This Row],[kontrolna]] =10,"Tak","Nie"))</f>
        <v>Tak</v>
      </c>
    </row>
    <row r="24" spans="1:14" hidden="1" x14ac:dyDescent="0.25">
      <c r="A24">
        <v>7</v>
      </c>
      <c r="B24">
        <v>1</v>
      </c>
      <c r="C24">
        <v>1</v>
      </c>
      <c r="D24">
        <v>1</v>
      </c>
      <c r="E24">
        <v>0</v>
      </c>
      <c r="F24">
        <v>4</v>
      </c>
      <c r="G24">
        <v>1</v>
      </c>
      <c r="H24">
        <v>0</v>
      </c>
      <c r="I24">
        <v>8</v>
      </c>
      <c r="J24">
        <v>8</v>
      </c>
      <c r="K24">
        <v>3</v>
      </c>
      <c r="L24" t="s">
        <v>23</v>
      </c>
      <c r="M2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24" t="str">
        <f>IF(AND(PESELxxx[[#This Row],[kontrolna]]=0,PESELxxx[[#This Row],[suma kontrolna, mod]]=0),"Tak",IF(PESELxxx[[#This Row],[suma kontrolna, mod]]+PESELxxx[[#This Row],[kontrolna]] =10,"Tak","Nie"))</f>
        <v>Tak</v>
      </c>
    </row>
    <row r="25" spans="1:14" hidden="1" x14ac:dyDescent="0.25">
      <c r="A25">
        <v>7</v>
      </c>
      <c r="B25">
        <v>3</v>
      </c>
      <c r="C25">
        <v>0</v>
      </c>
      <c r="D25">
        <v>7</v>
      </c>
      <c r="E25">
        <v>0</v>
      </c>
      <c r="F25">
        <v>8</v>
      </c>
      <c r="G25">
        <v>7</v>
      </c>
      <c r="H25">
        <v>1</v>
      </c>
      <c r="I25">
        <v>3</v>
      </c>
      <c r="J25">
        <v>6</v>
      </c>
      <c r="K25">
        <v>8</v>
      </c>
      <c r="L25" t="s">
        <v>24</v>
      </c>
      <c r="M2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25" t="str">
        <f>IF(AND(PESELxxx[[#This Row],[kontrolna]]=0,PESELxxx[[#This Row],[suma kontrolna, mod]]=0),"Tak",IF(PESELxxx[[#This Row],[suma kontrolna, mod]]+PESELxxx[[#This Row],[kontrolna]] =10,"Tak","Nie"))</f>
        <v>Tak</v>
      </c>
    </row>
    <row r="26" spans="1:14" hidden="1" x14ac:dyDescent="0.25">
      <c r="A26">
        <v>7</v>
      </c>
      <c r="B26">
        <v>4</v>
      </c>
      <c r="C26">
        <v>0</v>
      </c>
      <c r="D26">
        <v>4</v>
      </c>
      <c r="E26">
        <v>0</v>
      </c>
      <c r="F26">
        <v>2</v>
      </c>
      <c r="G26">
        <v>4</v>
      </c>
      <c r="H26">
        <v>9</v>
      </c>
      <c r="I26">
        <v>5</v>
      </c>
      <c r="J26">
        <v>9</v>
      </c>
      <c r="K26">
        <v>8</v>
      </c>
      <c r="L26" t="s">
        <v>25</v>
      </c>
      <c r="M2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26" t="str">
        <f>IF(AND(PESELxxx[[#This Row],[kontrolna]]=0,PESELxxx[[#This Row],[suma kontrolna, mod]]=0),"Tak",IF(PESELxxx[[#This Row],[suma kontrolna, mod]]+PESELxxx[[#This Row],[kontrolna]] =10,"Tak","Nie"))</f>
        <v>Tak</v>
      </c>
    </row>
    <row r="27" spans="1:14" hidden="1" x14ac:dyDescent="0.25">
      <c r="A27">
        <v>8</v>
      </c>
      <c r="B27">
        <v>5</v>
      </c>
      <c r="C27">
        <v>0</v>
      </c>
      <c r="D27">
        <v>5</v>
      </c>
      <c r="E27">
        <v>2</v>
      </c>
      <c r="F27">
        <v>1</v>
      </c>
      <c r="G27">
        <v>3</v>
      </c>
      <c r="H27">
        <v>5</v>
      </c>
      <c r="I27">
        <v>6</v>
      </c>
      <c r="J27">
        <v>7</v>
      </c>
      <c r="K27">
        <v>4</v>
      </c>
      <c r="L27" t="s">
        <v>26</v>
      </c>
      <c r="M2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27" t="str">
        <f>IF(AND(PESELxxx[[#This Row],[kontrolna]]=0,PESELxxx[[#This Row],[suma kontrolna, mod]]=0),"Tak",IF(PESELxxx[[#This Row],[suma kontrolna, mod]]+PESELxxx[[#This Row],[kontrolna]] =10,"Tak","Nie"))</f>
        <v>Tak</v>
      </c>
    </row>
    <row r="28" spans="1:14" hidden="1" x14ac:dyDescent="0.25">
      <c r="A28">
        <v>7</v>
      </c>
      <c r="B28">
        <v>0</v>
      </c>
      <c r="C28">
        <v>0</v>
      </c>
      <c r="D28">
        <v>5</v>
      </c>
      <c r="E28">
        <v>3</v>
      </c>
      <c r="F28">
        <v>1</v>
      </c>
      <c r="G28">
        <v>7</v>
      </c>
      <c r="H28">
        <v>9</v>
      </c>
      <c r="I28">
        <v>1</v>
      </c>
      <c r="J28">
        <v>7</v>
      </c>
      <c r="K28">
        <v>0</v>
      </c>
      <c r="L28" t="s">
        <v>27</v>
      </c>
      <c r="M2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28" t="str">
        <f>IF(AND(PESELxxx[[#This Row],[kontrolna]]=0,PESELxxx[[#This Row],[suma kontrolna, mod]]=0),"Tak",IF(PESELxxx[[#This Row],[suma kontrolna, mod]]+PESELxxx[[#This Row],[kontrolna]] =10,"Tak","Nie"))</f>
        <v>Tak</v>
      </c>
    </row>
    <row r="29" spans="1:14" hidden="1" x14ac:dyDescent="0.25">
      <c r="A29">
        <v>8</v>
      </c>
      <c r="B29">
        <v>9</v>
      </c>
      <c r="C29">
        <v>0</v>
      </c>
      <c r="D29">
        <v>2</v>
      </c>
      <c r="E29">
        <v>1</v>
      </c>
      <c r="F29">
        <v>4</v>
      </c>
      <c r="G29">
        <v>6</v>
      </c>
      <c r="H29">
        <v>8</v>
      </c>
      <c r="I29">
        <v>4</v>
      </c>
      <c r="J29">
        <v>1</v>
      </c>
      <c r="K29">
        <v>3</v>
      </c>
      <c r="L29" t="s">
        <v>28</v>
      </c>
      <c r="M2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29" t="str">
        <f>IF(AND(PESELxxx[[#This Row],[kontrolna]]=0,PESELxxx[[#This Row],[suma kontrolna, mod]]=0),"Tak",IF(PESELxxx[[#This Row],[suma kontrolna, mod]]+PESELxxx[[#This Row],[kontrolna]] =10,"Tak","Nie"))</f>
        <v>Tak</v>
      </c>
    </row>
    <row r="30" spans="1:14" hidden="1" x14ac:dyDescent="0.25">
      <c r="A30">
        <v>6</v>
      </c>
      <c r="B30">
        <v>4</v>
      </c>
      <c r="C30">
        <v>0</v>
      </c>
      <c r="D30">
        <v>4</v>
      </c>
      <c r="E30">
        <v>0</v>
      </c>
      <c r="F30">
        <v>9</v>
      </c>
      <c r="G30">
        <v>1</v>
      </c>
      <c r="H30">
        <v>9</v>
      </c>
      <c r="I30">
        <v>5</v>
      </c>
      <c r="J30">
        <v>7</v>
      </c>
      <c r="K30">
        <v>5</v>
      </c>
      <c r="L30" t="s">
        <v>29</v>
      </c>
      <c r="M3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30" t="str">
        <f>IF(AND(PESELxxx[[#This Row],[kontrolna]]=0,PESELxxx[[#This Row],[suma kontrolna, mod]]=0),"Tak",IF(PESELxxx[[#This Row],[suma kontrolna, mod]]+PESELxxx[[#This Row],[kontrolna]] =10,"Tak","Nie"))</f>
        <v>Tak</v>
      </c>
    </row>
    <row r="31" spans="1:14" hidden="1" x14ac:dyDescent="0.25">
      <c r="A31">
        <v>6</v>
      </c>
      <c r="B31">
        <v>6</v>
      </c>
      <c r="C31">
        <v>1</v>
      </c>
      <c r="D31">
        <v>0</v>
      </c>
      <c r="E31">
        <v>0</v>
      </c>
      <c r="F31">
        <v>2</v>
      </c>
      <c r="G31">
        <v>9</v>
      </c>
      <c r="H31">
        <v>4</v>
      </c>
      <c r="I31">
        <v>1</v>
      </c>
      <c r="J31">
        <v>3</v>
      </c>
      <c r="K31">
        <v>4</v>
      </c>
      <c r="L31" t="s">
        <v>30</v>
      </c>
      <c r="M3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31" t="str">
        <f>IF(AND(PESELxxx[[#This Row],[kontrolna]]=0,PESELxxx[[#This Row],[suma kontrolna, mod]]=0),"Tak",IF(PESELxxx[[#This Row],[suma kontrolna, mod]]+PESELxxx[[#This Row],[kontrolna]] =10,"Tak","Nie"))</f>
        <v>Tak</v>
      </c>
    </row>
    <row r="32" spans="1:14" hidden="1" x14ac:dyDescent="0.25">
      <c r="A32">
        <v>6</v>
      </c>
      <c r="B32">
        <v>3</v>
      </c>
      <c r="C32">
        <v>1</v>
      </c>
      <c r="D32">
        <v>0</v>
      </c>
      <c r="E32">
        <v>2</v>
      </c>
      <c r="F32">
        <v>0</v>
      </c>
      <c r="G32">
        <v>9</v>
      </c>
      <c r="H32">
        <v>2</v>
      </c>
      <c r="I32">
        <v>9</v>
      </c>
      <c r="J32">
        <v>4</v>
      </c>
      <c r="K32">
        <v>4</v>
      </c>
      <c r="L32" t="s">
        <v>31</v>
      </c>
      <c r="M3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32" t="str">
        <f>IF(AND(PESELxxx[[#This Row],[kontrolna]]=0,PESELxxx[[#This Row],[suma kontrolna, mod]]=0),"Tak",IF(PESELxxx[[#This Row],[suma kontrolna, mod]]+PESELxxx[[#This Row],[kontrolna]] =10,"Tak","Nie"))</f>
        <v>Tak</v>
      </c>
    </row>
    <row r="33" spans="1:14" hidden="1" x14ac:dyDescent="0.25">
      <c r="A33">
        <v>8</v>
      </c>
      <c r="B33">
        <v>9</v>
      </c>
      <c r="C33">
        <v>0</v>
      </c>
      <c r="D33">
        <v>4</v>
      </c>
      <c r="E33">
        <v>0</v>
      </c>
      <c r="F33">
        <v>2</v>
      </c>
      <c r="G33">
        <v>0</v>
      </c>
      <c r="H33">
        <v>5</v>
      </c>
      <c r="I33">
        <v>4</v>
      </c>
      <c r="J33">
        <v>8</v>
      </c>
      <c r="K33">
        <v>0</v>
      </c>
      <c r="L33" t="s">
        <v>32</v>
      </c>
      <c r="M3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33" t="str">
        <f>IF(AND(PESELxxx[[#This Row],[kontrolna]]=0,PESELxxx[[#This Row],[suma kontrolna, mod]]=0),"Tak",IF(PESELxxx[[#This Row],[suma kontrolna, mod]]+PESELxxx[[#This Row],[kontrolna]] =10,"Tak","Nie"))</f>
        <v>Tak</v>
      </c>
    </row>
    <row r="34" spans="1:14" hidden="1" x14ac:dyDescent="0.25">
      <c r="A34">
        <v>7</v>
      </c>
      <c r="B34">
        <v>4</v>
      </c>
      <c r="C34">
        <v>1</v>
      </c>
      <c r="D34">
        <v>2</v>
      </c>
      <c r="E34">
        <v>3</v>
      </c>
      <c r="F34">
        <v>1</v>
      </c>
      <c r="G34">
        <v>8</v>
      </c>
      <c r="H34">
        <v>4</v>
      </c>
      <c r="I34">
        <v>2</v>
      </c>
      <c r="J34">
        <v>0</v>
      </c>
      <c r="K34">
        <v>6</v>
      </c>
      <c r="L34" t="s">
        <v>33</v>
      </c>
      <c r="M3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4</v>
      </c>
      <c r="N34" t="str">
        <f>IF(AND(PESELxxx[[#This Row],[kontrolna]]=0,PESELxxx[[#This Row],[suma kontrolna, mod]]=0),"Tak",IF(PESELxxx[[#This Row],[suma kontrolna, mod]]+PESELxxx[[#This Row],[kontrolna]] =10,"Tak","Nie"))</f>
        <v>Tak</v>
      </c>
    </row>
    <row r="35" spans="1:14" hidden="1" x14ac:dyDescent="0.25">
      <c r="A35">
        <v>8</v>
      </c>
      <c r="B35">
        <v>8</v>
      </c>
      <c r="C35">
        <v>0</v>
      </c>
      <c r="D35">
        <v>8</v>
      </c>
      <c r="E35">
        <v>0</v>
      </c>
      <c r="F35">
        <v>2</v>
      </c>
      <c r="G35">
        <v>0</v>
      </c>
      <c r="H35">
        <v>4</v>
      </c>
      <c r="I35">
        <v>5</v>
      </c>
      <c r="J35">
        <v>0</v>
      </c>
      <c r="K35">
        <v>9</v>
      </c>
      <c r="L35" t="s">
        <v>34</v>
      </c>
      <c r="M3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35" t="str">
        <f>IF(AND(PESELxxx[[#This Row],[kontrolna]]=0,PESELxxx[[#This Row],[suma kontrolna, mod]]=0),"Tak",IF(PESELxxx[[#This Row],[suma kontrolna, mod]]+PESELxxx[[#This Row],[kontrolna]] =10,"Tak","Nie"))</f>
        <v>Tak</v>
      </c>
    </row>
    <row r="36" spans="1:14" hidden="1" x14ac:dyDescent="0.25">
      <c r="A36">
        <v>7</v>
      </c>
      <c r="B36">
        <v>0</v>
      </c>
      <c r="C36">
        <v>0</v>
      </c>
      <c r="D36">
        <v>3</v>
      </c>
      <c r="E36">
        <v>2</v>
      </c>
      <c r="F36">
        <v>0</v>
      </c>
      <c r="G36">
        <v>5</v>
      </c>
      <c r="H36">
        <v>7</v>
      </c>
      <c r="I36">
        <v>4</v>
      </c>
      <c r="J36">
        <v>3</v>
      </c>
      <c r="K36">
        <v>3</v>
      </c>
      <c r="L36" t="s">
        <v>35</v>
      </c>
      <c r="M3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36" t="str">
        <f>IF(AND(PESELxxx[[#This Row],[kontrolna]]=0,PESELxxx[[#This Row],[suma kontrolna, mod]]=0),"Tak",IF(PESELxxx[[#This Row],[suma kontrolna, mod]]+PESELxxx[[#This Row],[kontrolna]] =10,"Tak","Nie"))</f>
        <v>Tak</v>
      </c>
    </row>
    <row r="37" spans="1:14" x14ac:dyDescent="0.25">
      <c r="A37">
        <v>8</v>
      </c>
      <c r="B37">
        <v>9</v>
      </c>
      <c r="C37">
        <v>0</v>
      </c>
      <c r="D37">
        <v>8</v>
      </c>
      <c r="E37">
        <v>1</v>
      </c>
      <c r="F37">
        <v>4</v>
      </c>
      <c r="G37">
        <v>2</v>
      </c>
      <c r="H37">
        <v>1</v>
      </c>
      <c r="I37">
        <v>4</v>
      </c>
      <c r="J37">
        <v>4</v>
      </c>
      <c r="K37">
        <v>5</v>
      </c>
      <c r="L37" t="s">
        <v>36</v>
      </c>
      <c r="M3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37" t="str">
        <f>IF(AND(PESELxxx[[#This Row],[kontrolna]]=0,PESELxxx[[#This Row],[suma kontrolna, mod]]=0),"Tak",IF(PESELxxx[[#This Row],[suma kontrolna, mod]]+PESELxxx[[#This Row],[kontrolna]] =10,"Tak","Nie"))</f>
        <v>Nie</v>
      </c>
    </row>
    <row r="38" spans="1:14" hidden="1" x14ac:dyDescent="0.25">
      <c r="A38">
        <v>6</v>
      </c>
      <c r="B38">
        <v>6</v>
      </c>
      <c r="C38">
        <v>1</v>
      </c>
      <c r="D38">
        <v>1</v>
      </c>
      <c r="E38">
        <v>3</v>
      </c>
      <c r="F38">
        <v>1</v>
      </c>
      <c r="G38">
        <v>8</v>
      </c>
      <c r="H38">
        <v>3</v>
      </c>
      <c r="I38">
        <v>9</v>
      </c>
      <c r="J38">
        <v>9</v>
      </c>
      <c r="K38">
        <v>5</v>
      </c>
      <c r="L38" t="s">
        <v>37</v>
      </c>
      <c r="M3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38" t="str">
        <f>IF(AND(PESELxxx[[#This Row],[kontrolna]]=0,PESELxxx[[#This Row],[suma kontrolna, mod]]=0),"Tak",IF(PESELxxx[[#This Row],[suma kontrolna, mod]]+PESELxxx[[#This Row],[kontrolna]] =10,"Tak","Nie"))</f>
        <v>Tak</v>
      </c>
    </row>
    <row r="39" spans="1:14" hidden="1" x14ac:dyDescent="0.25">
      <c r="A39">
        <v>5</v>
      </c>
      <c r="B39">
        <v>6</v>
      </c>
      <c r="C39">
        <v>1</v>
      </c>
      <c r="D39">
        <v>1</v>
      </c>
      <c r="E39">
        <v>1</v>
      </c>
      <c r="F39">
        <v>1</v>
      </c>
      <c r="G39">
        <v>6</v>
      </c>
      <c r="H39">
        <v>1</v>
      </c>
      <c r="I39">
        <v>5</v>
      </c>
      <c r="J39">
        <v>4</v>
      </c>
      <c r="K39">
        <v>9</v>
      </c>
      <c r="L39" t="s">
        <v>38</v>
      </c>
      <c r="M3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39" t="str">
        <f>IF(AND(PESELxxx[[#This Row],[kontrolna]]=0,PESELxxx[[#This Row],[suma kontrolna, mod]]=0),"Tak",IF(PESELxxx[[#This Row],[suma kontrolna, mod]]+PESELxxx[[#This Row],[kontrolna]] =10,"Tak","Nie"))</f>
        <v>Tak</v>
      </c>
    </row>
    <row r="40" spans="1:14" hidden="1" x14ac:dyDescent="0.25">
      <c r="A40">
        <v>7</v>
      </c>
      <c r="B40">
        <v>8</v>
      </c>
      <c r="C40">
        <v>1</v>
      </c>
      <c r="D40">
        <v>0</v>
      </c>
      <c r="E40">
        <v>3</v>
      </c>
      <c r="F40">
        <v>1</v>
      </c>
      <c r="G40">
        <v>8</v>
      </c>
      <c r="H40">
        <v>8</v>
      </c>
      <c r="I40">
        <v>6</v>
      </c>
      <c r="J40">
        <v>9</v>
      </c>
      <c r="K40">
        <v>5</v>
      </c>
      <c r="L40" t="s">
        <v>39</v>
      </c>
      <c r="M4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40" t="str">
        <f>IF(AND(PESELxxx[[#This Row],[kontrolna]]=0,PESELxxx[[#This Row],[suma kontrolna, mod]]=0),"Tak",IF(PESELxxx[[#This Row],[suma kontrolna, mod]]+PESELxxx[[#This Row],[kontrolna]] =10,"Tak","Nie"))</f>
        <v>Tak</v>
      </c>
    </row>
    <row r="41" spans="1:14" hidden="1" x14ac:dyDescent="0.25">
      <c r="A41">
        <v>8</v>
      </c>
      <c r="B41">
        <v>8</v>
      </c>
      <c r="C41">
        <v>0</v>
      </c>
      <c r="D41">
        <v>8</v>
      </c>
      <c r="E41">
        <v>0</v>
      </c>
      <c r="F41">
        <v>6</v>
      </c>
      <c r="G41">
        <v>0</v>
      </c>
      <c r="H41">
        <v>1</v>
      </c>
      <c r="I41">
        <v>9</v>
      </c>
      <c r="J41">
        <v>4</v>
      </c>
      <c r="K41">
        <v>8</v>
      </c>
      <c r="L41" t="s">
        <v>40</v>
      </c>
      <c r="M4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41" t="str">
        <f>IF(AND(PESELxxx[[#This Row],[kontrolna]]=0,PESELxxx[[#This Row],[suma kontrolna, mod]]=0),"Tak",IF(PESELxxx[[#This Row],[suma kontrolna, mod]]+PESELxxx[[#This Row],[kontrolna]] =10,"Tak","Nie"))</f>
        <v>Tak</v>
      </c>
    </row>
    <row r="42" spans="1:14" hidden="1" x14ac:dyDescent="0.25">
      <c r="A42">
        <v>7</v>
      </c>
      <c r="B42">
        <v>1</v>
      </c>
      <c r="C42">
        <v>0</v>
      </c>
      <c r="D42">
        <v>9</v>
      </c>
      <c r="E42">
        <v>3</v>
      </c>
      <c r="F42">
        <v>0</v>
      </c>
      <c r="G42">
        <v>5</v>
      </c>
      <c r="H42">
        <v>8</v>
      </c>
      <c r="I42">
        <v>8</v>
      </c>
      <c r="J42">
        <v>5</v>
      </c>
      <c r="K42">
        <v>6</v>
      </c>
      <c r="L42" t="s">
        <v>41</v>
      </c>
      <c r="M4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4</v>
      </c>
      <c r="N42" t="str">
        <f>IF(AND(PESELxxx[[#This Row],[kontrolna]]=0,PESELxxx[[#This Row],[suma kontrolna, mod]]=0),"Tak",IF(PESELxxx[[#This Row],[suma kontrolna, mod]]+PESELxxx[[#This Row],[kontrolna]] =10,"Tak","Nie"))</f>
        <v>Tak</v>
      </c>
    </row>
    <row r="43" spans="1:14" hidden="1" x14ac:dyDescent="0.25">
      <c r="A43">
        <v>6</v>
      </c>
      <c r="B43">
        <v>4</v>
      </c>
      <c r="C43">
        <v>0</v>
      </c>
      <c r="D43">
        <v>2</v>
      </c>
      <c r="E43">
        <v>2</v>
      </c>
      <c r="F43">
        <v>3</v>
      </c>
      <c r="G43">
        <v>0</v>
      </c>
      <c r="H43">
        <v>1</v>
      </c>
      <c r="I43">
        <v>4</v>
      </c>
      <c r="J43">
        <v>5</v>
      </c>
      <c r="K43">
        <v>5</v>
      </c>
      <c r="L43" t="s">
        <v>42</v>
      </c>
      <c r="M4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43" t="str">
        <f>IF(AND(PESELxxx[[#This Row],[kontrolna]]=0,PESELxxx[[#This Row],[suma kontrolna, mod]]=0),"Tak",IF(PESELxxx[[#This Row],[suma kontrolna, mod]]+PESELxxx[[#This Row],[kontrolna]] =10,"Tak","Nie"))</f>
        <v>Tak</v>
      </c>
    </row>
    <row r="44" spans="1:14" hidden="1" x14ac:dyDescent="0.25">
      <c r="A44">
        <v>6</v>
      </c>
      <c r="B44">
        <v>5</v>
      </c>
      <c r="C44">
        <v>1</v>
      </c>
      <c r="D44">
        <v>0</v>
      </c>
      <c r="E44">
        <v>2</v>
      </c>
      <c r="F44">
        <v>0</v>
      </c>
      <c r="G44">
        <v>8</v>
      </c>
      <c r="H44">
        <v>6</v>
      </c>
      <c r="I44">
        <v>1</v>
      </c>
      <c r="J44">
        <v>1</v>
      </c>
      <c r="K44">
        <v>6</v>
      </c>
      <c r="L44" t="s">
        <v>43</v>
      </c>
      <c r="M4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4</v>
      </c>
      <c r="N44" t="str">
        <f>IF(AND(PESELxxx[[#This Row],[kontrolna]]=0,PESELxxx[[#This Row],[suma kontrolna, mod]]=0),"Tak",IF(PESELxxx[[#This Row],[suma kontrolna, mod]]+PESELxxx[[#This Row],[kontrolna]] =10,"Tak","Nie"))</f>
        <v>Tak</v>
      </c>
    </row>
    <row r="45" spans="1:14" hidden="1" x14ac:dyDescent="0.25">
      <c r="A45">
        <v>6</v>
      </c>
      <c r="B45">
        <v>8</v>
      </c>
      <c r="C45">
        <v>1</v>
      </c>
      <c r="D45">
        <v>1</v>
      </c>
      <c r="E45">
        <v>2</v>
      </c>
      <c r="F45">
        <v>1</v>
      </c>
      <c r="G45">
        <v>1</v>
      </c>
      <c r="H45">
        <v>7</v>
      </c>
      <c r="I45">
        <v>5</v>
      </c>
      <c r="J45">
        <v>9</v>
      </c>
      <c r="K45">
        <v>7</v>
      </c>
      <c r="L45" t="s">
        <v>44</v>
      </c>
      <c r="M4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45" t="str">
        <f>IF(AND(PESELxxx[[#This Row],[kontrolna]]=0,PESELxxx[[#This Row],[suma kontrolna, mod]]=0),"Tak",IF(PESELxxx[[#This Row],[suma kontrolna, mod]]+PESELxxx[[#This Row],[kontrolna]] =10,"Tak","Nie"))</f>
        <v>Tak</v>
      </c>
    </row>
    <row r="46" spans="1:14" hidden="1" x14ac:dyDescent="0.25">
      <c r="A46">
        <v>7</v>
      </c>
      <c r="B46">
        <v>0</v>
      </c>
      <c r="C46">
        <v>1</v>
      </c>
      <c r="D46">
        <v>0</v>
      </c>
      <c r="E46">
        <v>1</v>
      </c>
      <c r="F46">
        <v>1</v>
      </c>
      <c r="G46">
        <v>9</v>
      </c>
      <c r="H46">
        <v>5</v>
      </c>
      <c r="I46">
        <v>4</v>
      </c>
      <c r="J46">
        <v>8</v>
      </c>
      <c r="K46">
        <v>6</v>
      </c>
      <c r="L46" t="s">
        <v>45</v>
      </c>
      <c r="M4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4</v>
      </c>
      <c r="N46" t="str">
        <f>IF(AND(PESELxxx[[#This Row],[kontrolna]]=0,PESELxxx[[#This Row],[suma kontrolna, mod]]=0),"Tak",IF(PESELxxx[[#This Row],[suma kontrolna, mod]]+PESELxxx[[#This Row],[kontrolna]] =10,"Tak","Nie"))</f>
        <v>Tak</v>
      </c>
    </row>
    <row r="47" spans="1:14" hidden="1" x14ac:dyDescent="0.25">
      <c r="A47">
        <v>7</v>
      </c>
      <c r="B47">
        <v>7</v>
      </c>
      <c r="C47">
        <v>1</v>
      </c>
      <c r="D47">
        <v>1</v>
      </c>
      <c r="E47">
        <v>1</v>
      </c>
      <c r="F47">
        <v>0</v>
      </c>
      <c r="G47">
        <v>8</v>
      </c>
      <c r="H47">
        <v>4</v>
      </c>
      <c r="I47">
        <v>8</v>
      </c>
      <c r="J47">
        <v>5</v>
      </c>
      <c r="K47">
        <v>0</v>
      </c>
      <c r="L47" t="s">
        <v>46</v>
      </c>
      <c r="M4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47" t="str">
        <f>IF(AND(PESELxxx[[#This Row],[kontrolna]]=0,PESELxxx[[#This Row],[suma kontrolna, mod]]=0),"Tak",IF(PESELxxx[[#This Row],[suma kontrolna, mod]]+PESELxxx[[#This Row],[kontrolna]] =10,"Tak","Nie"))</f>
        <v>Tak</v>
      </c>
    </row>
    <row r="48" spans="1:14" hidden="1" x14ac:dyDescent="0.25">
      <c r="A48">
        <v>7</v>
      </c>
      <c r="B48">
        <v>8</v>
      </c>
      <c r="C48">
        <v>1</v>
      </c>
      <c r="D48">
        <v>2</v>
      </c>
      <c r="E48">
        <v>3</v>
      </c>
      <c r="F48">
        <v>1</v>
      </c>
      <c r="G48">
        <v>8</v>
      </c>
      <c r="H48">
        <v>9</v>
      </c>
      <c r="I48">
        <v>0</v>
      </c>
      <c r="J48">
        <v>1</v>
      </c>
      <c r="K48">
        <v>8</v>
      </c>
      <c r="L48" t="s">
        <v>47</v>
      </c>
      <c r="M4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48" t="str">
        <f>IF(AND(PESELxxx[[#This Row],[kontrolna]]=0,PESELxxx[[#This Row],[suma kontrolna, mod]]=0),"Tak",IF(PESELxxx[[#This Row],[suma kontrolna, mod]]+PESELxxx[[#This Row],[kontrolna]] =10,"Tak","Nie"))</f>
        <v>Tak</v>
      </c>
    </row>
    <row r="49" spans="1:14" hidden="1" x14ac:dyDescent="0.25">
      <c r="A49">
        <v>7</v>
      </c>
      <c r="B49">
        <v>9</v>
      </c>
      <c r="C49">
        <v>1</v>
      </c>
      <c r="D49">
        <v>1</v>
      </c>
      <c r="E49">
        <v>0</v>
      </c>
      <c r="F49">
        <v>6</v>
      </c>
      <c r="G49">
        <v>7</v>
      </c>
      <c r="H49">
        <v>3</v>
      </c>
      <c r="I49">
        <v>7</v>
      </c>
      <c r="J49">
        <v>0</v>
      </c>
      <c r="K49">
        <v>9</v>
      </c>
      <c r="L49" t="s">
        <v>48</v>
      </c>
      <c r="M4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49" t="str">
        <f>IF(AND(PESELxxx[[#This Row],[kontrolna]]=0,PESELxxx[[#This Row],[suma kontrolna, mod]]=0),"Tak",IF(PESELxxx[[#This Row],[suma kontrolna, mod]]+PESELxxx[[#This Row],[kontrolna]] =10,"Tak","Nie"))</f>
        <v>Tak</v>
      </c>
    </row>
    <row r="50" spans="1:14" hidden="1" x14ac:dyDescent="0.25">
      <c r="A50">
        <v>7</v>
      </c>
      <c r="B50">
        <v>4</v>
      </c>
      <c r="C50">
        <v>1</v>
      </c>
      <c r="D50">
        <v>2</v>
      </c>
      <c r="E50">
        <v>0</v>
      </c>
      <c r="F50">
        <v>2</v>
      </c>
      <c r="G50">
        <v>8</v>
      </c>
      <c r="H50">
        <v>4</v>
      </c>
      <c r="I50">
        <v>5</v>
      </c>
      <c r="J50">
        <v>4</v>
      </c>
      <c r="K50">
        <v>1</v>
      </c>
      <c r="L50" t="s">
        <v>49</v>
      </c>
      <c r="M5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50" t="str">
        <f>IF(AND(PESELxxx[[#This Row],[kontrolna]]=0,PESELxxx[[#This Row],[suma kontrolna, mod]]=0),"Tak",IF(PESELxxx[[#This Row],[suma kontrolna, mod]]+PESELxxx[[#This Row],[kontrolna]] =10,"Tak","Nie"))</f>
        <v>Tak</v>
      </c>
    </row>
    <row r="51" spans="1:14" hidden="1" x14ac:dyDescent="0.25">
      <c r="A51">
        <v>8</v>
      </c>
      <c r="B51">
        <v>9</v>
      </c>
      <c r="C51">
        <v>0</v>
      </c>
      <c r="D51">
        <v>8</v>
      </c>
      <c r="E51">
        <v>2</v>
      </c>
      <c r="F51">
        <v>1</v>
      </c>
      <c r="G51">
        <v>7</v>
      </c>
      <c r="H51">
        <v>9</v>
      </c>
      <c r="I51">
        <v>8</v>
      </c>
      <c r="J51">
        <v>7</v>
      </c>
      <c r="K51">
        <v>9</v>
      </c>
      <c r="L51" t="s">
        <v>50</v>
      </c>
      <c r="M5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51" t="str">
        <f>IF(AND(PESELxxx[[#This Row],[kontrolna]]=0,PESELxxx[[#This Row],[suma kontrolna, mod]]=0),"Tak",IF(PESELxxx[[#This Row],[suma kontrolna, mod]]+PESELxxx[[#This Row],[kontrolna]] =10,"Tak","Nie"))</f>
        <v>Tak</v>
      </c>
    </row>
    <row r="52" spans="1:14" hidden="1" x14ac:dyDescent="0.25">
      <c r="A52">
        <v>8</v>
      </c>
      <c r="B52">
        <v>6</v>
      </c>
      <c r="C52">
        <v>0</v>
      </c>
      <c r="D52">
        <v>7</v>
      </c>
      <c r="E52">
        <v>0</v>
      </c>
      <c r="F52">
        <v>6</v>
      </c>
      <c r="G52">
        <v>3</v>
      </c>
      <c r="H52">
        <v>0</v>
      </c>
      <c r="I52">
        <v>5</v>
      </c>
      <c r="J52">
        <v>8</v>
      </c>
      <c r="K52">
        <v>3</v>
      </c>
      <c r="L52" t="s">
        <v>51</v>
      </c>
      <c r="M5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52" t="str">
        <f>IF(AND(PESELxxx[[#This Row],[kontrolna]]=0,PESELxxx[[#This Row],[suma kontrolna, mod]]=0),"Tak",IF(PESELxxx[[#This Row],[suma kontrolna, mod]]+PESELxxx[[#This Row],[kontrolna]] =10,"Tak","Nie"))</f>
        <v>Tak</v>
      </c>
    </row>
    <row r="53" spans="1:14" hidden="1" x14ac:dyDescent="0.25">
      <c r="A53">
        <v>6</v>
      </c>
      <c r="B53">
        <v>3</v>
      </c>
      <c r="C53">
        <v>1</v>
      </c>
      <c r="D53">
        <v>2</v>
      </c>
      <c r="E53">
        <v>2</v>
      </c>
      <c r="F53">
        <v>7</v>
      </c>
      <c r="G53">
        <v>5</v>
      </c>
      <c r="H53">
        <v>5</v>
      </c>
      <c r="I53">
        <v>1</v>
      </c>
      <c r="J53">
        <v>8</v>
      </c>
      <c r="K53">
        <v>2</v>
      </c>
      <c r="L53" t="s">
        <v>52</v>
      </c>
      <c r="M5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53" t="str">
        <f>IF(AND(PESELxxx[[#This Row],[kontrolna]]=0,PESELxxx[[#This Row],[suma kontrolna, mod]]=0),"Tak",IF(PESELxxx[[#This Row],[suma kontrolna, mod]]+PESELxxx[[#This Row],[kontrolna]] =10,"Tak","Nie"))</f>
        <v>Tak</v>
      </c>
    </row>
    <row r="54" spans="1:14" hidden="1" x14ac:dyDescent="0.25">
      <c r="A54">
        <v>9</v>
      </c>
      <c r="B54">
        <v>0</v>
      </c>
      <c r="C54">
        <v>1</v>
      </c>
      <c r="D54">
        <v>1</v>
      </c>
      <c r="E54">
        <v>2</v>
      </c>
      <c r="F54">
        <v>0</v>
      </c>
      <c r="G54">
        <v>0</v>
      </c>
      <c r="H54">
        <v>4</v>
      </c>
      <c r="I54">
        <v>3</v>
      </c>
      <c r="J54">
        <v>7</v>
      </c>
      <c r="K54">
        <v>3</v>
      </c>
      <c r="L54" t="s">
        <v>53</v>
      </c>
      <c r="M5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54" t="str">
        <f>IF(AND(PESELxxx[[#This Row],[kontrolna]]=0,PESELxxx[[#This Row],[suma kontrolna, mod]]=0),"Tak",IF(PESELxxx[[#This Row],[suma kontrolna, mod]]+PESELxxx[[#This Row],[kontrolna]] =10,"Tak","Nie"))</f>
        <v>Tak</v>
      </c>
    </row>
    <row r="55" spans="1:14" x14ac:dyDescent="0.25">
      <c r="A55">
        <v>5</v>
      </c>
      <c r="B55">
        <v>4</v>
      </c>
      <c r="C55">
        <v>0</v>
      </c>
      <c r="D55">
        <v>4</v>
      </c>
      <c r="E55">
        <v>3</v>
      </c>
      <c r="F55">
        <v>0</v>
      </c>
      <c r="G55">
        <v>1</v>
      </c>
      <c r="H55">
        <v>0</v>
      </c>
      <c r="I55">
        <v>0</v>
      </c>
      <c r="J55">
        <v>8</v>
      </c>
      <c r="K55">
        <v>8</v>
      </c>
      <c r="L55" t="s">
        <v>54</v>
      </c>
      <c r="M5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55" t="str">
        <f>IF(AND(PESELxxx[[#This Row],[kontrolna]]=0,PESELxxx[[#This Row],[suma kontrolna, mod]]=0),"Tak",IF(PESELxxx[[#This Row],[suma kontrolna, mod]]+PESELxxx[[#This Row],[kontrolna]] =10,"Tak","Nie"))</f>
        <v>Nie</v>
      </c>
    </row>
    <row r="56" spans="1:14" hidden="1" x14ac:dyDescent="0.25">
      <c r="A56">
        <v>6</v>
      </c>
      <c r="B56">
        <v>9</v>
      </c>
      <c r="C56">
        <v>1</v>
      </c>
      <c r="D56">
        <v>2</v>
      </c>
      <c r="E56">
        <v>2</v>
      </c>
      <c r="F56">
        <v>1</v>
      </c>
      <c r="G56">
        <v>7</v>
      </c>
      <c r="H56">
        <v>4</v>
      </c>
      <c r="I56">
        <v>1</v>
      </c>
      <c r="J56">
        <v>1</v>
      </c>
      <c r="K56">
        <v>8</v>
      </c>
      <c r="L56" t="s">
        <v>55</v>
      </c>
      <c r="M5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56" t="str">
        <f>IF(AND(PESELxxx[[#This Row],[kontrolna]]=0,PESELxxx[[#This Row],[suma kontrolna, mod]]=0),"Tak",IF(PESELxxx[[#This Row],[suma kontrolna, mod]]+PESELxxx[[#This Row],[kontrolna]] =10,"Tak","Nie"))</f>
        <v>Tak</v>
      </c>
    </row>
    <row r="57" spans="1:14" hidden="1" x14ac:dyDescent="0.25">
      <c r="A57">
        <v>8</v>
      </c>
      <c r="B57">
        <v>4</v>
      </c>
      <c r="C57">
        <v>0</v>
      </c>
      <c r="D57">
        <v>5</v>
      </c>
      <c r="E57">
        <v>1</v>
      </c>
      <c r="F57">
        <v>2</v>
      </c>
      <c r="G57">
        <v>9</v>
      </c>
      <c r="H57">
        <v>4</v>
      </c>
      <c r="I57">
        <v>8</v>
      </c>
      <c r="J57">
        <v>9</v>
      </c>
      <c r="K57">
        <v>4</v>
      </c>
      <c r="L57" t="s">
        <v>56</v>
      </c>
      <c r="M5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57" t="str">
        <f>IF(AND(PESELxxx[[#This Row],[kontrolna]]=0,PESELxxx[[#This Row],[suma kontrolna, mod]]=0),"Tak",IF(PESELxxx[[#This Row],[suma kontrolna, mod]]+PESELxxx[[#This Row],[kontrolna]] =10,"Tak","Nie"))</f>
        <v>Tak</v>
      </c>
    </row>
    <row r="58" spans="1:14" hidden="1" x14ac:dyDescent="0.25">
      <c r="A58">
        <v>6</v>
      </c>
      <c r="B58">
        <v>6</v>
      </c>
      <c r="C58">
        <v>1</v>
      </c>
      <c r="D58">
        <v>1</v>
      </c>
      <c r="E58">
        <v>1</v>
      </c>
      <c r="F58">
        <v>1</v>
      </c>
      <c r="G58">
        <v>7</v>
      </c>
      <c r="H58">
        <v>6</v>
      </c>
      <c r="I58">
        <v>1</v>
      </c>
      <c r="J58">
        <v>6</v>
      </c>
      <c r="K58">
        <v>4</v>
      </c>
      <c r="L58" t="s">
        <v>57</v>
      </c>
      <c r="M5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58" t="str">
        <f>IF(AND(PESELxxx[[#This Row],[kontrolna]]=0,PESELxxx[[#This Row],[suma kontrolna, mod]]=0),"Tak",IF(PESELxxx[[#This Row],[suma kontrolna, mod]]+PESELxxx[[#This Row],[kontrolna]] =10,"Tak","Nie"))</f>
        <v>Tak</v>
      </c>
    </row>
    <row r="59" spans="1:14" hidden="1" x14ac:dyDescent="0.25">
      <c r="A59">
        <v>7</v>
      </c>
      <c r="B59">
        <v>1</v>
      </c>
      <c r="C59">
        <v>1</v>
      </c>
      <c r="D59">
        <v>1</v>
      </c>
      <c r="E59">
        <v>2</v>
      </c>
      <c r="F59">
        <v>6</v>
      </c>
      <c r="G59">
        <v>7</v>
      </c>
      <c r="H59">
        <v>7</v>
      </c>
      <c r="I59">
        <v>5</v>
      </c>
      <c r="J59">
        <v>1</v>
      </c>
      <c r="K59">
        <v>4</v>
      </c>
      <c r="L59" t="s">
        <v>58</v>
      </c>
      <c r="M5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59" t="str">
        <f>IF(AND(PESELxxx[[#This Row],[kontrolna]]=0,PESELxxx[[#This Row],[suma kontrolna, mod]]=0),"Tak",IF(PESELxxx[[#This Row],[suma kontrolna, mod]]+PESELxxx[[#This Row],[kontrolna]] =10,"Tak","Nie"))</f>
        <v>Tak</v>
      </c>
    </row>
    <row r="60" spans="1:14" hidden="1" x14ac:dyDescent="0.25">
      <c r="A60">
        <v>8</v>
      </c>
      <c r="B60">
        <v>9</v>
      </c>
      <c r="C60">
        <v>0</v>
      </c>
      <c r="D60">
        <v>4</v>
      </c>
      <c r="E60">
        <v>0</v>
      </c>
      <c r="F60">
        <v>6</v>
      </c>
      <c r="G60">
        <v>3</v>
      </c>
      <c r="H60">
        <v>3</v>
      </c>
      <c r="I60">
        <v>3</v>
      </c>
      <c r="J60">
        <v>4</v>
      </c>
      <c r="K60">
        <v>8</v>
      </c>
      <c r="L60" t="s">
        <v>59</v>
      </c>
      <c r="M6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60" t="str">
        <f>IF(AND(PESELxxx[[#This Row],[kontrolna]]=0,PESELxxx[[#This Row],[suma kontrolna, mod]]=0),"Tak",IF(PESELxxx[[#This Row],[suma kontrolna, mod]]+PESELxxx[[#This Row],[kontrolna]] =10,"Tak","Nie"))</f>
        <v>Tak</v>
      </c>
    </row>
    <row r="61" spans="1:14" hidden="1" x14ac:dyDescent="0.25">
      <c r="A61">
        <v>9</v>
      </c>
      <c r="B61">
        <v>0</v>
      </c>
      <c r="C61">
        <v>0</v>
      </c>
      <c r="D61">
        <v>5</v>
      </c>
      <c r="E61">
        <v>3</v>
      </c>
      <c r="F61">
        <v>1</v>
      </c>
      <c r="G61">
        <v>2</v>
      </c>
      <c r="H61">
        <v>0</v>
      </c>
      <c r="I61">
        <v>1</v>
      </c>
      <c r="J61">
        <v>3</v>
      </c>
      <c r="K61">
        <v>6</v>
      </c>
      <c r="L61" t="s">
        <v>60</v>
      </c>
      <c r="M6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4</v>
      </c>
      <c r="N61" t="str">
        <f>IF(AND(PESELxxx[[#This Row],[kontrolna]]=0,PESELxxx[[#This Row],[suma kontrolna, mod]]=0),"Tak",IF(PESELxxx[[#This Row],[suma kontrolna, mod]]+PESELxxx[[#This Row],[kontrolna]] =10,"Tak","Nie"))</f>
        <v>Tak</v>
      </c>
    </row>
    <row r="62" spans="1:14" hidden="1" x14ac:dyDescent="0.25">
      <c r="A62">
        <v>7</v>
      </c>
      <c r="B62">
        <v>5</v>
      </c>
      <c r="C62">
        <v>1</v>
      </c>
      <c r="D62">
        <v>2</v>
      </c>
      <c r="E62">
        <v>3</v>
      </c>
      <c r="F62">
        <v>1</v>
      </c>
      <c r="G62">
        <v>9</v>
      </c>
      <c r="H62">
        <v>9</v>
      </c>
      <c r="I62">
        <v>3</v>
      </c>
      <c r="J62">
        <v>1</v>
      </c>
      <c r="K62">
        <v>7</v>
      </c>
      <c r="L62" t="s">
        <v>61</v>
      </c>
      <c r="M6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62" t="str">
        <f>IF(AND(PESELxxx[[#This Row],[kontrolna]]=0,PESELxxx[[#This Row],[suma kontrolna, mod]]=0),"Tak",IF(PESELxxx[[#This Row],[suma kontrolna, mod]]+PESELxxx[[#This Row],[kontrolna]] =10,"Tak","Nie"))</f>
        <v>Tak</v>
      </c>
    </row>
    <row r="63" spans="1:14" hidden="1" x14ac:dyDescent="0.25">
      <c r="A63">
        <v>7</v>
      </c>
      <c r="B63">
        <v>3</v>
      </c>
      <c r="C63">
        <v>1</v>
      </c>
      <c r="D63">
        <v>1</v>
      </c>
      <c r="E63">
        <v>2</v>
      </c>
      <c r="F63">
        <v>3</v>
      </c>
      <c r="G63">
        <v>2</v>
      </c>
      <c r="H63">
        <v>8</v>
      </c>
      <c r="I63">
        <v>5</v>
      </c>
      <c r="J63">
        <v>5</v>
      </c>
      <c r="K63">
        <v>1</v>
      </c>
      <c r="L63" t="s">
        <v>62</v>
      </c>
      <c r="M6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63" t="str">
        <f>IF(AND(PESELxxx[[#This Row],[kontrolna]]=0,PESELxxx[[#This Row],[suma kontrolna, mod]]=0),"Tak",IF(PESELxxx[[#This Row],[suma kontrolna, mod]]+PESELxxx[[#This Row],[kontrolna]] =10,"Tak","Nie"))</f>
        <v>Tak</v>
      </c>
    </row>
    <row r="64" spans="1:14" hidden="1" x14ac:dyDescent="0.25">
      <c r="A64">
        <v>8</v>
      </c>
      <c r="B64">
        <v>5</v>
      </c>
      <c r="C64">
        <v>0</v>
      </c>
      <c r="D64">
        <v>3</v>
      </c>
      <c r="E64">
        <v>1</v>
      </c>
      <c r="F64">
        <v>0</v>
      </c>
      <c r="G64">
        <v>7</v>
      </c>
      <c r="H64">
        <v>9</v>
      </c>
      <c r="I64">
        <v>4</v>
      </c>
      <c r="J64">
        <v>4</v>
      </c>
      <c r="K64">
        <v>3</v>
      </c>
      <c r="L64" t="s">
        <v>63</v>
      </c>
      <c r="M6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64" t="str">
        <f>IF(AND(PESELxxx[[#This Row],[kontrolna]]=0,PESELxxx[[#This Row],[suma kontrolna, mod]]=0),"Tak",IF(PESELxxx[[#This Row],[suma kontrolna, mod]]+PESELxxx[[#This Row],[kontrolna]] =10,"Tak","Nie"))</f>
        <v>Tak</v>
      </c>
    </row>
    <row r="65" spans="1:14" hidden="1" x14ac:dyDescent="0.25">
      <c r="A65">
        <v>8</v>
      </c>
      <c r="B65">
        <v>5</v>
      </c>
      <c r="C65">
        <v>0</v>
      </c>
      <c r="D65">
        <v>5</v>
      </c>
      <c r="E65">
        <v>2</v>
      </c>
      <c r="F65">
        <v>5</v>
      </c>
      <c r="G65">
        <v>6</v>
      </c>
      <c r="H65">
        <v>8</v>
      </c>
      <c r="I65">
        <v>6</v>
      </c>
      <c r="J65">
        <v>4</v>
      </c>
      <c r="K65">
        <v>3</v>
      </c>
      <c r="L65" t="s">
        <v>64</v>
      </c>
      <c r="M6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65" t="str">
        <f>IF(AND(PESELxxx[[#This Row],[kontrolna]]=0,PESELxxx[[#This Row],[suma kontrolna, mod]]=0),"Tak",IF(PESELxxx[[#This Row],[suma kontrolna, mod]]+PESELxxx[[#This Row],[kontrolna]] =10,"Tak","Nie"))</f>
        <v>Tak</v>
      </c>
    </row>
    <row r="66" spans="1:14" hidden="1" x14ac:dyDescent="0.25">
      <c r="A66">
        <v>5</v>
      </c>
      <c r="B66">
        <v>5</v>
      </c>
      <c r="C66">
        <v>0</v>
      </c>
      <c r="D66">
        <v>2</v>
      </c>
      <c r="E66">
        <v>2</v>
      </c>
      <c r="F66">
        <v>1</v>
      </c>
      <c r="G66">
        <v>5</v>
      </c>
      <c r="H66">
        <v>3</v>
      </c>
      <c r="I66">
        <v>4</v>
      </c>
      <c r="J66">
        <v>3</v>
      </c>
      <c r="K66">
        <v>2</v>
      </c>
      <c r="L66" t="s">
        <v>65</v>
      </c>
      <c r="M6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66" t="str">
        <f>IF(AND(PESELxxx[[#This Row],[kontrolna]]=0,PESELxxx[[#This Row],[suma kontrolna, mod]]=0),"Tak",IF(PESELxxx[[#This Row],[suma kontrolna, mod]]+PESELxxx[[#This Row],[kontrolna]] =10,"Tak","Nie"))</f>
        <v>Tak</v>
      </c>
    </row>
    <row r="67" spans="1:14" hidden="1" x14ac:dyDescent="0.25">
      <c r="A67">
        <v>8</v>
      </c>
      <c r="B67">
        <v>3</v>
      </c>
      <c r="C67">
        <v>0</v>
      </c>
      <c r="D67">
        <v>4</v>
      </c>
      <c r="E67">
        <v>1</v>
      </c>
      <c r="F67">
        <v>9</v>
      </c>
      <c r="G67">
        <v>4</v>
      </c>
      <c r="H67">
        <v>7</v>
      </c>
      <c r="I67">
        <v>2</v>
      </c>
      <c r="J67">
        <v>8</v>
      </c>
      <c r="K67">
        <v>2</v>
      </c>
      <c r="L67" t="s">
        <v>66</v>
      </c>
      <c r="M6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67" t="str">
        <f>IF(AND(PESELxxx[[#This Row],[kontrolna]]=0,PESELxxx[[#This Row],[suma kontrolna, mod]]=0),"Tak",IF(PESELxxx[[#This Row],[suma kontrolna, mod]]+PESELxxx[[#This Row],[kontrolna]] =10,"Tak","Nie"))</f>
        <v>Tak</v>
      </c>
    </row>
    <row r="68" spans="1:14" hidden="1" x14ac:dyDescent="0.25">
      <c r="A68">
        <v>8</v>
      </c>
      <c r="B68">
        <v>6</v>
      </c>
      <c r="C68">
        <v>0</v>
      </c>
      <c r="D68">
        <v>8</v>
      </c>
      <c r="E68">
        <v>1</v>
      </c>
      <c r="F68">
        <v>4</v>
      </c>
      <c r="G68">
        <v>4</v>
      </c>
      <c r="H68">
        <v>3</v>
      </c>
      <c r="I68">
        <v>3</v>
      </c>
      <c r="J68">
        <v>2</v>
      </c>
      <c r="K68">
        <v>5</v>
      </c>
      <c r="L68" t="s">
        <v>67</v>
      </c>
      <c r="M6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68" t="str">
        <f>IF(AND(PESELxxx[[#This Row],[kontrolna]]=0,PESELxxx[[#This Row],[suma kontrolna, mod]]=0),"Tak",IF(PESELxxx[[#This Row],[suma kontrolna, mod]]+PESELxxx[[#This Row],[kontrolna]] =10,"Tak","Nie"))</f>
        <v>Tak</v>
      </c>
    </row>
    <row r="69" spans="1:14" hidden="1" x14ac:dyDescent="0.25">
      <c r="A69">
        <v>5</v>
      </c>
      <c r="B69">
        <v>9</v>
      </c>
      <c r="C69">
        <v>1</v>
      </c>
      <c r="D69">
        <v>1</v>
      </c>
      <c r="E69">
        <v>0</v>
      </c>
      <c r="F69">
        <v>5</v>
      </c>
      <c r="G69">
        <v>7</v>
      </c>
      <c r="H69">
        <v>0</v>
      </c>
      <c r="I69">
        <v>5</v>
      </c>
      <c r="J69">
        <v>6</v>
      </c>
      <c r="K69">
        <v>5</v>
      </c>
      <c r="L69" t="s">
        <v>68</v>
      </c>
      <c r="M6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69" t="str">
        <f>IF(AND(PESELxxx[[#This Row],[kontrolna]]=0,PESELxxx[[#This Row],[suma kontrolna, mod]]=0),"Tak",IF(PESELxxx[[#This Row],[suma kontrolna, mod]]+PESELxxx[[#This Row],[kontrolna]] =10,"Tak","Nie"))</f>
        <v>Tak</v>
      </c>
    </row>
    <row r="70" spans="1:14" hidden="1" x14ac:dyDescent="0.25">
      <c r="A70">
        <v>6</v>
      </c>
      <c r="B70">
        <v>6</v>
      </c>
      <c r="C70">
        <v>0</v>
      </c>
      <c r="D70">
        <v>6</v>
      </c>
      <c r="E70">
        <v>3</v>
      </c>
      <c r="F70">
        <v>0</v>
      </c>
      <c r="G70">
        <v>1</v>
      </c>
      <c r="H70">
        <v>4</v>
      </c>
      <c r="I70">
        <v>6</v>
      </c>
      <c r="J70">
        <v>3</v>
      </c>
      <c r="K70">
        <v>1</v>
      </c>
      <c r="L70" t="s">
        <v>69</v>
      </c>
      <c r="M7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70" t="str">
        <f>IF(AND(PESELxxx[[#This Row],[kontrolna]]=0,PESELxxx[[#This Row],[suma kontrolna, mod]]=0),"Tak",IF(PESELxxx[[#This Row],[suma kontrolna, mod]]+PESELxxx[[#This Row],[kontrolna]] =10,"Tak","Nie"))</f>
        <v>Tak</v>
      </c>
    </row>
    <row r="71" spans="1:14" hidden="1" x14ac:dyDescent="0.25">
      <c r="A71">
        <v>6</v>
      </c>
      <c r="B71">
        <v>7</v>
      </c>
      <c r="C71">
        <v>1</v>
      </c>
      <c r="D71">
        <v>2</v>
      </c>
      <c r="E71">
        <v>0</v>
      </c>
      <c r="F71">
        <v>7</v>
      </c>
      <c r="G71">
        <v>4</v>
      </c>
      <c r="H71">
        <v>9</v>
      </c>
      <c r="I71">
        <v>9</v>
      </c>
      <c r="J71">
        <v>2</v>
      </c>
      <c r="K71">
        <v>3</v>
      </c>
      <c r="L71" t="s">
        <v>70</v>
      </c>
      <c r="M7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71" t="str">
        <f>IF(AND(PESELxxx[[#This Row],[kontrolna]]=0,PESELxxx[[#This Row],[suma kontrolna, mod]]=0),"Tak",IF(PESELxxx[[#This Row],[suma kontrolna, mod]]+PESELxxx[[#This Row],[kontrolna]] =10,"Tak","Nie"))</f>
        <v>Tak</v>
      </c>
    </row>
    <row r="72" spans="1:14" hidden="1" x14ac:dyDescent="0.25">
      <c r="A72">
        <v>8</v>
      </c>
      <c r="B72">
        <v>9</v>
      </c>
      <c r="C72">
        <v>0</v>
      </c>
      <c r="D72">
        <v>8</v>
      </c>
      <c r="E72">
        <v>1</v>
      </c>
      <c r="F72">
        <v>5</v>
      </c>
      <c r="G72">
        <v>1</v>
      </c>
      <c r="H72">
        <v>9</v>
      </c>
      <c r="I72">
        <v>8</v>
      </c>
      <c r="J72">
        <v>0</v>
      </c>
      <c r="K72">
        <v>1</v>
      </c>
      <c r="L72" t="s">
        <v>71</v>
      </c>
      <c r="M7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72" t="str">
        <f>IF(AND(PESELxxx[[#This Row],[kontrolna]]=0,PESELxxx[[#This Row],[suma kontrolna, mod]]=0),"Tak",IF(PESELxxx[[#This Row],[suma kontrolna, mod]]+PESELxxx[[#This Row],[kontrolna]] =10,"Tak","Nie"))</f>
        <v>Tak</v>
      </c>
    </row>
    <row r="73" spans="1:14" hidden="1" x14ac:dyDescent="0.25">
      <c r="A73">
        <v>7</v>
      </c>
      <c r="B73">
        <v>0</v>
      </c>
      <c r="C73">
        <v>1</v>
      </c>
      <c r="D73">
        <v>2</v>
      </c>
      <c r="E73">
        <v>0</v>
      </c>
      <c r="F73">
        <v>7</v>
      </c>
      <c r="G73">
        <v>9</v>
      </c>
      <c r="H73">
        <v>4</v>
      </c>
      <c r="I73">
        <v>6</v>
      </c>
      <c r="J73">
        <v>3</v>
      </c>
      <c r="K73">
        <v>3</v>
      </c>
      <c r="L73" t="s">
        <v>72</v>
      </c>
      <c r="M7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73" t="str">
        <f>IF(AND(PESELxxx[[#This Row],[kontrolna]]=0,PESELxxx[[#This Row],[suma kontrolna, mod]]=0),"Tak",IF(PESELxxx[[#This Row],[suma kontrolna, mod]]+PESELxxx[[#This Row],[kontrolna]] =10,"Tak","Nie"))</f>
        <v>Tak</v>
      </c>
    </row>
    <row r="74" spans="1:14" hidden="1" x14ac:dyDescent="0.25">
      <c r="A74">
        <v>7</v>
      </c>
      <c r="B74">
        <v>6</v>
      </c>
      <c r="C74">
        <v>1</v>
      </c>
      <c r="D74">
        <v>2</v>
      </c>
      <c r="E74">
        <v>1</v>
      </c>
      <c r="F74">
        <v>1</v>
      </c>
      <c r="G74">
        <v>8</v>
      </c>
      <c r="H74">
        <v>6</v>
      </c>
      <c r="I74">
        <v>3</v>
      </c>
      <c r="J74">
        <v>0</v>
      </c>
      <c r="K74">
        <v>3</v>
      </c>
      <c r="L74" t="s">
        <v>73</v>
      </c>
      <c r="M7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74" t="str">
        <f>IF(AND(PESELxxx[[#This Row],[kontrolna]]=0,PESELxxx[[#This Row],[suma kontrolna, mod]]=0),"Tak",IF(PESELxxx[[#This Row],[suma kontrolna, mod]]+PESELxxx[[#This Row],[kontrolna]] =10,"Tak","Nie"))</f>
        <v>Tak</v>
      </c>
    </row>
    <row r="75" spans="1:14" hidden="1" x14ac:dyDescent="0.25">
      <c r="A75">
        <v>7</v>
      </c>
      <c r="B75">
        <v>2</v>
      </c>
      <c r="C75">
        <v>0</v>
      </c>
      <c r="D75">
        <v>3</v>
      </c>
      <c r="E75">
        <v>1</v>
      </c>
      <c r="F75">
        <v>0</v>
      </c>
      <c r="G75">
        <v>9</v>
      </c>
      <c r="H75">
        <v>6</v>
      </c>
      <c r="I75">
        <v>7</v>
      </c>
      <c r="J75">
        <v>0</v>
      </c>
      <c r="K75">
        <v>5</v>
      </c>
      <c r="L75" t="s">
        <v>74</v>
      </c>
      <c r="M7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75" t="str">
        <f>IF(AND(PESELxxx[[#This Row],[kontrolna]]=0,PESELxxx[[#This Row],[suma kontrolna, mod]]=0),"Tak",IF(PESELxxx[[#This Row],[suma kontrolna, mod]]+PESELxxx[[#This Row],[kontrolna]] =10,"Tak","Nie"))</f>
        <v>Tak</v>
      </c>
    </row>
    <row r="76" spans="1:14" hidden="1" x14ac:dyDescent="0.25">
      <c r="A76">
        <v>6</v>
      </c>
      <c r="B76">
        <v>1</v>
      </c>
      <c r="C76">
        <v>1</v>
      </c>
      <c r="D76">
        <v>0</v>
      </c>
      <c r="E76">
        <v>0</v>
      </c>
      <c r="F76">
        <v>1</v>
      </c>
      <c r="G76">
        <v>5</v>
      </c>
      <c r="H76">
        <v>7</v>
      </c>
      <c r="I76">
        <v>6</v>
      </c>
      <c r="J76">
        <v>5</v>
      </c>
      <c r="K76">
        <v>2</v>
      </c>
      <c r="L76" t="s">
        <v>75</v>
      </c>
      <c r="M7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76" t="str">
        <f>IF(AND(PESELxxx[[#This Row],[kontrolna]]=0,PESELxxx[[#This Row],[suma kontrolna, mod]]=0),"Tak",IF(PESELxxx[[#This Row],[suma kontrolna, mod]]+PESELxxx[[#This Row],[kontrolna]] =10,"Tak","Nie"))</f>
        <v>Tak</v>
      </c>
    </row>
    <row r="77" spans="1:14" hidden="1" x14ac:dyDescent="0.25">
      <c r="A77">
        <v>7</v>
      </c>
      <c r="B77">
        <v>9</v>
      </c>
      <c r="C77">
        <v>0</v>
      </c>
      <c r="D77">
        <v>1</v>
      </c>
      <c r="E77">
        <v>2</v>
      </c>
      <c r="F77">
        <v>5</v>
      </c>
      <c r="G77">
        <v>6</v>
      </c>
      <c r="H77">
        <v>4</v>
      </c>
      <c r="I77">
        <v>4</v>
      </c>
      <c r="J77">
        <v>8</v>
      </c>
      <c r="K77">
        <v>4</v>
      </c>
      <c r="L77" t="s">
        <v>76</v>
      </c>
      <c r="M7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77" t="str">
        <f>IF(AND(PESELxxx[[#This Row],[kontrolna]]=0,PESELxxx[[#This Row],[suma kontrolna, mod]]=0),"Tak",IF(PESELxxx[[#This Row],[suma kontrolna, mod]]+PESELxxx[[#This Row],[kontrolna]] =10,"Tak","Nie"))</f>
        <v>Tak</v>
      </c>
    </row>
    <row r="78" spans="1:14" hidden="1" x14ac:dyDescent="0.25">
      <c r="A78">
        <v>8</v>
      </c>
      <c r="B78">
        <v>8</v>
      </c>
      <c r="C78">
        <v>1</v>
      </c>
      <c r="D78">
        <v>1</v>
      </c>
      <c r="E78">
        <v>1</v>
      </c>
      <c r="F78">
        <v>0</v>
      </c>
      <c r="G78">
        <v>9</v>
      </c>
      <c r="H78">
        <v>4</v>
      </c>
      <c r="I78">
        <v>5</v>
      </c>
      <c r="J78">
        <v>4</v>
      </c>
      <c r="K78">
        <v>5</v>
      </c>
      <c r="L78" t="s">
        <v>77</v>
      </c>
      <c r="M7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78" t="str">
        <f>IF(AND(PESELxxx[[#This Row],[kontrolna]]=0,PESELxxx[[#This Row],[suma kontrolna, mod]]=0),"Tak",IF(PESELxxx[[#This Row],[suma kontrolna, mod]]+PESELxxx[[#This Row],[kontrolna]] =10,"Tak","Nie"))</f>
        <v>Tak</v>
      </c>
    </row>
    <row r="79" spans="1:14" hidden="1" x14ac:dyDescent="0.25">
      <c r="A79">
        <v>8</v>
      </c>
      <c r="B79">
        <v>9</v>
      </c>
      <c r="C79">
        <v>0</v>
      </c>
      <c r="D79">
        <v>4</v>
      </c>
      <c r="E79">
        <v>0</v>
      </c>
      <c r="F79">
        <v>8</v>
      </c>
      <c r="G79">
        <v>7</v>
      </c>
      <c r="H79">
        <v>6</v>
      </c>
      <c r="I79">
        <v>4</v>
      </c>
      <c r="J79">
        <v>5</v>
      </c>
      <c r="K79">
        <v>3</v>
      </c>
      <c r="L79" t="s">
        <v>78</v>
      </c>
      <c r="M7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79" t="str">
        <f>IF(AND(PESELxxx[[#This Row],[kontrolna]]=0,PESELxxx[[#This Row],[suma kontrolna, mod]]=0),"Tak",IF(PESELxxx[[#This Row],[suma kontrolna, mod]]+PESELxxx[[#This Row],[kontrolna]] =10,"Tak","Nie"))</f>
        <v>Tak</v>
      </c>
    </row>
    <row r="80" spans="1:14" hidden="1" x14ac:dyDescent="0.25">
      <c r="A80">
        <v>8</v>
      </c>
      <c r="B80">
        <v>9</v>
      </c>
      <c r="C80">
        <v>1</v>
      </c>
      <c r="D80">
        <v>2</v>
      </c>
      <c r="E80">
        <v>0</v>
      </c>
      <c r="F80">
        <v>9</v>
      </c>
      <c r="G80">
        <v>5</v>
      </c>
      <c r="H80">
        <v>2</v>
      </c>
      <c r="I80">
        <v>1</v>
      </c>
      <c r="J80">
        <v>6</v>
      </c>
      <c r="K80">
        <v>1</v>
      </c>
      <c r="L80" t="s">
        <v>79</v>
      </c>
      <c r="M8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80" t="str">
        <f>IF(AND(PESELxxx[[#This Row],[kontrolna]]=0,PESELxxx[[#This Row],[suma kontrolna, mod]]=0),"Tak",IF(PESELxxx[[#This Row],[suma kontrolna, mod]]+PESELxxx[[#This Row],[kontrolna]] =10,"Tak","Nie"))</f>
        <v>Tak</v>
      </c>
    </row>
    <row r="81" spans="1:14" hidden="1" x14ac:dyDescent="0.25">
      <c r="A81">
        <v>5</v>
      </c>
      <c r="B81">
        <v>9</v>
      </c>
      <c r="C81">
        <v>0</v>
      </c>
      <c r="D81">
        <v>8</v>
      </c>
      <c r="E81">
        <v>3</v>
      </c>
      <c r="F81">
        <v>0</v>
      </c>
      <c r="G81">
        <v>3</v>
      </c>
      <c r="H81">
        <v>6</v>
      </c>
      <c r="I81">
        <v>0</v>
      </c>
      <c r="J81">
        <v>7</v>
      </c>
      <c r="K81">
        <v>7</v>
      </c>
      <c r="L81" t="s">
        <v>80</v>
      </c>
      <c r="M8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81" t="str">
        <f>IF(AND(PESELxxx[[#This Row],[kontrolna]]=0,PESELxxx[[#This Row],[suma kontrolna, mod]]=0),"Tak",IF(PESELxxx[[#This Row],[suma kontrolna, mod]]+PESELxxx[[#This Row],[kontrolna]] =10,"Tak","Nie"))</f>
        <v>Tak</v>
      </c>
    </row>
    <row r="82" spans="1:14" hidden="1" x14ac:dyDescent="0.25">
      <c r="A82">
        <v>6</v>
      </c>
      <c r="B82">
        <v>1</v>
      </c>
      <c r="C82">
        <v>1</v>
      </c>
      <c r="D82">
        <v>2</v>
      </c>
      <c r="E82">
        <v>1</v>
      </c>
      <c r="F82">
        <v>0</v>
      </c>
      <c r="G82">
        <v>2</v>
      </c>
      <c r="H82">
        <v>0</v>
      </c>
      <c r="I82">
        <v>4</v>
      </c>
      <c r="J82">
        <v>6</v>
      </c>
      <c r="K82">
        <v>9</v>
      </c>
      <c r="L82" t="s">
        <v>81</v>
      </c>
      <c r="M8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82" t="str">
        <f>IF(AND(PESELxxx[[#This Row],[kontrolna]]=0,PESELxxx[[#This Row],[suma kontrolna, mod]]=0),"Tak",IF(PESELxxx[[#This Row],[suma kontrolna, mod]]+PESELxxx[[#This Row],[kontrolna]] =10,"Tak","Nie"))</f>
        <v>Tak</v>
      </c>
    </row>
    <row r="83" spans="1:14" hidden="1" x14ac:dyDescent="0.25">
      <c r="A83">
        <v>8</v>
      </c>
      <c r="B83">
        <v>9</v>
      </c>
      <c r="C83">
        <v>0</v>
      </c>
      <c r="D83">
        <v>4</v>
      </c>
      <c r="E83">
        <v>0</v>
      </c>
      <c r="F83">
        <v>1</v>
      </c>
      <c r="G83">
        <v>8</v>
      </c>
      <c r="H83">
        <v>5</v>
      </c>
      <c r="I83">
        <v>2</v>
      </c>
      <c r="J83">
        <v>4</v>
      </c>
      <c r="K83">
        <v>1</v>
      </c>
      <c r="L83" t="s">
        <v>82</v>
      </c>
      <c r="M8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83" t="str">
        <f>IF(AND(PESELxxx[[#This Row],[kontrolna]]=0,PESELxxx[[#This Row],[suma kontrolna, mod]]=0),"Tak",IF(PESELxxx[[#This Row],[suma kontrolna, mod]]+PESELxxx[[#This Row],[kontrolna]] =10,"Tak","Nie"))</f>
        <v>Tak</v>
      </c>
    </row>
    <row r="84" spans="1:14" hidden="1" x14ac:dyDescent="0.25">
      <c r="A84">
        <v>8</v>
      </c>
      <c r="B84">
        <v>8</v>
      </c>
      <c r="C84">
        <v>0</v>
      </c>
      <c r="D84">
        <v>8</v>
      </c>
      <c r="E84">
        <v>0</v>
      </c>
      <c r="F84">
        <v>4</v>
      </c>
      <c r="G84">
        <v>1</v>
      </c>
      <c r="H84">
        <v>6</v>
      </c>
      <c r="I84">
        <v>2</v>
      </c>
      <c r="J84">
        <v>5</v>
      </c>
      <c r="K84">
        <v>6</v>
      </c>
      <c r="L84" t="s">
        <v>83</v>
      </c>
      <c r="M8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4</v>
      </c>
      <c r="N84" t="str">
        <f>IF(AND(PESELxxx[[#This Row],[kontrolna]]=0,PESELxxx[[#This Row],[suma kontrolna, mod]]=0),"Tak",IF(PESELxxx[[#This Row],[suma kontrolna, mod]]+PESELxxx[[#This Row],[kontrolna]] =10,"Tak","Nie"))</f>
        <v>Tak</v>
      </c>
    </row>
    <row r="85" spans="1:14" hidden="1" x14ac:dyDescent="0.25">
      <c r="A85">
        <v>6</v>
      </c>
      <c r="B85">
        <v>1</v>
      </c>
      <c r="C85">
        <v>0</v>
      </c>
      <c r="D85">
        <v>3</v>
      </c>
      <c r="E85">
        <v>2</v>
      </c>
      <c r="F85">
        <v>4</v>
      </c>
      <c r="G85">
        <v>7</v>
      </c>
      <c r="H85">
        <v>9</v>
      </c>
      <c r="I85">
        <v>1</v>
      </c>
      <c r="J85">
        <v>1</v>
      </c>
      <c r="K85">
        <v>6</v>
      </c>
      <c r="L85" t="s">
        <v>84</v>
      </c>
      <c r="M8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4</v>
      </c>
      <c r="N85" t="str">
        <f>IF(AND(PESELxxx[[#This Row],[kontrolna]]=0,PESELxxx[[#This Row],[suma kontrolna, mod]]=0),"Tak",IF(PESELxxx[[#This Row],[suma kontrolna, mod]]+PESELxxx[[#This Row],[kontrolna]] =10,"Tak","Nie"))</f>
        <v>Tak</v>
      </c>
    </row>
    <row r="86" spans="1:14" hidden="1" x14ac:dyDescent="0.25">
      <c r="A86">
        <v>5</v>
      </c>
      <c r="B86">
        <v>4</v>
      </c>
      <c r="C86">
        <v>0</v>
      </c>
      <c r="D86">
        <v>2</v>
      </c>
      <c r="E86">
        <v>0</v>
      </c>
      <c r="F86">
        <v>8</v>
      </c>
      <c r="G86">
        <v>3</v>
      </c>
      <c r="H86">
        <v>7</v>
      </c>
      <c r="I86">
        <v>1</v>
      </c>
      <c r="J86">
        <v>3</v>
      </c>
      <c r="K86">
        <v>7</v>
      </c>
      <c r="L86" t="s">
        <v>85</v>
      </c>
      <c r="M8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86" t="str">
        <f>IF(AND(PESELxxx[[#This Row],[kontrolna]]=0,PESELxxx[[#This Row],[suma kontrolna, mod]]=0),"Tak",IF(PESELxxx[[#This Row],[suma kontrolna, mod]]+PESELxxx[[#This Row],[kontrolna]] =10,"Tak","Nie"))</f>
        <v>Tak</v>
      </c>
    </row>
    <row r="87" spans="1:14" hidden="1" x14ac:dyDescent="0.25">
      <c r="A87">
        <v>8</v>
      </c>
      <c r="B87">
        <v>7</v>
      </c>
      <c r="C87">
        <v>0</v>
      </c>
      <c r="D87">
        <v>7</v>
      </c>
      <c r="E87">
        <v>2</v>
      </c>
      <c r="F87">
        <v>7</v>
      </c>
      <c r="G87">
        <v>2</v>
      </c>
      <c r="H87">
        <v>4</v>
      </c>
      <c r="I87">
        <v>2</v>
      </c>
      <c r="J87">
        <v>8</v>
      </c>
      <c r="K87">
        <v>9</v>
      </c>
      <c r="L87" t="s">
        <v>86</v>
      </c>
      <c r="M8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87" t="str">
        <f>IF(AND(PESELxxx[[#This Row],[kontrolna]]=0,PESELxxx[[#This Row],[suma kontrolna, mod]]=0),"Tak",IF(PESELxxx[[#This Row],[suma kontrolna, mod]]+PESELxxx[[#This Row],[kontrolna]] =10,"Tak","Nie"))</f>
        <v>Tak</v>
      </c>
    </row>
    <row r="88" spans="1:14" hidden="1" x14ac:dyDescent="0.25">
      <c r="A88">
        <v>8</v>
      </c>
      <c r="B88">
        <v>8</v>
      </c>
      <c r="C88">
        <v>1</v>
      </c>
      <c r="D88">
        <v>0</v>
      </c>
      <c r="E88">
        <v>3</v>
      </c>
      <c r="F88">
        <v>0</v>
      </c>
      <c r="G88">
        <v>3</v>
      </c>
      <c r="H88">
        <v>2</v>
      </c>
      <c r="I88">
        <v>9</v>
      </c>
      <c r="J88">
        <v>3</v>
      </c>
      <c r="K88">
        <v>1</v>
      </c>
      <c r="L88" t="s">
        <v>87</v>
      </c>
      <c r="M8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88" t="str">
        <f>IF(AND(PESELxxx[[#This Row],[kontrolna]]=0,PESELxxx[[#This Row],[suma kontrolna, mod]]=0),"Tak",IF(PESELxxx[[#This Row],[suma kontrolna, mod]]+PESELxxx[[#This Row],[kontrolna]] =10,"Tak","Nie"))</f>
        <v>Tak</v>
      </c>
    </row>
    <row r="89" spans="1:14" hidden="1" x14ac:dyDescent="0.25">
      <c r="A89">
        <v>5</v>
      </c>
      <c r="B89">
        <v>9</v>
      </c>
      <c r="C89">
        <v>0</v>
      </c>
      <c r="D89">
        <v>4</v>
      </c>
      <c r="E89">
        <v>2</v>
      </c>
      <c r="F89">
        <v>9</v>
      </c>
      <c r="G89">
        <v>8</v>
      </c>
      <c r="H89">
        <v>9</v>
      </c>
      <c r="I89">
        <v>6</v>
      </c>
      <c r="J89">
        <v>8</v>
      </c>
      <c r="K89">
        <v>6</v>
      </c>
      <c r="L89" t="s">
        <v>88</v>
      </c>
      <c r="M8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4</v>
      </c>
      <c r="N89" t="str">
        <f>IF(AND(PESELxxx[[#This Row],[kontrolna]]=0,PESELxxx[[#This Row],[suma kontrolna, mod]]=0),"Tak",IF(PESELxxx[[#This Row],[suma kontrolna, mod]]+PESELxxx[[#This Row],[kontrolna]] =10,"Tak","Nie"))</f>
        <v>Tak</v>
      </c>
    </row>
    <row r="90" spans="1:14" hidden="1" x14ac:dyDescent="0.25">
      <c r="A90">
        <v>9</v>
      </c>
      <c r="B90">
        <v>1</v>
      </c>
      <c r="C90">
        <v>0</v>
      </c>
      <c r="D90">
        <v>2</v>
      </c>
      <c r="E90">
        <v>3</v>
      </c>
      <c r="F90">
        <v>1</v>
      </c>
      <c r="G90">
        <v>9</v>
      </c>
      <c r="H90">
        <v>1</v>
      </c>
      <c r="I90">
        <v>3</v>
      </c>
      <c r="J90">
        <v>3</v>
      </c>
      <c r="K90">
        <v>0</v>
      </c>
      <c r="L90" t="s">
        <v>89</v>
      </c>
      <c r="M9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90" t="str">
        <f>IF(AND(PESELxxx[[#This Row],[kontrolna]]=0,PESELxxx[[#This Row],[suma kontrolna, mod]]=0),"Tak",IF(PESELxxx[[#This Row],[suma kontrolna, mod]]+PESELxxx[[#This Row],[kontrolna]] =10,"Tak","Nie"))</f>
        <v>Tak</v>
      </c>
    </row>
    <row r="91" spans="1:14" hidden="1" x14ac:dyDescent="0.25">
      <c r="A91">
        <v>5</v>
      </c>
      <c r="B91">
        <v>9</v>
      </c>
      <c r="C91">
        <v>0</v>
      </c>
      <c r="D91">
        <v>3</v>
      </c>
      <c r="E91">
        <v>1</v>
      </c>
      <c r="F91">
        <v>1</v>
      </c>
      <c r="G91">
        <v>5</v>
      </c>
      <c r="H91">
        <v>2</v>
      </c>
      <c r="I91">
        <v>0</v>
      </c>
      <c r="J91">
        <v>5</v>
      </c>
      <c r="K91">
        <v>9</v>
      </c>
      <c r="L91" t="s">
        <v>90</v>
      </c>
      <c r="M9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91" t="str">
        <f>IF(AND(PESELxxx[[#This Row],[kontrolna]]=0,PESELxxx[[#This Row],[suma kontrolna, mod]]=0),"Tak",IF(PESELxxx[[#This Row],[suma kontrolna, mod]]+PESELxxx[[#This Row],[kontrolna]] =10,"Tak","Nie"))</f>
        <v>Tak</v>
      </c>
    </row>
    <row r="92" spans="1:14" hidden="1" x14ac:dyDescent="0.25">
      <c r="A92">
        <v>8</v>
      </c>
      <c r="B92">
        <v>4</v>
      </c>
      <c r="C92">
        <v>1</v>
      </c>
      <c r="D92">
        <v>1</v>
      </c>
      <c r="E92">
        <v>2</v>
      </c>
      <c r="F92">
        <v>1</v>
      </c>
      <c r="G92">
        <v>8</v>
      </c>
      <c r="H92">
        <v>5</v>
      </c>
      <c r="I92">
        <v>1</v>
      </c>
      <c r="J92">
        <v>4</v>
      </c>
      <c r="K92">
        <v>5</v>
      </c>
      <c r="L92" t="s">
        <v>91</v>
      </c>
      <c r="M9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92" t="str">
        <f>IF(AND(PESELxxx[[#This Row],[kontrolna]]=0,PESELxxx[[#This Row],[suma kontrolna, mod]]=0),"Tak",IF(PESELxxx[[#This Row],[suma kontrolna, mod]]+PESELxxx[[#This Row],[kontrolna]] =10,"Tak","Nie"))</f>
        <v>Tak</v>
      </c>
    </row>
    <row r="93" spans="1:14" hidden="1" x14ac:dyDescent="0.25">
      <c r="A93">
        <v>6</v>
      </c>
      <c r="B93">
        <v>0</v>
      </c>
      <c r="C93">
        <v>1</v>
      </c>
      <c r="D93">
        <v>0</v>
      </c>
      <c r="E93">
        <v>2</v>
      </c>
      <c r="F93">
        <v>8</v>
      </c>
      <c r="G93">
        <v>9</v>
      </c>
      <c r="H93">
        <v>0</v>
      </c>
      <c r="I93">
        <v>1</v>
      </c>
      <c r="J93">
        <v>0</v>
      </c>
      <c r="K93">
        <v>7</v>
      </c>
      <c r="L93" t="s">
        <v>92</v>
      </c>
      <c r="M9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93" t="str">
        <f>IF(AND(PESELxxx[[#This Row],[kontrolna]]=0,PESELxxx[[#This Row],[suma kontrolna, mod]]=0),"Tak",IF(PESELxxx[[#This Row],[suma kontrolna, mod]]+PESELxxx[[#This Row],[kontrolna]] =10,"Tak","Nie"))</f>
        <v>Tak</v>
      </c>
    </row>
    <row r="94" spans="1:14" hidden="1" x14ac:dyDescent="0.25">
      <c r="A94">
        <v>8</v>
      </c>
      <c r="B94">
        <v>4</v>
      </c>
      <c r="C94">
        <v>0</v>
      </c>
      <c r="D94">
        <v>5</v>
      </c>
      <c r="E94">
        <v>0</v>
      </c>
      <c r="F94">
        <v>6</v>
      </c>
      <c r="G94">
        <v>9</v>
      </c>
      <c r="H94">
        <v>4</v>
      </c>
      <c r="I94">
        <v>3</v>
      </c>
      <c r="J94">
        <v>6</v>
      </c>
      <c r="K94">
        <v>7</v>
      </c>
      <c r="L94" t="s">
        <v>93</v>
      </c>
      <c r="M9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94" t="str">
        <f>IF(AND(PESELxxx[[#This Row],[kontrolna]]=0,PESELxxx[[#This Row],[suma kontrolna, mod]]=0),"Tak",IF(PESELxxx[[#This Row],[suma kontrolna, mod]]+PESELxxx[[#This Row],[kontrolna]] =10,"Tak","Nie"))</f>
        <v>Tak</v>
      </c>
    </row>
    <row r="95" spans="1:14" hidden="1" x14ac:dyDescent="0.25">
      <c r="A95">
        <v>8</v>
      </c>
      <c r="B95">
        <v>9</v>
      </c>
      <c r="C95">
        <v>0</v>
      </c>
      <c r="D95">
        <v>4</v>
      </c>
      <c r="E95">
        <v>1</v>
      </c>
      <c r="F95">
        <v>1</v>
      </c>
      <c r="G95">
        <v>3</v>
      </c>
      <c r="H95">
        <v>3</v>
      </c>
      <c r="I95">
        <v>4</v>
      </c>
      <c r="J95">
        <v>7</v>
      </c>
      <c r="K95">
        <v>2</v>
      </c>
      <c r="L95" t="s">
        <v>94</v>
      </c>
      <c r="M9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95" t="str">
        <f>IF(AND(PESELxxx[[#This Row],[kontrolna]]=0,PESELxxx[[#This Row],[suma kontrolna, mod]]=0),"Tak",IF(PESELxxx[[#This Row],[suma kontrolna, mod]]+PESELxxx[[#This Row],[kontrolna]] =10,"Tak","Nie"))</f>
        <v>Tak</v>
      </c>
    </row>
    <row r="96" spans="1:14" hidden="1" x14ac:dyDescent="0.25">
      <c r="A96">
        <v>8</v>
      </c>
      <c r="B96">
        <v>2</v>
      </c>
      <c r="C96">
        <v>0</v>
      </c>
      <c r="D96">
        <v>7</v>
      </c>
      <c r="E96">
        <v>2</v>
      </c>
      <c r="F96">
        <v>2</v>
      </c>
      <c r="G96">
        <v>1</v>
      </c>
      <c r="H96">
        <v>9</v>
      </c>
      <c r="I96">
        <v>2</v>
      </c>
      <c r="J96">
        <v>6</v>
      </c>
      <c r="K96">
        <v>7</v>
      </c>
      <c r="L96" t="s">
        <v>95</v>
      </c>
      <c r="M9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96" t="str">
        <f>IF(AND(PESELxxx[[#This Row],[kontrolna]]=0,PESELxxx[[#This Row],[suma kontrolna, mod]]=0),"Tak",IF(PESELxxx[[#This Row],[suma kontrolna, mod]]+PESELxxx[[#This Row],[kontrolna]] =10,"Tak","Nie"))</f>
        <v>Tak</v>
      </c>
    </row>
    <row r="97" spans="1:14" hidden="1" x14ac:dyDescent="0.25">
      <c r="A97">
        <v>5</v>
      </c>
      <c r="B97">
        <v>7</v>
      </c>
      <c r="C97">
        <v>1</v>
      </c>
      <c r="D97">
        <v>0</v>
      </c>
      <c r="E97">
        <v>2</v>
      </c>
      <c r="F97">
        <v>2</v>
      </c>
      <c r="G97">
        <v>0</v>
      </c>
      <c r="H97">
        <v>2</v>
      </c>
      <c r="I97">
        <v>4</v>
      </c>
      <c r="J97">
        <v>1</v>
      </c>
      <c r="K97">
        <v>4</v>
      </c>
      <c r="L97" t="s">
        <v>96</v>
      </c>
      <c r="M9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97" t="str">
        <f>IF(AND(PESELxxx[[#This Row],[kontrolna]]=0,PESELxxx[[#This Row],[suma kontrolna, mod]]=0),"Tak",IF(PESELxxx[[#This Row],[suma kontrolna, mod]]+PESELxxx[[#This Row],[kontrolna]] =10,"Tak","Nie"))</f>
        <v>Tak</v>
      </c>
    </row>
    <row r="98" spans="1:14" hidden="1" x14ac:dyDescent="0.25">
      <c r="A98">
        <v>5</v>
      </c>
      <c r="B98">
        <v>5</v>
      </c>
      <c r="C98">
        <v>1</v>
      </c>
      <c r="D98">
        <v>2</v>
      </c>
      <c r="E98">
        <v>3</v>
      </c>
      <c r="F98">
        <v>1</v>
      </c>
      <c r="G98">
        <v>2</v>
      </c>
      <c r="H98">
        <v>8</v>
      </c>
      <c r="I98">
        <v>9</v>
      </c>
      <c r="J98">
        <v>7</v>
      </c>
      <c r="K98">
        <v>3</v>
      </c>
      <c r="L98" t="s">
        <v>97</v>
      </c>
      <c r="M9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98" t="str">
        <f>IF(AND(PESELxxx[[#This Row],[kontrolna]]=0,PESELxxx[[#This Row],[suma kontrolna, mod]]=0),"Tak",IF(PESELxxx[[#This Row],[suma kontrolna, mod]]+PESELxxx[[#This Row],[kontrolna]] =10,"Tak","Nie"))</f>
        <v>Tak</v>
      </c>
    </row>
    <row r="99" spans="1:14" hidden="1" x14ac:dyDescent="0.25">
      <c r="A99">
        <v>8</v>
      </c>
      <c r="B99">
        <v>6</v>
      </c>
      <c r="C99">
        <v>0</v>
      </c>
      <c r="D99">
        <v>7</v>
      </c>
      <c r="E99">
        <v>0</v>
      </c>
      <c r="F99">
        <v>5</v>
      </c>
      <c r="G99">
        <v>1</v>
      </c>
      <c r="H99">
        <v>1</v>
      </c>
      <c r="I99">
        <v>1</v>
      </c>
      <c r="J99">
        <v>8</v>
      </c>
      <c r="K99">
        <v>5</v>
      </c>
      <c r="L99" t="s">
        <v>98</v>
      </c>
      <c r="M9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99" t="str">
        <f>IF(AND(PESELxxx[[#This Row],[kontrolna]]=0,PESELxxx[[#This Row],[suma kontrolna, mod]]=0),"Tak",IF(PESELxxx[[#This Row],[suma kontrolna, mod]]+PESELxxx[[#This Row],[kontrolna]] =10,"Tak","Nie"))</f>
        <v>Tak</v>
      </c>
    </row>
    <row r="100" spans="1:14" hidden="1" x14ac:dyDescent="0.25">
      <c r="A100">
        <v>8</v>
      </c>
      <c r="B100">
        <v>1</v>
      </c>
      <c r="C100">
        <v>1</v>
      </c>
      <c r="D100">
        <v>0</v>
      </c>
      <c r="E100">
        <v>1</v>
      </c>
      <c r="F100">
        <v>1</v>
      </c>
      <c r="G100">
        <v>4</v>
      </c>
      <c r="H100">
        <v>8</v>
      </c>
      <c r="I100">
        <v>7</v>
      </c>
      <c r="J100">
        <v>7</v>
      </c>
      <c r="K100">
        <v>0</v>
      </c>
      <c r="L100" t="s">
        <v>99</v>
      </c>
      <c r="M10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100" t="str">
        <f>IF(AND(PESELxxx[[#This Row],[kontrolna]]=0,PESELxxx[[#This Row],[suma kontrolna, mod]]=0),"Tak",IF(PESELxxx[[#This Row],[suma kontrolna, mod]]+PESELxxx[[#This Row],[kontrolna]] =10,"Tak","Nie"))</f>
        <v>Tak</v>
      </c>
    </row>
    <row r="101" spans="1:14" hidden="1" x14ac:dyDescent="0.25">
      <c r="A101">
        <v>8</v>
      </c>
      <c r="B101">
        <v>7</v>
      </c>
      <c r="C101">
        <v>0</v>
      </c>
      <c r="D101">
        <v>7</v>
      </c>
      <c r="E101">
        <v>1</v>
      </c>
      <c r="F101">
        <v>1</v>
      </c>
      <c r="G101">
        <v>6</v>
      </c>
      <c r="H101">
        <v>4</v>
      </c>
      <c r="I101">
        <v>6</v>
      </c>
      <c r="J101">
        <v>6</v>
      </c>
      <c r="K101">
        <v>2</v>
      </c>
      <c r="L101" t="s">
        <v>100</v>
      </c>
      <c r="M10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101" t="str">
        <f>IF(AND(PESELxxx[[#This Row],[kontrolna]]=0,PESELxxx[[#This Row],[suma kontrolna, mod]]=0),"Tak",IF(PESELxxx[[#This Row],[suma kontrolna, mod]]+PESELxxx[[#This Row],[kontrolna]] =10,"Tak","Nie"))</f>
        <v>Tak</v>
      </c>
    </row>
    <row r="102" spans="1:14" hidden="1" x14ac:dyDescent="0.25">
      <c r="A102">
        <v>5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5</v>
      </c>
      <c r="H102">
        <v>3</v>
      </c>
      <c r="I102">
        <v>3</v>
      </c>
      <c r="J102">
        <v>1</v>
      </c>
      <c r="K102">
        <v>1</v>
      </c>
      <c r="L102" t="s">
        <v>101</v>
      </c>
      <c r="M10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102" t="str">
        <f>IF(AND(PESELxxx[[#This Row],[kontrolna]]=0,PESELxxx[[#This Row],[suma kontrolna, mod]]=0),"Tak",IF(PESELxxx[[#This Row],[suma kontrolna, mod]]+PESELxxx[[#This Row],[kontrolna]] =10,"Tak","Nie"))</f>
        <v>Tak</v>
      </c>
    </row>
    <row r="103" spans="1:14" hidden="1" x14ac:dyDescent="0.25">
      <c r="A103">
        <v>8</v>
      </c>
      <c r="B103">
        <v>9</v>
      </c>
      <c r="C103">
        <v>0</v>
      </c>
      <c r="D103">
        <v>5</v>
      </c>
      <c r="E103">
        <v>2</v>
      </c>
      <c r="F103">
        <v>0</v>
      </c>
      <c r="G103">
        <v>8</v>
      </c>
      <c r="H103">
        <v>5</v>
      </c>
      <c r="I103">
        <v>0</v>
      </c>
      <c r="J103">
        <v>6</v>
      </c>
      <c r="K103">
        <v>9</v>
      </c>
      <c r="L103" t="s">
        <v>102</v>
      </c>
      <c r="M10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103" t="str">
        <f>IF(AND(PESELxxx[[#This Row],[kontrolna]]=0,PESELxxx[[#This Row],[suma kontrolna, mod]]=0),"Tak",IF(PESELxxx[[#This Row],[suma kontrolna, mod]]+PESELxxx[[#This Row],[kontrolna]] =10,"Tak","Nie"))</f>
        <v>Tak</v>
      </c>
    </row>
    <row r="104" spans="1:14" hidden="1" x14ac:dyDescent="0.25">
      <c r="A104">
        <v>5</v>
      </c>
      <c r="B104">
        <v>0</v>
      </c>
      <c r="C104">
        <v>1</v>
      </c>
      <c r="D104">
        <v>0</v>
      </c>
      <c r="E104">
        <v>2</v>
      </c>
      <c r="F104">
        <v>6</v>
      </c>
      <c r="G104">
        <v>3</v>
      </c>
      <c r="H104">
        <v>6</v>
      </c>
      <c r="I104">
        <v>3</v>
      </c>
      <c r="J104">
        <v>5</v>
      </c>
      <c r="K104">
        <v>5</v>
      </c>
      <c r="L104" t="s">
        <v>103</v>
      </c>
      <c r="M10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104" t="str">
        <f>IF(AND(PESELxxx[[#This Row],[kontrolna]]=0,PESELxxx[[#This Row],[suma kontrolna, mod]]=0),"Tak",IF(PESELxxx[[#This Row],[suma kontrolna, mod]]+PESELxxx[[#This Row],[kontrolna]] =10,"Tak","Nie"))</f>
        <v>Tak</v>
      </c>
    </row>
    <row r="105" spans="1:14" hidden="1" x14ac:dyDescent="0.25">
      <c r="A105">
        <v>8</v>
      </c>
      <c r="B105">
        <v>9</v>
      </c>
      <c r="C105">
        <v>0</v>
      </c>
      <c r="D105">
        <v>1</v>
      </c>
      <c r="E105">
        <v>1</v>
      </c>
      <c r="F105">
        <v>5</v>
      </c>
      <c r="G105">
        <v>8</v>
      </c>
      <c r="H105">
        <v>1</v>
      </c>
      <c r="I105">
        <v>3</v>
      </c>
      <c r="J105">
        <v>1</v>
      </c>
      <c r="K105">
        <v>9</v>
      </c>
      <c r="L105" t="s">
        <v>104</v>
      </c>
      <c r="M10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105" t="str">
        <f>IF(AND(PESELxxx[[#This Row],[kontrolna]]=0,PESELxxx[[#This Row],[suma kontrolna, mod]]=0),"Tak",IF(PESELxxx[[#This Row],[suma kontrolna, mod]]+PESELxxx[[#This Row],[kontrolna]] =10,"Tak","Nie"))</f>
        <v>Tak</v>
      </c>
    </row>
    <row r="106" spans="1:14" hidden="1" x14ac:dyDescent="0.25">
      <c r="A106">
        <v>5</v>
      </c>
      <c r="B106">
        <v>3</v>
      </c>
      <c r="C106">
        <v>1</v>
      </c>
      <c r="D106">
        <v>2</v>
      </c>
      <c r="E106">
        <v>2</v>
      </c>
      <c r="F106">
        <v>2</v>
      </c>
      <c r="G106">
        <v>9</v>
      </c>
      <c r="H106">
        <v>9</v>
      </c>
      <c r="I106">
        <v>1</v>
      </c>
      <c r="J106">
        <v>2</v>
      </c>
      <c r="K106">
        <v>2</v>
      </c>
      <c r="L106" t="s">
        <v>105</v>
      </c>
      <c r="M10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106" t="str">
        <f>IF(AND(PESELxxx[[#This Row],[kontrolna]]=0,PESELxxx[[#This Row],[suma kontrolna, mod]]=0),"Tak",IF(PESELxxx[[#This Row],[suma kontrolna, mod]]+PESELxxx[[#This Row],[kontrolna]] =10,"Tak","Nie"))</f>
        <v>Tak</v>
      </c>
    </row>
    <row r="107" spans="1:14" hidden="1" x14ac:dyDescent="0.25">
      <c r="A107">
        <v>7</v>
      </c>
      <c r="B107">
        <v>5</v>
      </c>
      <c r="C107">
        <v>1</v>
      </c>
      <c r="D107">
        <v>1</v>
      </c>
      <c r="E107">
        <v>3</v>
      </c>
      <c r="F107">
        <v>1</v>
      </c>
      <c r="G107">
        <v>6</v>
      </c>
      <c r="H107">
        <v>2</v>
      </c>
      <c r="I107">
        <v>7</v>
      </c>
      <c r="J107">
        <v>4</v>
      </c>
      <c r="K107">
        <v>7</v>
      </c>
      <c r="L107" t="s">
        <v>106</v>
      </c>
      <c r="M10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107" t="str">
        <f>IF(AND(PESELxxx[[#This Row],[kontrolna]]=0,PESELxxx[[#This Row],[suma kontrolna, mod]]=0),"Tak",IF(PESELxxx[[#This Row],[suma kontrolna, mod]]+PESELxxx[[#This Row],[kontrolna]] =10,"Tak","Nie"))</f>
        <v>Tak</v>
      </c>
    </row>
    <row r="108" spans="1:14" hidden="1" x14ac:dyDescent="0.25">
      <c r="A108">
        <v>8</v>
      </c>
      <c r="B108">
        <v>9</v>
      </c>
      <c r="C108">
        <v>1</v>
      </c>
      <c r="D108">
        <v>0</v>
      </c>
      <c r="E108">
        <v>2</v>
      </c>
      <c r="F108">
        <v>5</v>
      </c>
      <c r="G108">
        <v>8</v>
      </c>
      <c r="H108">
        <v>8</v>
      </c>
      <c r="I108">
        <v>1</v>
      </c>
      <c r="J108">
        <v>7</v>
      </c>
      <c r="K108">
        <v>1</v>
      </c>
      <c r="L108" t="s">
        <v>107</v>
      </c>
      <c r="M10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108" t="str">
        <f>IF(AND(PESELxxx[[#This Row],[kontrolna]]=0,PESELxxx[[#This Row],[suma kontrolna, mod]]=0),"Tak",IF(PESELxxx[[#This Row],[suma kontrolna, mod]]+PESELxxx[[#This Row],[kontrolna]] =10,"Tak","Nie"))</f>
        <v>Tak</v>
      </c>
    </row>
    <row r="109" spans="1:14" hidden="1" x14ac:dyDescent="0.25">
      <c r="A109">
        <v>8</v>
      </c>
      <c r="B109">
        <v>9</v>
      </c>
      <c r="C109">
        <v>0</v>
      </c>
      <c r="D109">
        <v>2</v>
      </c>
      <c r="E109">
        <v>2</v>
      </c>
      <c r="F109">
        <v>3</v>
      </c>
      <c r="G109">
        <v>7</v>
      </c>
      <c r="H109">
        <v>9</v>
      </c>
      <c r="I109">
        <v>9</v>
      </c>
      <c r="J109">
        <v>1</v>
      </c>
      <c r="K109">
        <v>4</v>
      </c>
      <c r="L109" t="s">
        <v>108</v>
      </c>
      <c r="M10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109" t="str">
        <f>IF(AND(PESELxxx[[#This Row],[kontrolna]]=0,PESELxxx[[#This Row],[suma kontrolna, mod]]=0),"Tak",IF(PESELxxx[[#This Row],[suma kontrolna, mod]]+PESELxxx[[#This Row],[kontrolna]] =10,"Tak","Nie"))</f>
        <v>Tak</v>
      </c>
    </row>
    <row r="110" spans="1:14" hidden="1" x14ac:dyDescent="0.25">
      <c r="A110">
        <v>9</v>
      </c>
      <c r="B110">
        <v>2</v>
      </c>
      <c r="C110">
        <v>0</v>
      </c>
      <c r="D110">
        <v>8</v>
      </c>
      <c r="E110">
        <v>0</v>
      </c>
      <c r="F110">
        <v>7</v>
      </c>
      <c r="G110">
        <v>0</v>
      </c>
      <c r="H110">
        <v>9</v>
      </c>
      <c r="I110">
        <v>3</v>
      </c>
      <c r="J110">
        <v>5</v>
      </c>
      <c r="K110">
        <v>3</v>
      </c>
      <c r="L110" t="s">
        <v>109</v>
      </c>
      <c r="M11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110" t="str">
        <f>IF(AND(PESELxxx[[#This Row],[kontrolna]]=0,PESELxxx[[#This Row],[suma kontrolna, mod]]=0),"Tak",IF(PESELxxx[[#This Row],[suma kontrolna, mod]]+PESELxxx[[#This Row],[kontrolna]] =10,"Tak","Nie"))</f>
        <v>Tak</v>
      </c>
    </row>
    <row r="111" spans="1:14" hidden="1" x14ac:dyDescent="0.25">
      <c r="A111">
        <v>5</v>
      </c>
      <c r="B111">
        <v>0</v>
      </c>
      <c r="C111">
        <v>1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3</v>
      </c>
      <c r="J111">
        <v>0</v>
      </c>
      <c r="K111">
        <v>5</v>
      </c>
      <c r="L111" t="s">
        <v>110</v>
      </c>
      <c r="M11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111" t="str">
        <f>IF(AND(PESELxxx[[#This Row],[kontrolna]]=0,PESELxxx[[#This Row],[suma kontrolna, mod]]=0),"Tak",IF(PESELxxx[[#This Row],[suma kontrolna, mod]]+PESELxxx[[#This Row],[kontrolna]] =10,"Tak","Nie"))</f>
        <v>Tak</v>
      </c>
    </row>
    <row r="112" spans="1:14" hidden="1" x14ac:dyDescent="0.25">
      <c r="A112">
        <v>8</v>
      </c>
      <c r="B112">
        <v>9</v>
      </c>
      <c r="C112">
        <v>0</v>
      </c>
      <c r="D112">
        <v>4</v>
      </c>
      <c r="E112">
        <v>2</v>
      </c>
      <c r="F112">
        <v>6</v>
      </c>
      <c r="G112">
        <v>2</v>
      </c>
      <c r="H112">
        <v>0</v>
      </c>
      <c r="I112">
        <v>4</v>
      </c>
      <c r="J112">
        <v>9</v>
      </c>
      <c r="K112">
        <v>4</v>
      </c>
      <c r="L112" t="s">
        <v>111</v>
      </c>
      <c r="M11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112" t="str">
        <f>IF(AND(PESELxxx[[#This Row],[kontrolna]]=0,PESELxxx[[#This Row],[suma kontrolna, mod]]=0),"Tak",IF(PESELxxx[[#This Row],[suma kontrolna, mod]]+PESELxxx[[#This Row],[kontrolna]] =10,"Tak","Nie"))</f>
        <v>Tak</v>
      </c>
    </row>
    <row r="113" spans="1:14" hidden="1" x14ac:dyDescent="0.25">
      <c r="A113">
        <v>5</v>
      </c>
      <c r="B113">
        <v>1</v>
      </c>
      <c r="C113">
        <v>1</v>
      </c>
      <c r="D113">
        <v>0</v>
      </c>
      <c r="E113">
        <v>2</v>
      </c>
      <c r="F113">
        <v>5</v>
      </c>
      <c r="G113">
        <v>7</v>
      </c>
      <c r="H113">
        <v>3</v>
      </c>
      <c r="I113">
        <v>8</v>
      </c>
      <c r="J113">
        <v>4</v>
      </c>
      <c r="K113">
        <v>2</v>
      </c>
      <c r="L113" t="s">
        <v>112</v>
      </c>
      <c r="M11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113" t="str">
        <f>IF(AND(PESELxxx[[#This Row],[kontrolna]]=0,PESELxxx[[#This Row],[suma kontrolna, mod]]=0),"Tak",IF(PESELxxx[[#This Row],[suma kontrolna, mod]]+PESELxxx[[#This Row],[kontrolna]] =10,"Tak","Nie"))</f>
        <v>Tak</v>
      </c>
    </row>
    <row r="114" spans="1:14" hidden="1" x14ac:dyDescent="0.25">
      <c r="A114">
        <v>8</v>
      </c>
      <c r="B114">
        <v>9</v>
      </c>
      <c r="C114">
        <v>0</v>
      </c>
      <c r="D114">
        <v>2</v>
      </c>
      <c r="E114">
        <v>1</v>
      </c>
      <c r="F114">
        <v>6</v>
      </c>
      <c r="G114">
        <v>9</v>
      </c>
      <c r="H114">
        <v>7</v>
      </c>
      <c r="I114">
        <v>6</v>
      </c>
      <c r="J114">
        <v>3</v>
      </c>
      <c r="K114">
        <v>7</v>
      </c>
      <c r="L114" t="s">
        <v>113</v>
      </c>
      <c r="M11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114" t="str">
        <f>IF(AND(PESELxxx[[#This Row],[kontrolna]]=0,PESELxxx[[#This Row],[suma kontrolna, mod]]=0),"Tak",IF(PESELxxx[[#This Row],[suma kontrolna, mod]]+PESELxxx[[#This Row],[kontrolna]] =10,"Tak","Nie"))</f>
        <v>Tak</v>
      </c>
    </row>
    <row r="115" spans="1:14" hidden="1" x14ac:dyDescent="0.25">
      <c r="A115">
        <v>6</v>
      </c>
      <c r="B115">
        <v>3</v>
      </c>
      <c r="C115">
        <v>0</v>
      </c>
      <c r="D115">
        <v>9</v>
      </c>
      <c r="E115">
        <v>2</v>
      </c>
      <c r="F115">
        <v>6</v>
      </c>
      <c r="G115">
        <v>0</v>
      </c>
      <c r="H115">
        <v>8</v>
      </c>
      <c r="I115">
        <v>6</v>
      </c>
      <c r="J115">
        <v>4</v>
      </c>
      <c r="K115">
        <v>4</v>
      </c>
      <c r="L115" t="s">
        <v>114</v>
      </c>
      <c r="M11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115" t="str">
        <f>IF(AND(PESELxxx[[#This Row],[kontrolna]]=0,PESELxxx[[#This Row],[suma kontrolna, mod]]=0),"Tak",IF(PESELxxx[[#This Row],[suma kontrolna, mod]]+PESELxxx[[#This Row],[kontrolna]] =10,"Tak","Nie"))</f>
        <v>Tak</v>
      </c>
    </row>
    <row r="116" spans="1:14" hidden="1" x14ac:dyDescent="0.25">
      <c r="A116">
        <v>7</v>
      </c>
      <c r="B116">
        <v>8</v>
      </c>
      <c r="C116">
        <v>1</v>
      </c>
      <c r="D116">
        <v>0</v>
      </c>
      <c r="E116">
        <v>2</v>
      </c>
      <c r="F116">
        <v>9</v>
      </c>
      <c r="G116">
        <v>4</v>
      </c>
      <c r="H116">
        <v>5</v>
      </c>
      <c r="I116">
        <v>9</v>
      </c>
      <c r="J116">
        <v>6</v>
      </c>
      <c r="K116">
        <v>3</v>
      </c>
      <c r="L116" t="s">
        <v>115</v>
      </c>
      <c r="M11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116" t="str">
        <f>IF(AND(PESELxxx[[#This Row],[kontrolna]]=0,PESELxxx[[#This Row],[suma kontrolna, mod]]=0),"Tak",IF(PESELxxx[[#This Row],[suma kontrolna, mod]]+PESELxxx[[#This Row],[kontrolna]] =10,"Tak","Nie"))</f>
        <v>Tak</v>
      </c>
    </row>
    <row r="117" spans="1:14" hidden="1" x14ac:dyDescent="0.25">
      <c r="A117">
        <v>8</v>
      </c>
      <c r="B117">
        <v>6</v>
      </c>
      <c r="C117">
        <v>0</v>
      </c>
      <c r="D117">
        <v>6</v>
      </c>
      <c r="E117">
        <v>1</v>
      </c>
      <c r="F117">
        <v>9</v>
      </c>
      <c r="G117">
        <v>9</v>
      </c>
      <c r="H117">
        <v>5</v>
      </c>
      <c r="I117">
        <v>3</v>
      </c>
      <c r="J117">
        <v>2</v>
      </c>
      <c r="K117">
        <v>5</v>
      </c>
      <c r="L117" t="s">
        <v>116</v>
      </c>
      <c r="M11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117" t="str">
        <f>IF(AND(PESELxxx[[#This Row],[kontrolna]]=0,PESELxxx[[#This Row],[suma kontrolna, mod]]=0),"Tak",IF(PESELxxx[[#This Row],[suma kontrolna, mod]]+PESELxxx[[#This Row],[kontrolna]] =10,"Tak","Nie"))</f>
        <v>Tak</v>
      </c>
    </row>
    <row r="118" spans="1:14" hidden="1" x14ac:dyDescent="0.25">
      <c r="A118">
        <v>7</v>
      </c>
      <c r="B118">
        <v>8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5</v>
      </c>
      <c r="I118">
        <v>0</v>
      </c>
      <c r="J118">
        <v>2</v>
      </c>
      <c r="K118">
        <v>8</v>
      </c>
      <c r="L118" t="s">
        <v>117</v>
      </c>
      <c r="M11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118" t="str">
        <f>IF(AND(PESELxxx[[#This Row],[kontrolna]]=0,PESELxxx[[#This Row],[suma kontrolna, mod]]=0),"Tak",IF(PESELxxx[[#This Row],[suma kontrolna, mod]]+PESELxxx[[#This Row],[kontrolna]] =10,"Tak","Nie"))</f>
        <v>Tak</v>
      </c>
    </row>
    <row r="119" spans="1:14" hidden="1" x14ac:dyDescent="0.25">
      <c r="A119">
        <v>8</v>
      </c>
      <c r="B119">
        <v>9</v>
      </c>
      <c r="C119">
        <v>0</v>
      </c>
      <c r="D119">
        <v>4</v>
      </c>
      <c r="E119">
        <v>2</v>
      </c>
      <c r="F119">
        <v>7</v>
      </c>
      <c r="G119">
        <v>5</v>
      </c>
      <c r="H119">
        <v>0</v>
      </c>
      <c r="I119">
        <v>9</v>
      </c>
      <c r="J119">
        <v>3</v>
      </c>
      <c r="K119">
        <v>3</v>
      </c>
      <c r="L119" t="s">
        <v>118</v>
      </c>
      <c r="M11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119" t="str">
        <f>IF(AND(PESELxxx[[#This Row],[kontrolna]]=0,PESELxxx[[#This Row],[suma kontrolna, mod]]=0),"Tak",IF(PESELxxx[[#This Row],[suma kontrolna, mod]]+PESELxxx[[#This Row],[kontrolna]] =10,"Tak","Nie"))</f>
        <v>Tak</v>
      </c>
    </row>
    <row r="120" spans="1:14" hidden="1" x14ac:dyDescent="0.25">
      <c r="A120">
        <v>8</v>
      </c>
      <c r="B120">
        <v>9</v>
      </c>
      <c r="C120">
        <v>1</v>
      </c>
      <c r="D120">
        <v>1</v>
      </c>
      <c r="E120">
        <v>2</v>
      </c>
      <c r="F120">
        <v>4</v>
      </c>
      <c r="G120">
        <v>6</v>
      </c>
      <c r="H120">
        <v>6</v>
      </c>
      <c r="I120">
        <v>8</v>
      </c>
      <c r="J120">
        <v>2</v>
      </c>
      <c r="K120">
        <v>5</v>
      </c>
      <c r="L120" t="s">
        <v>119</v>
      </c>
      <c r="M12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120" t="str">
        <f>IF(AND(PESELxxx[[#This Row],[kontrolna]]=0,PESELxxx[[#This Row],[suma kontrolna, mod]]=0),"Tak",IF(PESELxxx[[#This Row],[suma kontrolna, mod]]+PESELxxx[[#This Row],[kontrolna]] =10,"Tak","Nie"))</f>
        <v>Tak</v>
      </c>
    </row>
    <row r="121" spans="1:14" hidden="1" x14ac:dyDescent="0.25">
      <c r="A121">
        <v>8</v>
      </c>
      <c r="B121">
        <v>9</v>
      </c>
      <c r="C121">
        <v>0</v>
      </c>
      <c r="D121">
        <v>2</v>
      </c>
      <c r="E121">
        <v>0</v>
      </c>
      <c r="F121">
        <v>2</v>
      </c>
      <c r="G121">
        <v>6</v>
      </c>
      <c r="H121">
        <v>5</v>
      </c>
      <c r="I121">
        <v>3</v>
      </c>
      <c r="J121">
        <v>9</v>
      </c>
      <c r="K121">
        <v>4</v>
      </c>
      <c r="L121" t="s">
        <v>120</v>
      </c>
      <c r="M12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121" t="str">
        <f>IF(AND(PESELxxx[[#This Row],[kontrolna]]=0,PESELxxx[[#This Row],[suma kontrolna, mod]]=0),"Tak",IF(PESELxxx[[#This Row],[suma kontrolna, mod]]+PESELxxx[[#This Row],[kontrolna]] =10,"Tak","Nie"))</f>
        <v>Tak</v>
      </c>
    </row>
    <row r="122" spans="1:14" hidden="1" x14ac:dyDescent="0.25">
      <c r="A122">
        <v>6</v>
      </c>
      <c r="B122">
        <v>6</v>
      </c>
      <c r="C122">
        <v>1</v>
      </c>
      <c r="D122">
        <v>0</v>
      </c>
      <c r="E122">
        <v>0</v>
      </c>
      <c r="F122">
        <v>6</v>
      </c>
      <c r="G122">
        <v>5</v>
      </c>
      <c r="H122">
        <v>1</v>
      </c>
      <c r="I122">
        <v>6</v>
      </c>
      <c r="J122">
        <v>6</v>
      </c>
      <c r="K122">
        <v>3</v>
      </c>
      <c r="L122" t="s">
        <v>121</v>
      </c>
      <c r="M12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122" t="str">
        <f>IF(AND(PESELxxx[[#This Row],[kontrolna]]=0,PESELxxx[[#This Row],[suma kontrolna, mod]]=0),"Tak",IF(PESELxxx[[#This Row],[suma kontrolna, mod]]+PESELxxx[[#This Row],[kontrolna]] =10,"Tak","Nie"))</f>
        <v>Tak</v>
      </c>
    </row>
    <row r="123" spans="1:14" hidden="1" x14ac:dyDescent="0.25">
      <c r="A123">
        <v>6</v>
      </c>
      <c r="B123">
        <v>5</v>
      </c>
      <c r="C123">
        <v>0</v>
      </c>
      <c r="D123">
        <v>6</v>
      </c>
      <c r="E123">
        <v>2</v>
      </c>
      <c r="F123">
        <v>8</v>
      </c>
      <c r="G123">
        <v>9</v>
      </c>
      <c r="H123">
        <v>2</v>
      </c>
      <c r="I123">
        <v>3</v>
      </c>
      <c r="J123">
        <v>8</v>
      </c>
      <c r="K123">
        <v>1</v>
      </c>
      <c r="L123" t="s">
        <v>122</v>
      </c>
      <c r="M12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123" t="str">
        <f>IF(AND(PESELxxx[[#This Row],[kontrolna]]=0,PESELxxx[[#This Row],[suma kontrolna, mod]]=0),"Tak",IF(PESELxxx[[#This Row],[suma kontrolna, mod]]+PESELxxx[[#This Row],[kontrolna]] =10,"Tak","Nie"))</f>
        <v>Tak</v>
      </c>
    </row>
    <row r="124" spans="1:14" hidden="1" x14ac:dyDescent="0.25">
      <c r="A124">
        <v>6</v>
      </c>
      <c r="B124">
        <v>9</v>
      </c>
      <c r="C124">
        <v>0</v>
      </c>
      <c r="D124">
        <v>3</v>
      </c>
      <c r="E124">
        <v>0</v>
      </c>
      <c r="F124">
        <v>6</v>
      </c>
      <c r="G124">
        <v>2</v>
      </c>
      <c r="H124">
        <v>6</v>
      </c>
      <c r="I124">
        <v>1</v>
      </c>
      <c r="J124">
        <v>3</v>
      </c>
      <c r="K124">
        <v>4</v>
      </c>
      <c r="L124" t="s">
        <v>123</v>
      </c>
      <c r="M12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124" t="str">
        <f>IF(AND(PESELxxx[[#This Row],[kontrolna]]=0,PESELxxx[[#This Row],[suma kontrolna, mod]]=0),"Tak",IF(PESELxxx[[#This Row],[suma kontrolna, mod]]+PESELxxx[[#This Row],[kontrolna]] =10,"Tak","Nie"))</f>
        <v>Tak</v>
      </c>
    </row>
    <row r="125" spans="1:14" hidden="1" x14ac:dyDescent="0.25">
      <c r="A125">
        <v>6</v>
      </c>
      <c r="B125">
        <v>7</v>
      </c>
      <c r="C125">
        <v>1</v>
      </c>
      <c r="D125">
        <v>1</v>
      </c>
      <c r="E125">
        <v>3</v>
      </c>
      <c r="F125">
        <v>0</v>
      </c>
      <c r="G125">
        <v>4</v>
      </c>
      <c r="H125">
        <v>8</v>
      </c>
      <c r="I125">
        <v>7</v>
      </c>
      <c r="J125">
        <v>9</v>
      </c>
      <c r="K125">
        <v>0</v>
      </c>
      <c r="L125" t="s">
        <v>124</v>
      </c>
      <c r="M12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125" t="str">
        <f>IF(AND(PESELxxx[[#This Row],[kontrolna]]=0,PESELxxx[[#This Row],[suma kontrolna, mod]]=0),"Tak",IF(PESELxxx[[#This Row],[suma kontrolna, mod]]+PESELxxx[[#This Row],[kontrolna]] =10,"Tak","Nie"))</f>
        <v>Tak</v>
      </c>
    </row>
    <row r="126" spans="1:14" hidden="1" x14ac:dyDescent="0.25">
      <c r="A126">
        <v>8</v>
      </c>
      <c r="B126">
        <v>4</v>
      </c>
      <c r="C126">
        <v>0</v>
      </c>
      <c r="D126">
        <v>5</v>
      </c>
      <c r="E126">
        <v>1</v>
      </c>
      <c r="F126">
        <v>8</v>
      </c>
      <c r="G126">
        <v>4</v>
      </c>
      <c r="H126">
        <v>0</v>
      </c>
      <c r="I126">
        <v>1</v>
      </c>
      <c r="J126">
        <v>4</v>
      </c>
      <c r="K126">
        <v>9</v>
      </c>
      <c r="L126" t="s">
        <v>125</v>
      </c>
      <c r="M12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126" t="str">
        <f>IF(AND(PESELxxx[[#This Row],[kontrolna]]=0,PESELxxx[[#This Row],[suma kontrolna, mod]]=0),"Tak",IF(PESELxxx[[#This Row],[suma kontrolna, mod]]+PESELxxx[[#This Row],[kontrolna]] =10,"Tak","Nie"))</f>
        <v>Tak</v>
      </c>
    </row>
    <row r="127" spans="1:14" hidden="1" x14ac:dyDescent="0.25">
      <c r="A127">
        <v>5</v>
      </c>
      <c r="B127">
        <v>7</v>
      </c>
      <c r="C127">
        <v>0</v>
      </c>
      <c r="D127">
        <v>7</v>
      </c>
      <c r="E127">
        <v>3</v>
      </c>
      <c r="F127">
        <v>1</v>
      </c>
      <c r="G127">
        <v>6</v>
      </c>
      <c r="H127">
        <v>3</v>
      </c>
      <c r="I127">
        <v>0</v>
      </c>
      <c r="J127">
        <v>5</v>
      </c>
      <c r="K127">
        <v>1</v>
      </c>
      <c r="L127" t="s">
        <v>126</v>
      </c>
      <c r="M12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127" t="str">
        <f>IF(AND(PESELxxx[[#This Row],[kontrolna]]=0,PESELxxx[[#This Row],[suma kontrolna, mod]]=0),"Tak",IF(PESELxxx[[#This Row],[suma kontrolna, mod]]+PESELxxx[[#This Row],[kontrolna]] =10,"Tak","Nie"))</f>
        <v>Tak</v>
      </c>
    </row>
    <row r="128" spans="1:14" hidden="1" x14ac:dyDescent="0.25">
      <c r="A128">
        <v>8</v>
      </c>
      <c r="B128">
        <v>1</v>
      </c>
      <c r="C128">
        <v>0</v>
      </c>
      <c r="D128">
        <v>8</v>
      </c>
      <c r="E128">
        <v>1</v>
      </c>
      <c r="F128">
        <v>0</v>
      </c>
      <c r="G128">
        <v>1</v>
      </c>
      <c r="H128">
        <v>0</v>
      </c>
      <c r="I128">
        <v>8</v>
      </c>
      <c r="J128">
        <v>6</v>
      </c>
      <c r="K128">
        <v>3</v>
      </c>
      <c r="L128" t="s">
        <v>127</v>
      </c>
      <c r="M12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128" t="str">
        <f>IF(AND(PESELxxx[[#This Row],[kontrolna]]=0,PESELxxx[[#This Row],[suma kontrolna, mod]]=0),"Tak",IF(PESELxxx[[#This Row],[suma kontrolna, mod]]+PESELxxx[[#This Row],[kontrolna]] =10,"Tak","Nie"))</f>
        <v>Tak</v>
      </c>
    </row>
    <row r="129" spans="1:14" hidden="1" x14ac:dyDescent="0.25">
      <c r="A129">
        <v>8</v>
      </c>
      <c r="B129">
        <v>9</v>
      </c>
      <c r="C129">
        <v>0</v>
      </c>
      <c r="D129">
        <v>6</v>
      </c>
      <c r="E129">
        <v>2</v>
      </c>
      <c r="F129">
        <v>6</v>
      </c>
      <c r="G129">
        <v>4</v>
      </c>
      <c r="H129">
        <v>4</v>
      </c>
      <c r="I129">
        <v>8</v>
      </c>
      <c r="J129">
        <v>2</v>
      </c>
      <c r="K129">
        <v>3</v>
      </c>
      <c r="L129" t="s">
        <v>128</v>
      </c>
      <c r="M12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129" t="str">
        <f>IF(AND(PESELxxx[[#This Row],[kontrolna]]=0,PESELxxx[[#This Row],[suma kontrolna, mod]]=0),"Tak",IF(PESELxxx[[#This Row],[suma kontrolna, mod]]+PESELxxx[[#This Row],[kontrolna]] =10,"Tak","Nie"))</f>
        <v>Tak</v>
      </c>
    </row>
    <row r="130" spans="1:14" hidden="1" x14ac:dyDescent="0.25">
      <c r="A130">
        <v>5</v>
      </c>
      <c r="B130">
        <v>2</v>
      </c>
      <c r="C130">
        <v>1</v>
      </c>
      <c r="D130">
        <v>1</v>
      </c>
      <c r="E130">
        <v>0</v>
      </c>
      <c r="F130">
        <v>4</v>
      </c>
      <c r="G130">
        <v>4</v>
      </c>
      <c r="H130">
        <v>6</v>
      </c>
      <c r="I130">
        <v>1</v>
      </c>
      <c r="J130">
        <v>3</v>
      </c>
      <c r="K130">
        <v>9</v>
      </c>
      <c r="L130" t="s">
        <v>129</v>
      </c>
      <c r="M13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130" t="str">
        <f>IF(AND(PESELxxx[[#This Row],[kontrolna]]=0,PESELxxx[[#This Row],[suma kontrolna, mod]]=0),"Tak",IF(PESELxxx[[#This Row],[suma kontrolna, mod]]+PESELxxx[[#This Row],[kontrolna]] =10,"Tak","Nie"))</f>
        <v>Tak</v>
      </c>
    </row>
    <row r="131" spans="1:14" hidden="1" x14ac:dyDescent="0.25">
      <c r="A131">
        <v>5</v>
      </c>
      <c r="B131">
        <v>0</v>
      </c>
      <c r="C131">
        <v>0</v>
      </c>
      <c r="D131">
        <v>2</v>
      </c>
      <c r="E131">
        <v>1</v>
      </c>
      <c r="F131">
        <v>0</v>
      </c>
      <c r="G131">
        <v>1</v>
      </c>
      <c r="H131">
        <v>1</v>
      </c>
      <c r="I131">
        <v>3</v>
      </c>
      <c r="J131">
        <v>5</v>
      </c>
      <c r="K131">
        <v>2</v>
      </c>
      <c r="L131" t="s">
        <v>130</v>
      </c>
      <c r="M13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131" t="str">
        <f>IF(AND(PESELxxx[[#This Row],[kontrolna]]=0,PESELxxx[[#This Row],[suma kontrolna, mod]]=0),"Tak",IF(PESELxxx[[#This Row],[suma kontrolna, mod]]+PESELxxx[[#This Row],[kontrolna]] =10,"Tak","Nie"))</f>
        <v>Tak</v>
      </c>
    </row>
    <row r="132" spans="1:14" hidden="1" x14ac:dyDescent="0.25">
      <c r="A132">
        <v>6</v>
      </c>
      <c r="B132">
        <v>5</v>
      </c>
      <c r="C132">
        <v>0</v>
      </c>
      <c r="D132">
        <v>9</v>
      </c>
      <c r="E132">
        <v>2</v>
      </c>
      <c r="F132">
        <v>0</v>
      </c>
      <c r="G132">
        <v>5</v>
      </c>
      <c r="H132">
        <v>6</v>
      </c>
      <c r="I132">
        <v>8</v>
      </c>
      <c r="J132">
        <v>9</v>
      </c>
      <c r="K132">
        <v>2</v>
      </c>
      <c r="L132" t="s">
        <v>131</v>
      </c>
      <c r="M13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132" t="str">
        <f>IF(AND(PESELxxx[[#This Row],[kontrolna]]=0,PESELxxx[[#This Row],[suma kontrolna, mod]]=0),"Tak",IF(PESELxxx[[#This Row],[suma kontrolna, mod]]+PESELxxx[[#This Row],[kontrolna]] =10,"Tak","Nie"))</f>
        <v>Tak</v>
      </c>
    </row>
    <row r="133" spans="1:14" hidden="1" x14ac:dyDescent="0.25">
      <c r="A133">
        <v>8</v>
      </c>
      <c r="B133">
        <v>5</v>
      </c>
      <c r="C133">
        <v>0</v>
      </c>
      <c r="D133">
        <v>5</v>
      </c>
      <c r="E133">
        <v>2</v>
      </c>
      <c r="F133">
        <v>6</v>
      </c>
      <c r="G133">
        <v>0</v>
      </c>
      <c r="H133">
        <v>5</v>
      </c>
      <c r="I133">
        <v>1</v>
      </c>
      <c r="J133">
        <v>7</v>
      </c>
      <c r="K133">
        <v>5</v>
      </c>
      <c r="L133" t="s">
        <v>132</v>
      </c>
      <c r="M13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133" t="str">
        <f>IF(AND(PESELxxx[[#This Row],[kontrolna]]=0,PESELxxx[[#This Row],[suma kontrolna, mod]]=0),"Tak",IF(PESELxxx[[#This Row],[suma kontrolna, mod]]+PESELxxx[[#This Row],[kontrolna]] =10,"Tak","Nie"))</f>
        <v>Tak</v>
      </c>
    </row>
    <row r="134" spans="1:14" hidden="1" x14ac:dyDescent="0.25">
      <c r="A134">
        <v>8</v>
      </c>
      <c r="B134">
        <v>9</v>
      </c>
      <c r="C134">
        <v>0</v>
      </c>
      <c r="D134">
        <v>3</v>
      </c>
      <c r="E134">
        <v>2</v>
      </c>
      <c r="F134">
        <v>1</v>
      </c>
      <c r="G134">
        <v>4</v>
      </c>
      <c r="H134">
        <v>3</v>
      </c>
      <c r="I134">
        <v>3</v>
      </c>
      <c r="J134">
        <v>5</v>
      </c>
      <c r="K134">
        <v>0</v>
      </c>
      <c r="L134" t="s">
        <v>133</v>
      </c>
      <c r="M13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134" t="str">
        <f>IF(AND(PESELxxx[[#This Row],[kontrolna]]=0,PESELxxx[[#This Row],[suma kontrolna, mod]]=0),"Tak",IF(PESELxxx[[#This Row],[suma kontrolna, mod]]+PESELxxx[[#This Row],[kontrolna]] =10,"Tak","Nie"))</f>
        <v>Tak</v>
      </c>
    </row>
    <row r="135" spans="1:14" hidden="1" x14ac:dyDescent="0.25">
      <c r="A135">
        <v>7</v>
      </c>
      <c r="B135">
        <v>1</v>
      </c>
      <c r="C135">
        <v>1</v>
      </c>
      <c r="D135">
        <v>2</v>
      </c>
      <c r="E135">
        <v>3</v>
      </c>
      <c r="F135">
        <v>0</v>
      </c>
      <c r="G135">
        <v>6</v>
      </c>
      <c r="H135">
        <v>1</v>
      </c>
      <c r="I135">
        <v>6</v>
      </c>
      <c r="J135">
        <v>4</v>
      </c>
      <c r="K135">
        <v>3</v>
      </c>
      <c r="L135" t="s">
        <v>134</v>
      </c>
      <c r="M13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7</v>
      </c>
      <c r="N135" t="str">
        <f>IF(AND(PESELxxx[[#This Row],[kontrolna]]=0,PESELxxx[[#This Row],[suma kontrolna, mod]]=0),"Tak",IF(PESELxxx[[#This Row],[suma kontrolna, mod]]+PESELxxx[[#This Row],[kontrolna]] =10,"Tak","Nie"))</f>
        <v>Tak</v>
      </c>
    </row>
    <row r="136" spans="1:14" hidden="1" x14ac:dyDescent="0.25">
      <c r="A136">
        <v>7</v>
      </c>
      <c r="B136">
        <v>3</v>
      </c>
      <c r="C136">
        <v>1</v>
      </c>
      <c r="D136">
        <v>0</v>
      </c>
      <c r="E136">
        <v>3</v>
      </c>
      <c r="F136">
        <v>0</v>
      </c>
      <c r="G136">
        <v>0</v>
      </c>
      <c r="H136">
        <v>0</v>
      </c>
      <c r="I136">
        <v>8</v>
      </c>
      <c r="J136">
        <v>4</v>
      </c>
      <c r="K136">
        <v>4</v>
      </c>
      <c r="L136" t="s">
        <v>135</v>
      </c>
      <c r="M13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136" t="str">
        <f>IF(AND(PESELxxx[[#This Row],[kontrolna]]=0,PESELxxx[[#This Row],[suma kontrolna, mod]]=0),"Tak",IF(PESELxxx[[#This Row],[suma kontrolna, mod]]+PESELxxx[[#This Row],[kontrolna]] =10,"Tak","Nie"))</f>
        <v>Tak</v>
      </c>
    </row>
    <row r="137" spans="1:14" hidden="1" x14ac:dyDescent="0.25">
      <c r="A137">
        <v>8</v>
      </c>
      <c r="B137">
        <v>9</v>
      </c>
      <c r="C137">
        <v>0</v>
      </c>
      <c r="D137">
        <v>1</v>
      </c>
      <c r="E137">
        <v>2</v>
      </c>
      <c r="F137">
        <v>6</v>
      </c>
      <c r="G137">
        <v>3</v>
      </c>
      <c r="H137">
        <v>0</v>
      </c>
      <c r="I137">
        <v>3</v>
      </c>
      <c r="J137">
        <v>5</v>
      </c>
      <c r="K137">
        <v>7</v>
      </c>
      <c r="L137" t="s">
        <v>136</v>
      </c>
      <c r="M13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137" t="str">
        <f>IF(AND(PESELxxx[[#This Row],[kontrolna]]=0,PESELxxx[[#This Row],[suma kontrolna, mod]]=0),"Tak",IF(PESELxxx[[#This Row],[suma kontrolna, mod]]+PESELxxx[[#This Row],[kontrolna]] =10,"Tak","Nie"))</f>
        <v>Tak</v>
      </c>
    </row>
    <row r="138" spans="1:14" hidden="1" x14ac:dyDescent="0.25">
      <c r="A138">
        <v>7</v>
      </c>
      <c r="B138">
        <v>3</v>
      </c>
      <c r="C138">
        <v>0</v>
      </c>
      <c r="D138">
        <v>1</v>
      </c>
      <c r="E138">
        <v>0</v>
      </c>
      <c r="F138">
        <v>3</v>
      </c>
      <c r="G138">
        <v>9</v>
      </c>
      <c r="H138">
        <v>9</v>
      </c>
      <c r="I138">
        <v>5</v>
      </c>
      <c r="J138">
        <v>7</v>
      </c>
      <c r="K138">
        <v>6</v>
      </c>
      <c r="L138" t="s">
        <v>137</v>
      </c>
      <c r="M13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4</v>
      </c>
      <c r="N138" t="str">
        <f>IF(AND(PESELxxx[[#This Row],[kontrolna]]=0,PESELxxx[[#This Row],[suma kontrolna, mod]]=0),"Tak",IF(PESELxxx[[#This Row],[suma kontrolna, mod]]+PESELxxx[[#This Row],[kontrolna]] =10,"Tak","Nie"))</f>
        <v>Tak</v>
      </c>
    </row>
    <row r="139" spans="1:14" hidden="1" x14ac:dyDescent="0.25">
      <c r="A139">
        <v>8</v>
      </c>
      <c r="B139">
        <v>7</v>
      </c>
      <c r="C139">
        <v>0</v>
      </c>
      <c r="D139">
        <v>7</v>
      </c>
      <c r="E139">
        <v>0</v>
      </c>
      <c r="F139">
        <v>8</v>
      </c>
      <c r="G139">
        <v>9</v>
      </c>
      <c r="H139">
        <v>5</v>
      </c>
      <c r="I139">
        <v>3</v>
      </c>
      <c r="J139">
        <v>7</v>
      </c>
      <c r="K139">
        <v>2</v>
      </c>
      <c r="L139" t="s">
        <v>138</v>
      </c>
      <c r="M13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139" t="str">
        <f>IF(AND(PESELxxx[[#This Row],[kontrolna]]=0,PESELxxx[[#This Row],[suma kontrolna, mod]]=0),"Tak",IF(PESELxxx[[#This Row],[suma kontrolna, mod]]+PESELxxx[[#This Row],[kontrolna]] =10,"Tak","Nie"))</f>
        <v>Tak</v>
      </c>
    </row>
    <row r="140" spans="1:14" x14ac:dyDescent="0.25">
      <c r="A140">
        <v>6</v>
      </c>
      <c r="B140">
        <v>0</v>
      </c>
      <c r="C140">
        <v>0</v>
      </c>
      <c r="D140">
        <v>6</v>
      </c>
      <c r="E140">
        <v>1</v>
      </c>
      <c r="F140">
        <v>1</v>
      </c>
      <c r="G140">
        <v>4</v>
      </c>
      <c r="H140">
        <v>4</v>
      </c>
      <c r="I140">
        <v>4</v>
      </c>
      <c r="J140">
        <v>6</v>
      </c>
      <c r="K140">
        <v>9</v>
      </c>
      <c r="L140" t="s">
        <v>139</v>
      </c>
      <c r="M14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140" t="str">
        <f>IF(AND(PESELxxx[[#This Row],[kontrolna]]=0,PESELxxx[[#This Row],[suma kontrolna, mod]]=0),"Tak",IF(PESELxxx[[#This Row],[suma kontrolna, mod]]+PESELxxx[[#This Row],[kontrolna]] =10,"Tak","Nie"))</f>
        <v>Nie</v>
      </c>
    </row>
    <row r="141" spans="1:14" hidden="1" x14ac:dyDescent="0.25">
      <c r="A141">
        <v>7</v>
      </c>
      <c r="B141">
        <v>6</v>
      </c>
      <c r="C141">
        <v>0</v>
      </c>
      <c r="D141">
        <v>4</v>
      </c>
      <c r="E141">
        <v>3</v>
      </c>
      <c r="F141">
        <v>1</v>
      </c>
      <c r="G141">
        <v>6</v>
      </c>
      <c r="H141">
        <v>9</v>
      </c>
      <c r="I141">
        <v>9</v>
      </c>
      <c r="J141">
        <v>4</v>
      </c>
      <c r="K141">
        <v>9</v>
      </c>
      <c r="L141" t="s">
        <v>140</v>
      </c>
      <c r="M14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141" t="str">
        <f>IF(AND(PESELxxx[[#This Row],[kontrolna]]=0,PESELxxx[[#This Row],[suma kontrolna, mod]]=0),"Tak",IF(PESELxxx[[#This Row],[suma kontrolna, mod]]+PESELxxx[[#This Row],[kontrolna]] =10,"Tak","Nie"))</f>
        <v>Tak</v>
      </c>
    </row>
    <row r="142" spans="1:14" hidden="1" x14ac:dyDescent="0.25">
      <c r="A142">
        <v>7</v>
      </c>
      <c r="B142">
        <v>9</v>
      </c>
      <c r="C142">
        <v>1</v>
      </c>
      <c r="D142">
        <v>0</v>
      </c>
      <c r="E142">
        <v>1</v>
      </c>
      <c r="F142">
        <v>1</v>
      </c>
      <c r="G142">
        <v>4</v>
      </c>
      <c r="H142">
        <v>6</v>
      </c>
      <c r="I142">
        <v>7</v>
      </c>
      <c r="J142">
        <v>3</v>
      </c>
      <c r="K142">
        <v>7</v>
      </c>
      <c r="L142" t="s">
        <v>141</v>
      </c>
      <c r="M142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142" t="str">
        <f>IF(AND(PESELxxx[[#This Row],[kontrolna]]=0,PESELxxx[[#This Row],[suma kontrolna, mod]]=0),"Tak",IF(PESELxxx[[#This Row],[suma kontrolna, mod]]+PESELxxx[[#This Row],[kontrolna]] =10,"Tak","Nie"))</f>
        <v>Tak</v>
      </c>
    </row>
    <row r="143" spans="1:14" hidden="1" x14ac:dyDescent="0.25">
      <c r="A143">
        <v>7</v>
      </c>
      <c r="B143">
        <v>6</v>
      </c>
      <c r="C143">
        <v>0</v>
      </c>
      <c r="D143">
        <v>4</v>
      </c>
      <c r="E143">
        <v>3</v>
      </c>
      <c r="F143">
        <v>0</v>
      </c>
      <c r="G143">
        <v>5</v>
      </c>
      <c r="H143">
        <v>4</v>
      </c>
      <c r="I143">
        <v>5</v>
      </c>
      <c r="J143">
        <v>5</v>
      </c>
      <c r="K143">
        <v>5</v>
      </c>
      <c r="L143" t="s">
        <v>142</v>
      </c>
      <c r="M143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5</v>
      </c>
      <c r="N143" t="str">
        <f>IF(AND(PESELxxx[[#This Row],[kontrolna]]=0,PESELxxx[[#This Row],[suma kontrolna, mod]]=0),"Tak",IF(PESELxxx[[#This Row],[suma kontrolna, mod]]+PESELxxx[[#This Row],[kontrolna]] =10,"Tak","Nie"))</f>
        <v>Tak</v>
      </c>
    </row>
    <row r="144" spans="1:14" hidden="1" x14ac:dyDescent="0.25">
      <c r="A144">
        <v>8</v>
      </c>
      <c r="B144">
        <v>9</v>
      </c>
      <c r="C144">
        <v>0</v>
      </c>
      <c r="D144">
        <v>8</v>
      </c>
      <c r="E144">
        <v>2</v>
      </c>
      <c r="F144">
        <v>6</v>
      </c>
      <c r="G144">
        <v>0</v>
      </c>
      <c r="H144">
        <v>8</v>
      </c>
      <c r="I144">
        <v>5</v>
      </c>
      <c r="J144">
        <v>9</v>
      </c>
      <c r="K144">
        <v>9</v>
      </c>
      <c r="L144" t="s">
        <v>143</v>
      </c>
      <c r="M144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1</v>
      </c>
      <c r="N144" t="str">
        <f>IF(AND(PESELxxx[[#This Row],[kontrolna]]=0,PESELxxx[[#This Row],[suma kontrolna, mod]]=0),"Tak",IF(PESELxxx[[#This Row],[suma kontrolna, mod]]+PESELxxx[[#This Row],[kontrolna]] =10,"Tak","Nie"))</f>
        <v>Tak</v>
      </c>
    </row>
    <row r="145" spans="1:21" hidden="1" x14ac:dyDescent="0.25">
      <c r="A145">
        <v>7</v>
      </c>
      <c r="B145">
        <v>6</v>
      </c>
      <c r="C145">
        <v>1</v>
      </c>
      <c r="D145">
        <v>2</v>
      </c>
      <c r="E145">
        <v>2</v>
      </c>
      <c r="F145">
        <v>7</v>
      </c>
      <c r="G145">
        <v>5</v>
      </c>
      <c r="H145">
        <v>2</v>
      </c>
      <c r="I145">
        <v>0</v>
      </c>
      <c r="J145">
        <v>2</v>
      </c>
      <c r="K145">
        <v>8</v>
      </c>
      <c r="L145" t="s">
        <v>144</v>
      </c>
      <c r="M145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145" t="str">
        <f>IF(AND(PESELxxx[[#This Row],[kontrolna]]=0,PESELxxx[[#This Row],[suma kontrolna, mod]]=0),"Tak",IF(PESELxxx[[#This Row],[suma kontrolna, mod]]+PESELxxx[[#This Row],[kontrolna]] =10,"Tak","Nie"))</f>
        <v>Tak</v>
      </c>
    </row>
    <row r="146" spans="1:21" x14ac:dyDescent="0.25">
      <c r="A146">
        <v>7</v>
      </c>
      <c r="B146">
        <v>7</v>
      </c>
      <c r="C146">
        <v>1</v>
      </c>
      <c r="D146">
        <v>2</v>
      </c>
      <c r="E146">
        <v>0</v>
      </c>
      <c r="F146">
        <v>8</v>
      </c>
      <c r="G146">
        <v>3</v>
      </c>
      <c r="H146">
        <v>5</v>
      </c>
      <c r="I146">
        <v>8</v>
      </c>
      <c r="J146">
        <v>7</v>
      </c>
      <c r="K146">
        <v>1</v>
      </c>
      <c r="L146" t="s">
        <v>145</v>
      </c>
      <c r="M146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2</v>
      </c>
      <c r="N146" t="str">
        <f>IF(AND(PESELxxx[[#This Row],[kontrolna]]=0,PESELxxx[[#This Row],[suma kontrolna, mod]]=0),"Tak",IF(PESELxxx[[#This Row],[suma kontrolna, mod]]+PESELxxx[[#This Row],[kontrolna]] =10,"Tak","Nie"))</f>
        <v>Nie</v>
      </c>
    </row>
    <row r="147" spans="1:21" hidden="1" x14ac:dyDescent="0.25">
      <c r="A147">
        <v>8</v>
      </c>
      <c r="B147">
        <v>9</v>
      </c>
      <c r="C147">
        <v>0</v>
      </c>
      <c r="D147">
        <v>1</v>
      </c>
      <c r="E147">
        <v>0</v>
      </c>
      <c r="F147">
        <v>2</v>
      </c>
      <c r="G147">
        <v>9</v>
      </c>
      <c r="H147">
        <v>3</v>
      </c>
      <c r="I147">
        <v>6</v>
      </c>
      <c r="J147">
        <v>0</v>
      </c>
      <c r="K147">
        <v>4</v>
      </c>
      <c r="L147" t="s">
        <v>146</v>
      </c>
      <c r="M147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6</v>
      </c>
      <c r="N147" t="str">
        <f>IF(AND(PESELxxx[[#This Row],[kontrolna]]=0,PESELxxx[[#This Row],[suma kontrolna, mod]]=0),"Tak",IF(PESELxxx[[#This Row],[suma kontrolna, mod]]+PESELxxx[[#This Row],[kontrolna]] =10,"Tak","Nie"))</f>
        <v>Tak</v>
      </c>
    </row>
    <row r="148" spans="1:21" hidden="1" x14ac:dyDescent="0.25">
      <c r="A148">
        <v>8</v>
      </c>
      <c r="B148">
        <v>9</v>
      </c>
      <c r="C148">
        <v>0</v>
      </c>
      <c r="D148">
        <v>9</v>
      </c>
      <c r="E148">
        <v>1</v>
      </c>
      <c r="F148">
        <v>4</v>
      </c>
      <c r="G148">
        <v>8</v>
      </c>
      <c r="H148">
        <v>2</v>
      </c>
      <c r="I148">
        <v>2</v>
      </c>
      <c r="J148">
        <v>5</v>
      </c>
      <c r="K148">
        <v>0</v>
      </c>
      <c r="L148" t="s">
        <v>147</v>
      </c>
      <c r="M148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0</v>
      </c>
      <c r="N148" t="str">
        <f>IF(AND(PESELxxx[[#This Row],[kontrolna]]=0,PESELxxx[[#This Row],[suma kontrolna, mod]]=0),"Tak",IF(PESELxxx[[#This Row],[suma kontrolna, mod]]+PESELxxx[[#This Row],[kontrolna]] =10,"Tak","Nie"))</f>
        <v>Tak</v>
      </c>
    </row>
    <row r="149" spans="1:21" hidden="1" x14ac:dyDescent="0.25">
      <c r="A149">
        <v>5</v>
      </c>
      <c r="B149">
        <v>8</v>
      </c>
      <c r="C149">
        <v>1</v>
      </c>
      <c r="D149">
        <v>2</v>
      </c>
      <c r="E149">
        <v>2</v>
      </c>
      <c r="F149">
        <v>1</v>
      </c>
      <c r="G149">
        <v>8</v>
      </c>
      <c r="H149">
        <v>8</v>
      </c>
      <c r="I149">
        <v>0</v>
      </c>
      <c r="J149">
        <v>2</v>
      </c>
      <c r="K149">
        <v>7</v>
      </c>
      <c r="L149" t="s">
        <v>148</v>
      </c>
      <c r="M149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3</v>
      </c>
      <c r="N149" t="str">
        <f>IF(AND(PESELxxx[[#This Row],[kontrolna]]=0,PESELxxx[[#This Row],[suma kontrolna, mod]]=0),"Tak",IF(PESELxxx[[#This Row],[suma kontrolna, mod]]+PESELxxx[[#This Row],[kontrolna]] =10,"Tak","Nie"))</f>
        <v>Tak</v>
      </c>
    </row>
    <row r="150" spans="1:21" hidden="1" x14ac:dyDescent="0.25">
      <c r="A150">
        <v>8</v>
      </c>
      <c r="B150">
        <v>9</v>
      </c>
      <c r="C150">
        <v>0</v>
      </c>
      <c r="D150">
        <v>5</v>
      </c>
      <c r="E150">
        <v>2</v>
      </c>
      <c r="F150">
        <v>2</v>
      </c>
      <c r="G150">
        <v>9</v>
      </c>
      <c r="H150">
        <v>5</v>
      </c>
      <c r="I150">
        <v>1</v>
      </c>
      <c r="J150">
        <v>7</v>
      </c>
      <c r="K150">
        <v>2</v>
      </c>
      <c r="L150" t="s">
        <v>149</v>
      </c>
      <c r="M150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8</v>
      </c>
      <c r="N150" t="str">
        <f>IF(AND(PESELxxx[[#This Row],[kontrolna]]=0,PESELxxx[[#This Row],[suma kontrolna, mod]]=0),"Tak",IF(PESELxxx[[#This Row],[suma kontrolna, mod]]+PESELxxx[[#This Row],[kontrolna]] =10,"Tak","Nie"))</f>
        <v>Tak</v>
      </c>
    </row>
    <row r="151" spans="1:21" hidden="1" x14ac:dyDescent="0.25">
      <c r="A151">
        <v>7</v>
      </c>
      <c r="B151">
        <v>9</v>
      </c>
      <c r="C151">
        <v>0</v>
      </c>
      <c r="D151">
        <v>7</v>
      </c>
      <c r="E151">
        <v>0</v>
      </c>
      <c r="F151">
        <v>6</v>
      </c>
      <c r="G151">
        <v>2</v>
      </c>
      <c r="H151">
        <v>7</v>
      </c>
      <c r="I151">
        <v>8</v>
      </c>
      <c r="J151">
        <v>3</v>
      </c>
      <c r="K151">
        <v>1</v>
      </c>
      <c r="L151" t="s">
        <v>150</v>
      </c>
      <c r="M151">
        <f>MOD(((PESELxxx[[#This Row],[1]]*1) + (PESELxxx[[#This Row],[2]]*3) +(PESELxxx[[#This Row],[3]]*7) +(PESELxxx[[#This Row],[4]]*9) +(PESELxxx[[#This Row],[5]]*1) +(PESELxxx[[#This Row],[6]]*3) +(PESELxxx[[#This Row],[7]]*7) +(PESELxxx[[#This Row],[8]]*9) +(PESELxxx[[#This Row],[9]]*1) +(PESELxxx[[#This Row],[10]]*3)),10)</f>
        <v>9</v>
      </c>
      <c r="N151" t="str">
        <f>IF(AND(PESELxxx[[#This Row],[kontrolna]]=0,PESELxxx[[#This Row],[suma kontrolna, mod]]=0),"Tak",IF(PESELxxx[[#This Row],[suma kontrolna, mod]]+PESELxxx[[#This Row],[kontrolna]] =10,"Tak","Nie"))</f>
        <v>Tak</v>
      </c>
    </row>
    <row r="156" spans="1:21" x14ac:dyDescent="0.25">
      <c r="U156" t="s">
        <v>177</v>
      </c>
    </row>
    <row r="157" spans="1:21" x14ac:dyDescent="0.25">
      <c r="T157" t="s">
        <v>176</v>
      </c>
      <c r="U157" s="3" t="s">
        <v>54</v>
      </c>
    </row>
    <row r="158" spans="1:21" x14ac:dyDescent="0.25">
      <c r="U158" s="4" t="s">
        <v>139</v>
      </c>
    </row>
    <row r="159" spans="1:21" x14ac:dyDescent="0.25">
      <c r="U159" s="3" t="s">
        <v>19</v>
      </c>
    </row>
    <row r="160" spans="1:21" x14ac:dyDescent="0.25">
      <c r="U160" s="3" t="s">
        <v>145</v>
      </c>
    </row>
    <row r="161" spans="21:21" x14ac:dyDescent="0.25">
      <c r="U161" s="3" t="s">
        <v>21</v>
      </c>
    </row>
    <row r="162" spans="21:21" x14ac:dyDescent="0.25">
      <c r="U162" s="4" t="s">
        <v>36</v>
      </c>
    </row>
    <row r="163" spans="21:21" x14ac:dyDescent="0.25">
      <c r="U163" s="4" t="s">
        <v>15</v>
      </c>
    </row>
    <row r="164" spans="21:21" x14ac:dyDescent="0.25">
      <c r="U164" s="5" t="s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D359-4230-479D-8FB7-05064D700071}">
  <dimension ref="A1:M151"/>
  <sheetViews>
    <sheetView tabSelected="1" workbookViewId="0">
      <selection activeCell="G2" sqref="G2"/>
    </sheetView>
  </sheetViews>
  <sheetFormatPr defaultRowHeight="15" x14ac:dyDescent="0.25"/>
  <cols>
    <col min="1" max="1" width="12" bestFit="1" customWidth="1"/>
    <col min="2" max="2" width="11" bestFit="1" customWidth="1"/>
    <col min="3" max="3" width="9.140625" style="6"/>
    <col min="9" max="9" width="14.140625" bestFit="1" customWidth="1"/>
    <col min="11" max="11" width="9.140625" style="7"/>
  </cols>
  <sheetData>
    <row r="1" spans="1:13" x14ac:dyDescent="0.25">
      <c r="A1" t="s">
        <v>0</v>
      </c>
      <c r="B1" t="s">
        <v>178</v>
      </c>
      <c r="C1" s="6" t="s">
        <v>179</v>
      </c>
      <c r="G1" t="s">
        <v>183</v>
      </c>
      <c r="H1" t="s">
        <v>182</v>
      </c>
      <c r="I1" t="s">
        <v>180</v>
      </c>
      <c r="J1" t="s">
        <v>181</v>
      </c>
      <c r="M1">
        <v>150</v>
      </c>
    </row>
    <row r="2" spans="1:13" x14ac:dyDescent="0.25">
      <c r="A2" t="s">
        <v>1</v>
      </c>
      <c r="B2" t="str">
        <f>MID(PESEL565[[#This Row],[PESEL]],1,2)</f>
        <v>53</v>
      </c>
      <c r="C2" s="6">
        <f t="shared" ref="C2:C33" si="0">VALUE(B2)</f>
        <v>53</v>
      </c>
      <c r="H2" s="7">
        <f xml:space="preserve"> J2/ $M$1</f>
        <v>0.14666666666666667</v>
      </c>
      <c r="I2">
        <v>50</v>
      </c>
      <c r="J2">
        <f>COUNTIFS(C:C, "&gt;=50",C:C, "&lt;60")</f>
        <v>22</v>
      </c>
    </row>
    <row r="3" spans="1:13" x14ac:dyDescent="0.25">
      <c r="A3" t="s">
        <v>2</v>
      </c>
      <c r="B3" t="str">
        <f>MID(PESEL565[[#This Row],[PESEL]],1,2)</f>
        <v>89</v>
      </c>
      <c r="C3" s="6">
        <f t="shared" si="0"/>
        <v>89</v>
      </c>
      <c r="H3" s="7">
        <f t="shared" ref="H3:H6" si="1" xml:space="preserve"> J3/ $M$1</f>
        <v>0.18666666666666668</v>
      </c>
      <c r="I3">
        <v>60</v>
      </c>
      <c r="J3">
        <f>COUNTIFS(C:C, "&gt;=60",C:C, "&lt;70")</f>
        <v>28</v>
      </c>
    </row>
    <row r="4" spans="1:13" x14ac:dyDescent="0.25">
      <c r="A4" t="s">
        <v>3</v>
      </c>
      <c r="B4" t="str">
        <f>MID(PESEL565[[#This Row],[PESEL]],1,2)</f>
        <v>85</v>
      </c>
      <c r="C4" s="6">
        <f t="shared" si="0"/>
        <v>85</v>
      </c>
      <c r="H4" s="7">
        <f t="shared" si="1"/>
        <v>0.24</v>
      </c>
      <c r="I4">
        <v>70</v>
      </c>
      <c r="J4">
        <f>COUNTIFS(C:C, "&gt;=70",C:C, "&lt;80")</f>
        <v>36</v>
      </c>
    </row>
    <row r="5" spans="1:13" x14ac:dyDescent="0.25">
      <c r="A5" t="s">
        <v>4</v>
      </c>
      <c r="B5" t="str">
        <f>MID(PESEL565[[#This Row],[PESEL]],1,2)</f>
        <v>86</v>
      </c>
      <c r="C5" s="6">
        <f t="shared" si="0"/>
        <v>86</v>
      </c>
      <c r="H5" s="7">
        <f t="shared" si="1"/>
        <v>0.38666666666666666</v>
      </c>
      <c r="I5">
        <v>80</v>
      </c>
      <c r="J5">
        <f>COUNTIFS(C:C, "&gt;=80",C:C, "&lt;90")</f>
        <v>58</v>
      </c>
    </row>
    <row r="6" spans="1:13" x14ac:dyDescent="0.25">
      <c r="A6" t="s">
        <v>5</v>
      </c>
      <c r="B6" t="str">
        <f>MID(PESEL565[[#This Row],[PESEL]],1,2)</f>
        <v>89</v>
      </c>
      <c r="C6" s="6">
        <f t="shared" si="0"/>
        <v>89</v>
      </c>
      <c r="H6" s="7">
        <f t="shared" si="1"/>
        <v>0.04</v>
      </c>
      <c r="I6">
        <v>90</v>
      </c>
      <c r="J6">
        <f>COUNTIFS(C:C, "&gt;=90",C:C, "&lt;100")</f>
        <v>6</v>
      </c>
    </row>
    <row r="7" spans="1:13" x14ac:dyDescent="0.25">
      <c r="A7" t="s">
        <v>6</v>
      </c>
      <c r="B7" t="str">
        <f>MID(PESEL565[[#This Row],[PESEL]],1,2)</f>
        <v>62</v>
      </c>
      <c r="C7" s="6">
        <f t="shared" si="0"/>
        <v>62</v>
      </c>
      <c r="H7" s="8"/>
    </row>
    <row r="8" spans="1:13" x14ac:dyDescent="0.25">
      <c r="A8" t="s">
        <v>7</v>
      </c>
      <c r="B8" t="str">
        <f>MID(PESEL565[[#This Row],[PESEL]],1,2)</f>
        <v>62</v>
      </c>
      <c r="C8" s="6">
        <f t="shared" si="0"/>
        <v>62</v>
      </c>
    </row>
    <row r="9" spans="1:13" x14ac:dyDescent="0.25">
      <c r="A9" t="s">
        <v>8</v>
      </c>
      <c r="B9" t="str">
        <f>MID(PESEL565[[#This Row],[PESEL]],1,2)</f>
        <v>64</v>
      </c>
      <c r="C9" s="6">
        <f t="shared" si="0"/>
        <v>64</v>
      </c>
    </row>
    <row r="10" spans="1:13" x14ac:dyDescent="0.25">
      <c r="A10" t="s">
        <v>9</v>
      </c>
      <c r="B10" t="str">
        <f>MID(PESEL565[[#This Row],[PESEL]],1,2)</f>
        <v>88</v>
      </c>
      <c r="C10" s="6">
        <f t="shared" si="0"/>
        <v>88</v>
      </c>
    </row>
    <row r="11" spans="1:13" x14ac:dyDescent="0.25">
      <c r="A11" t="s">
        <v>10</v>
      </c>
      <c r="B11" t="str">
        <f>MID(PESEL565[[#This Row],[PESEL]],1,2)</f>
        <v>75</v>
      </c>
      <c r="C11" s="6">
        <f t="shared" si="0"/>
        <v>75</v>
      </c>
    </row>
    <row r="12" spans="1:13" x14ac:dyDescent="0.25">
      <c r="A12" t="s">
        <v>11</v>
      </c>
      <c r="B12" t="str">
        <f>MID(PESEL565[[#This Row],[PESEL]],1,2)</f>
        <v>74</v>
      </c>
      <c r="C12" s="6">
        <f t="shared" si="0"/>
        <v>74</v>
      </c>
    </row>
    <row r="13" spans="1:13" x14ac:dyDescent="0.25">
      <c r="A13" t="s">
        <v>12</v>
      </c>
      <c r="B13" t="str">
        <f>MID(PESEL565[[#This Row],[PESEL]],1,2)</f>
        <v>67</v>
      </c>
      <c r="C13" s="6">
        <f t="shared" si="0"/>
        <v>67</v>
      </c>
    </row>
    <row r="14" spans="1:13" x14ac:dyDescent="0.25">
      <c r="A14" t="s">
        <v>13</v>
      </c>
      <c r="B14" t="str">
        <f>MID(PESEL565[[#This Row],[PESEL]],1,2)</f>
        <v>89</v>
      </c>
      <c r="C14" s="6">
        <f t="shared" si="0"/>
        <v>89</v>
      </c>
    </row>
    <row r="15" spans="1:13" x14ac:dyDescent="0.25">
      <c r="A15" t="s">
        <v>14</v>
      </c>
      <c r="B15" t="str">
        <f>MID(PESEL565[[#This Row],[PESEL]],1,2)</f>
        <v>52</v>
      </c>
      <c r="C15" s="6">
        <f t="shared" si="0"/>
        <v>52</v>
      </c>
    </row>
    <row r="16" spans="1:13" x14ac:dyDescent="0.25">
      <c r="A16" t="s">
        <v>15</v>
      </c>
      <c r="B16" t="str">
        <f>MID(PESEL565[[#This Row],[PESEL]],1,2)</f>
        <v>91</v>
      </c>
      <c r="C16" s="6">
        <f t="shared" si="0"/>
        <v>91</v>
      </c>
    </row>
    <row r="17" spans="1:3" x14ac:dyDescent="0.25">
      <c r="A17" t="s">
        <v>16</v>
      </c>
      <c r="B17" t="str">
        <f>MID(PESEL565[[#This Row],[PESEL]],1,2)</f>
        <v>75</v>
      </c>
      <c r="C17" s="6">
        <f t="shared" si="0"/>
        <v>75</v>
      </c>
    </row>
    <row r="18" spans="1:3" x14ac:dyDescent="0.25">
      <c r="A18" t="s">
        <v>17</v>
      </c>
      <c r="B18" t="str">
        <f>MID(PESEL565[[#This Row],[PESEL]],1,2)</f>
        <v>55</v>
      </c>
      <c r="C18" s="6">
        <f t="shared" si="0"/>
        <v>55</v>
      </c>
    </row>
    <row r="19" spans="1:3" x14ac:dyDescent="0.25">
      <c r="A19" t="s">
        <v>18</v>
      </c>
      <c r="B19" t="str">
        <f>MID(PESEL565[[#This Row],[PESEL]],1,2)</f>
        <v>67</v>
      </c>
      <c r="C19" s="6">
        <f t="shared" si="0"/>
        <v>67</v>
      </c>
    </row>
    <row r="20" spans="1:3" x14ac:dyDescent="0.25">
      <c r="A20" t="s">
        <v>19</v>
      </c>
      <c r="B20" t="str">
        <f>MID(PESEL565[[#This Row],[PESEL]],1,2)</f>
        <v>77</v>
      </c>
      <c r="C20" s="6">
        <f t="shared" si="0"/>
        <v>77</v>
      </c>
    </row>
    <row r="21" spans="1:3" x14ac:dyDescent="0.25">
      <c r="A21" t="s">
        <v>20</v>
      </c>
      <c r="B21" t="str">
        <f>MID(PESEL565[[#This Row],[PESEL]],1,2)</f>
        <v>92</v>
      </c>
      <c r="C21" s="6">
        <f t="shared" si="0"/>
        <v>92</v>
      </c>
    </row>
    <row r="22" spans="1:3" x14ac:dyDescent="0.25">
      <c r="A22" t="s">
        <v>21</v>
      </c>
      <c r="B22" t="str">
        <f>MID(PESEL565[[#This Row],[PESEL]],1,2)</f>
        <v>83</v>
      </c>
      <c r="C22" s="6">
        <f t="shared" si="0"/>
        <v>83</v>
      </c>
    </row>
    <row r="23" spans="1:3" x14ac:dyDescent="0.25">
      <c r="A23" t="s">
        <v>22</v>
      </c>
      <c r="B23" t="str">
        <f>MID(PESEL565[[#This Row],[PESEL]],1,2)</f>
        <v>86</v>
      </c>
      <c r="C23" s="6">
        <f t="shared" si="0"/>
        <v>86</v>
      </c>
    </row>
    <row r="24" spans="1:3" x14ac:dyDescent="0.25">
      <c r="A24" t="s">
        <v>23</v>
      </c>
      <c r="B24" t="str">
        <f>MID(PESEL565[[#This Row],[PESEL]],1,2)</f>
        <v>71</v>
      </c>
      <c r="C24" s="6">
        <f t="shared" si="0"/>
        <v>71</v>
      </c>
    </row>
    <row r="25" spans="1:3" x14ac:dyDescent="0.25">
      <c r="A25" t="s">
        <v>24</v>
      </c>
      <c r="B25" t="str">
        <f>MID(PESEL565[[#This Row],[PESEL]],1,2)</f>
        <v>73</v>
      </c>
      <c r="C25" s="6">
        <f t="shared" si="0"/>
        <v>73</v>
      </c>
    </row>
    <row r="26" spans="1:3" x14ac:dyDescent="0.25">
      <c r="A26" t="s">
        <v>25</v>
      </c>
      <c r="B26" t="str">
        <f>MID(PESEL565[[#This Row],[PESEL]],1,2)</f>
        <v>74</v>
      </c>
      <c r="C26" s="6">
        <f t="shared" si="0"/>
        <v>74</v>
      </c>
    </row>
    <row r="27" spans="1:3" x14ac:dyDescent="0.25">
      <c r="A27" t="s">
        <v>26</v>
      </c>
      <c r="B27" t="str">
        <f>MID(PESEL565[[#This Row],[PESEL]],1,2)</f>
        <v>85</v>
      </c>
      <c r="C27" s="6">
        <f t="shared" si="0"/>
        <v>85</v>
      </c>
    </row>
    <row r="28" spans="1:3" x14ac:dyDescent="0.25">
      <c r="A28" t="s">
        <v>27</v>
      </c>
      <c r="B28" t="str">
        <f>MID(PESEL565[[#This Row],[PESEL]],1,2)</f>
        <v>70</v>
      </c>
      <c r="C28" s="6">
        <f t="shared" si="0"/>
        <v>70</v>
      </c>
    </row>
    <row r="29" spans="1:3" x14ac:dyDescent="0.25">
      <c r="A29" t="s">
        <v>28</v>
      </c>
      <c r="B29" t="str">
        <f>MID(PESEL565[[#This Row],[PESEL]],1,2)</f>
        <v>89</v>
      </c>
      <c r="C29" s="6">
        <f t="shared" si="0"/>
        <v>89</v>
      </c>
    </row>
    <row r="30" spans="1:3" x14ac:dyDescent="0.25">
      <c r="A30" t="s">
        <v>29</v>
      </c>
      <c r="B30" t="str">
        <f>MID(PESEL565[[#This Row],[PESEL]],1,2)</f>
        <v>64</v>
      </c>
      <c r="C30" s="6">
        <f t="shared" si="0"/>
        <v>64</v>
      </c>
    </row>
    <row r="31" spans="1:3" x14ac:dyDescent="0.25">
      <c r="A31" t="s">
        <v>30</v>
      </c>
      <c r="B31" t="str">
        <f>MID(PESEL565[[#This Row],[PESEL]],1,2)</f>
        <v>66</v>
      </c>
      <c r="C31" s="6">
        <f t="shared" si="0"/>
        <v>66</v>
      </c>
    </row>
    <row r="32" spans="1:3" x14ac:dyDescent="0.25">
      <c r="A32" t="s">
        <v>31</v>
      </c>
      <c r="B32" t="str">
        <f>MID(PESEL565[[#This Row],[PESEL]],1,2)</f>
        <v>63</v>
      </c>
      <c r="C32" s="6">
        <f t="shared" si="0"/>
        <v>63</v>
      </c>
    </row>
    <row r="33" spans="1:3" x14ac:dyDescent="0.25">
      <c r="A33" t="s">
        <v>32</v>
      </c>
      <c r="B33" t="str">
        <f>MID(PESEL565[[#This Row],[PESEL]],1,2)</f>
        <v>89</v>
      </c>
      <c r="C33" s="6">
        <f t="shared" si="0"/>
        <v>89</v>
      </c>
    </row>
    <row r="34" spans="1:3" x14ac:dyDescent="0.25">
      <c r="A34" t="s">
        <v>33</v>
      </c>
      <c r="B34" t="str">
        <f>MID(PESEL565[[#This Row],[PESEL]],1,2)</f>
        <v>74</v>
      </c>
      <c r="C34" s="6">
        <f t="shared" ref="C34:C65" si="2">VALUE(B34)</f>
        <v>74</v>
      </c>
    </row>
    <row r="35" spans="1:3" x14ac:dyDescent="0.25">
      <c r="A35" t="s">
        <v>34</v>
      </c>
      <c r="B35" t="str">
        <f>MID(PESEL565[[#This Row],[PESEL]],1,2)</f>
        <v>88</v>
      </c>
      <c r="C35" s="6">
        <f t="shared" si="2"/>
        <v>88</v>
      </c>
    </row>
    <row r="36" spans="1:3" x14ac:dyDescent="0.25">
      <c r="A36" t="s">
        <v>35</v>
      </c>
      <c r="B36" t="str">
        <f>MID(PESEL565[[#This Row],[PESEL]],1,2)</f>
        <v>70</v>
      </c>
      <c r="C36" s="6">
        <f t="shared" si="2"/>
        <v>70</v>
      </c>
    </row>
    <row r="37" spans="1:3" x14ac:dyDescent="0.25">
      <c r="A37" t="s">
        <v>36</v>
      </c>
      <c r="B37" t="str">
        <f>MID(PESEL565[[#This Row],[PESEL]],1,2)</f>
        <v>89</v>
      </c>
      <c r="C37" s="6">
        <f t="shared" si="2"/>
        <v>89</v>
      </c>
    </row>
    <row r="38" spans="1:3" x14ac:dyDescent="0.25">
      <c r="A38" t="s">
        <v>37</v>
      </c>
      <c r="B38" t="str">
        <f>MID(PESEL565[[#This Row],[PESEL]],1,2)</f>
        <v>66</v>
      </c>
      <c r="C38" s="6">
        <f t="shared" si="2"/>
        <v>66</v>
      </c>
    </row>
    <row r="39" spans="1:3" x14ac:dyDescent="0.25">
      <c r="A39" t="s">
        <v>38</v>
      </c>
      <c r="B39" t="str">
        <f>MID(PESEL565[[#This Row],[PESEL]],1,2)</f>
        <v>56</v>
      </c>
      <c r="C39" s="6">
        <f t="shared" si="2"/>
        <v>56</v>
      </c>
    </row>
    <row r="40" spans="1:3" x14ac:dyDescent="0.25">
      <c r="A40" t="s">
        <v>39</v>
      </c>
      <c r="B40" t="str">
        <f>MID(PESEL565[[#This Row],[PESEL]],1,2)</f>
        <v>78</v>
      </c>
      <c r="C40" s="6">
        <f t="shared" si="2"/>
        <v>78</v>
      </c>
    </row>
    <row r="41" spans="1:3" x14ac:dyDescent="0.25">
      <c r="A41" t="s">
        <v>40</v>
      </c>
      <c r="B41" t="str">
        <f>MID(PESEL565[[#This Row],[PESEL]],1,2)</f>
        <v>88</v>
      </c>
      <c r="C41" s="6">
        <f t="shared" si="2"/>
        <v>88</v>
      </c>
    </row>
    <row r="42" spans="1:3" x14ac:dyDescent="0.25">
      <c r="A42" t="s">
        <v>41</v>
      </c>
      <c r="B42" t="str">
        <f>MID(PESEL565[[#This Row],[PESEL]],1,2)</f>
        <v>71</v>
      </c>
      <c r="C42" s="6">
        <f t="shared" si="2"/>
        <v>71</v>
      </c>
    </row>
    <row r="43" spans="1:3" x14ac:dyDescent="0.25">
      <c r="A43" t="s">
        <v>42</v>
      </c>
      <c r="B43" t="str">
        <f>MID(PESEL565[[#This Row],[PESEL]],1,2)</f>
        <v>64</v>
      </c>
      <c r="C43" s="6">
        <f t="shared" si="2"/>
        <v>64</v>
      </c>
    </row>
    <row r="44" spans="1:3" x14ac:dyDescent="0.25">
      <c r="A44" t="s">
        <v>43</v>
      </c>
      <c r="B44" t="str">
        <f>MID(PESEL565[[#This Row],[PESEL]],1,2)</f>
        <v>65</v>
      </c>
      <c r="C44" s="6">
        <f t="shared" si="2"/>
        <v>65</v>
      </c>
    </row>
    <row r="45" spans="1:3" x14ac:dyDescent="0.25">
      <c r="A45" t="s">
        <v>44</v>
      </c>
      <c r="B45" t="str">
        <f>MID(PESEL565[[#This Row],[PESEL]],1,2)</f>
        <v>68</v>
      </c>
      <c r="C45" s="6">
        <f t="shared" si="2"/>
        <v>68</v>
      </c>
    </row>
    <row r="46" spans="1:3" x14ac:dyDescent="0.25">
      <c r="A46" t="s">
        <v>45</v>
      </c>
      <c r="B46" t="str">
        <f>MID(PESEL565[[#This Row],[PESEL]],1,2)</f>
        <v>70</v>
      </c>
      <c r="C46" s="6">
        <f t="shared" si="2"/>
        <v>70</v>
      </c>
    </row>
    <row r="47" spans="1:3" x14ac:dyDescent="0.25">
      <c r="A47" t="s">
        <v>46</v>
      </c>
      <c r="B47" t="str">
        <f>MID(PESEL565[[#This Row],[PESEL]],1,2)</f>
        <v>77</v>
      </c>
      <c r="C47" s="6">
        <f t="shared" si="2"/>
        <v>77</v>
      </c>
    </row>
    <row r="48" spans="1:3" x14ac:dyDescent="0.25">
      <c r="A48" t="s">
        <v>47</v>
      </c>
      <c r="B48" t="str">
        <f>MID(PESEL565[[#This Row],[PESEL]],1,2)</f>
        <v>78</v>
      </c>
      <c r="C48" s="6">
        <f t="shared" si="2"/>
        <v>78</v>
      </c>
    </row>
    <row r="49" spans="1:3" x14ac:dyDescent="0.25">
      <c r="A49" t="s">
        <v>48</v>
      </c>
      <c r="B49" t="str">
        <f>MID(PESEL565[[#This Row],[PESEL]],1,2)</f>
        <v>79</v>
      </c>
      <c r="C49" s="6">
        <f t="shared" si="2"/>
        <v>79</v>
      </c>
    </row>
    <row r="50" spans="1:3" x14ac:dyDescent="0.25">
      <c r="A50" t="s">
        <v>49</v>
      </c>
      <c r="B50" t="str">
        <f>MID(PESEL565[[#This Row],[PESEL]],1,2)</f>
        <v>74</v>
      </c>
      <c r="C50" s="6">
        <f t="shared" si="2"/>
        <v>74</v>
      </c>
    </row>
    <row r="51" spans="1:3" x14ac:dyDescent="0.25">
      <c r="A51" t="s">
        <v>50</v>
      </c>
      <c r="B51" t="str">
        <f>MID(PESEL565[[#This Row],[PESEL]],1,2)</f>
        <v>89</v>
      </c>
      <c r="C51" s="6">
        <f t="shared" si="2"/>
        <v>89</v>
      </c>
    </row>
    <row r="52" spans="1:3" x14ac:dyDescent="0.25">
      <c r="A52" t="s">
        <v>51</v>
      </c>
      <c r="B52" t="str">
        <f>MID(PESEL565[[#This Row],[PESEL]],1,2)</f>
        <v>86</v>
      </c>
      <c r="C52" s="6">
        <f t="shared" si="2"/>
        <v>86</v>
      </c>
    </row>
    <row r="53" spans="1:3" x14ac:dyDescent="0.25">
      <c r="A53" t="s">
        <v>52</v>
      </c>
      <c r="B53" t="str">
        <f>MID(PESEL565[[#This Row],[PESEL]],1,2)</f>
        <v>63</v>
      </c>
      <c r="C53" s="6">
        <f t="shared" si="2"/>
        <v>63</v>
      </c>
    </row>
    <row r="54" spans="1:3" x14ac:dyDescent="0.25">
      <c r="A54" t="s">
        <v>53</v>
      </c>
      <c r="B54" t="str">
        <f>MID(PESEL565[[#This Row],[PESEL]],1,2)</f>
        <v>90</v>
      </c>
      <c r="C54" s="6">
        <f t="shared" si="2"/>
        <v>90</v>
      </c>
    </row>
    <row r="55" spans="1:3" x14ac:dyDescent="0.25">
      <c r="A55" t="s">
        <v>54</v>
      </c>
      <c r="B55" t="str">
        <f>MID(PESEL565[[#This Row],[PESEL]],1,2)</f>
        <v>54</v>
      </c>
      <c r="C55" s="6">
        <f t="shared" si="2"/>
        <v>54</v>
      </c>
    </row>
    <row r="56" spans="1:3" x14ac:dyDescent="0.25">
      <c r="A56" t="s">
        <v>55</v>
      </c>
      <c r="B56" t="str">
        <f>MID(PESEL565[[#This Row],[PESEL]],1,2)</f>
        <v>69</v>
      </c>
      <c r="C56" s="6">
        <f t="shared" si="2"/>
        <v>69</v>
      </c>
    </row>
    <row r="57" spans="1:3" x14ac:dyDescent="0.25">
      <c r="A57" t="s">
        <v>56</v>
      </c>
      <c r="B57" t="str">
        <f>MID(PESEL565[[#This Row],[PESEL]],1,2)</f>
        <v>84</v>
      </c>
      <c r="C57" s="6">
        <f t="shared" si="2"/>
        <v>84</v>
      </c>
    </row>
    <row r="58" spans="1:3" x14ac:dyDescent="0.25">
      <c r="A58" t="s">
        <v>57</v>
      </c>
      <c r="B58" t="str">
        <f>MID(PESEL565[[#This Row],[PESEL]],1,2)</f>
        <v>66</v>
      </c>
      <c r="C58" s="6">
        <f t="shared" si="2"/>
        <v>66</v>
      </c>
    </row>
    <row r="59" spans="1:3" x14ac:dyDescent="0.25">
      <c r="A59" t="s">
        <v>58</v>
      </c>
      <c r="B59" t="str">
        <f>MID(PESEL565[[#This Row],[PESEL]],1,2)</f>
        <v>71</v>
      </c>
      <c r="C59" s="6">
        <f t="shared" si="2"/>
        <v>71</v>
      </c>
    </row>
    <row r="60" spans="1:3" x14ac:dyDescent="0.25">
      <c r="A60" t="s">
        <v>59</v>
      </c>
      <c r="B60" t="str">
        <f>MID(PESEL565[[#This Row],[PESEL]],1,2)</f>
        <v>89</v>
      </c>
      <c r="C60" s="6">
        <f t="shared" si="2"/>
        <v>89</v>
      </c>
    </row>
    <row r="61" spans="1:3" x14ac:dyDescent="0.25">
      <c r="A61" t="s">
        <v>60</v>
      </c>
      <c r="B61" t="str">
        <f>MID(PESEL565[[#This Row],[PESEL]],1,2)</f>
        <v>90</v>
      </c>
      <c r="C61" s="6">
        <f t="shared" si="2"/>
        <v>90</v>
      </c>
    </row>
    <row r="62" spans="1:3" x14ac:dyDescent="0.25">
      <c r="A62" t="s">
        <v>61</v>
      </c>
      <c r="B62" t="str">
        <f>MID(PESEL565[[#This Row],[PESEL]],1,2)</f>
        <v>75</v>
      </c>
      <c r="C62" s="6">
        <f t="shared" si="2"/>
        <v>75</v>
      </c>
    </row>
    <row r="63" spans="1:3" x14ac:dyDescent="0.25">
      <c r="A63" t="s">
        <v>62</v>
      </c>
      <c r="B63" t="str">
        <f>MID(PESEL565[[#This Row],[PESEL]],1,2)</f>
        <v>73</v>
      </c>
      <c r="C63" s="6">
        <f t="shared" si="2"/>
        <v>73</v>
      </c>
    </row>
    <row r="64" spans="1:3" x14ac:dyDescent="0.25">
      <c r="A64" t="s">
        <v>63</v>
      </c>
      <c r="B64" t="str">
        <f>MID(PESEL565[[#This Row],[PESEL]],1,2)</f>
        <v>85</v>
      </c>
      <c r="C64" s="6">
        <f t="shared" si="2"/>
        <v>85</v>
      </c>
    </row>
    <row r="65" spans="1:3" x14ac:dyDescent="0.25">
      <c r="A65" t="s">
        <v>64</v>
      </c>
      <c r="B65" t="str">
        <f>MID(PESEL565[[#This Row],[PESEL]],1,2)</f>
        <v>85</v>
      </c>
      <c r="C65" s="6">
        <f t="shared" si="2"/>
        <v>85</v>
      </c>
    </row>
    <row r="66" spans="1:3" x14ac:dyDescent="0.25">
      <c r="A66" t="s">
        <v>65</v>
      </c>
      <c r="B66" t="str">
        <f>MID(PESEL565[[#This Row],[PESEL]],1,2)</f>
        <v>55</v>
      </c>
      <c r="C66" s="6">
        <f t="shared" ref="C66:C97" si="3">VALUE(B66)</f>
        <v>55</v>
      </c>
    </row>
    <row r="67" spans="1:3" x14ac:dyDescent="0.25">
      <c r="A67" t="s">
        <v>66</v>
      </c>
      <c r="B67" t="str">
        <f>MID(PESEL565[[#This Row],[PESEL]],1,2)</f>
        <v>83</v>
      </c>
      <c r="C67" s="6">
        <f t="shared" si="3"/>
        <v>83</v>
      </c>
    </row>
    <row r="68" spans="1:3" x14ac:dyDescent="0.25">
      <c r="A68" t="s">
        <v>67</v>
      </c>
      <c r="B68" t="str">
        <f>MID(PESEL565[[#This Row],[PESEL]],1,2)</f>
        <v>86</v>
      </c>
      <c r="C68" s="6">
        <f t="shared" si="3"/>
        <v>86</v>
      </c>
    </row>
    <row r="69" spans="1:3" x14ac:dyDescent="0.25">
      <c r="A69" t="s">
        <v>68</v>
      </c>
      <c r="B69" t="str">
        <f>MID(PESEL565[[#This Row],[PESEL]],1,2)</f>
        <v>59</v>
      </c>
      <c r="C69" s="6">
        <f t="shared" si="3"/>
        <v>59</v>
      </c>
    </row>
    <row r="70" spans="1:3" x14ac:dyDescent="0.25">
      <c r="A70" t="s">
        <v>69</v>
      </c>
      <c r="B70" t="str">
        <f>MID(PESEL565[[#This Row],[PESEL]],1,2)</f>
        <v>66</v>
      </c>
      <c r="C70" s="6">
        <f t="shared" si="3"/>
        <v>66</v>
      </c>
    </row>
    <row r="71" spans="1:3" x14ac:dyDescent="0.25">
      <c r="A71" t="s">
        <v>70</v>
      </c>
      <c r="B71" t="str">
        <f>MID(PESEL565[[#This Row],[PESEL]],1,2)</f>
        <v>67</v>
      </c>
      <c r="C71" s="6">
        <f t="shared" si="3"/>
        <v>67</v>
      </c>
    </row>
    <row r="72" spans="1:3" x14ac:dyDescent="0.25">
      <c r="A72" t="s">
        <v>71</v>
      </c>
      <c r="B72" t="str">
        <f>MID(PESEL565[[#This Row],[PESEL]],1,2)</f>
        <v>89</v>
      </c>
      <c r="C72" s="6">
        <f t="shared" si="3"/>
        <v>89</v>
      </c>
    </row>
    <row r="73" spans="1:3" x14ac:dyDescent="0.25">
      <c r="A73" t="s">
        <v>72</v>
      </c>
      <c r="B73" t="str">
        <f>MID(PESEL565[[#This Row],[PESEL]],1,2)</f>
        <v>70</v>
      </c>
      <c r="C73" s="6">
        <f t="shared" si="3"/>
        <v>70</v>
      </c>
    </row>
    <row r="74" spans="1:3" x14ac:dyDescent="0.25">
      <c r="A74" t="s">
        <v>73</v>
      </c>
      <c r="B74" t="str">
        <f>MID(PESEL565[[#This Row],[PESEL]],1,2)</f>
        <v>76</v>
      </c>
      <c r="C74" s="6">
        <f t="shared" si="3"/>
        <v>76</v>
      </c>
    </row>
    <row r="75" spans="1:3" x14ac:dyDescent="0.25">
      <c r="A75" t="s">
        <v>74</v>
      </c>
      <c r="B75" t="str">
        <f>MID(PESEL565[[#This Row],[PESEL]],1,2)</f>
        <v>72</v>
      </c>
      <c r="C75" s="6">
        <f t="shared" si="3"/>
        <v>72</v>
      </c>
    </row>
    <row r="76" spans="1:3" x14ac:dyDescent="0.25">
      <c r="A76" t="s">
        <v>75</v>
      </c>
      <c r="B76" t="str">
        <f>MID(PESEL565[[#This Row],[PESEL]],1,2)</f>
        <v>61</v>
      </c>
      <c r="C76" s="6">
        <f t="shared" si="3"/>
        <v>61</v>
      </c>
    </row>
    <row r="77" spans="1:3" x14ac:dyDescent="0.25">
      <c r="A77" t="s">
        <v>76</v>
      </c>
      <c r="B77" t="str">
        <f>MID(PESEL565[[#This Row],[PESEL]],1,2)</f>
        <v>79</v>
      </c>
      <c r="C77" s="6">
        <f t="shared" si="3"/>
        <v>79</v>
      </c>
    </row>
    <row r="78" spans="1:3" x14ac:dyDescent="0.25">
      <c r="A78" t="s">
        <v>77</v>
      </c>
      <c r="B78" t="str">
        <f>MID(PESEL565[[#This Row],[PESEL]],1,2)</f>
        <v>88</v>
      </c>
      <c r="C78" s="6">
        <f t="shared" si="3"/>
        <v>88</v>
      </c>
    </row>
    <row r="79" spans="1:3" x14ac:dyDescent="0.25">
      <c r="A79" t="s">
        <v>78</v>
      </c>
      <c r="B79" t="str">
        <f>MID(PESEL565[[#This Row],[PESEL]],1,2)</f>
        <v>89</v>
      </c>
      <c r="C79" s="6">
        <f t="shared" si="3"/>
        <v>89</v>
      </c>
    </row>
    <row r="80" spans="1:3" x14ac:dyDescent="0.25">
      <c r="A80" t="s">
        <v>79</v>
      </c>
      <c r="B80" t="str">
        <f>MID(PESEL565[[#This Row],[PESEL]],1,2)</f>
        <v>89</v>
      </c>
      <c r="C80" s="6">
        <f t="shared" si="3"/>
        <v>89</v>
      </c>
    </row>
    <row r="81" spans="1:3" x14ac:dyDescent="0.25">
      <c r="A81" t="s">
        <v>80</v>
      </c>
      <c r="B81" t="str">
        <f>MID(PESEL565[[#This Row],[PESEL]],1,2)</f>
        <v>59</v>
      </c>
      <c r="C81" s="6">
        <f t="shared" si="3"/>
        <v>59</v>
      </c>
    </row>
    <row r="82" spans="1:3" x14ac:dyDescent="0.25">
      <c r="A82" t="s">
        <v>81</v>
      </c>
      <c r="B82" t="str">
        <f>MID(PESEL565[[#This Row],[PESEL]],1,2)</f>
        <v>61</v>
      </c>
      <c r="C82" s="6">
        <f t="shared" si="3"/>
        <v>61</v>
      </c>
    </row>
    <row r="83" spans="1:3" x14ac:dyDescent="0.25">
      <c r="A83" t="s">
        <v>82</v>
      </c>
      <c r="B83" t="str">
        <f>MID(PESEL565[[#This Row],[PESEL]],1,2)</f>
        <v>89</v>
      </c>
      <c r="C83" s="6">
        <f t="shared" si="3"/>
        <v>89</v>
      </c>
    </row>
    <row r="84" spans="1:3" x14ac:dyDescent="0.25">
      <c r="A84" t="s">
        <v>83</v>
      </c>
      <c r="B84" t="str">
        <f>MID(PESEL565[[#This Row],[PESEL]],1,2)</f>
        <v>88</v>
      </c>
      <c r="C84" s="6">
        <f t="shared" si="3"/>
        <v>88</v>
      </c>
    </row>
    <row r="85" spans="1:3" x14ac:dyDescent="0.25">
      <c r="A85" t="s">
        <v>84</v>
      </c>
      <c r="B85" t="str">
        <f>MID(PESEL565[[#This Row],[PESEL]],1,2)</f>
        <v>61</v>
      </c>
      <c r="C85" s="6">
        <f t="shared" si="3"/>
        <v>61</v>
      </c>
    </row>
    <row r="86" spans="1:3" x14ac:dyDescent="0.25">
      <c r="A86" t="s">
        <v>85</v>
      </c>
      <c r="B86" t="str">
        <f>MID(PESEL565[[#This Row],[PESEL]],1,2)</f>
        <v>54</v>
      </c>
      <c r="C86" s="6">
        <f t="shared" si="3"/>
        <v>54</v>
      </c>
    </row>
    <row r="87" spans="1:3" x14ac:dyDescent="0.25">
      <c r="A87" t="s">
        <v>86</v>
      </c>
      <c r="B87" t="str">
        <f>MID(PESEL565[[#This Row],[PESEL]],1,2)</f>
        <v>87</v>
      </c>
      <c r="C87" s="6">
        <f t="shared" si="3"/>
        <v>87</v>
      </c>
    </row>
    <row r="88" spans="1:3" x14ac:dyDescent="0.25">
      <c r="A88" t="s">
        <v>87</v>
      </c>
      <c r="B88" t="str">
        <f>MID(PESEL565[[#This Row],[PESEL]],1,2)</f>
        <v>88</v>
      </c>
      <c r="C88" s="6">
        <f t="shared" si="3"/>
        <v>88</v>
      </c>
    </row>
    <row r="89" spans="1:3" x14ac:dyDescent="0.25">
      <c r="A89" t="s">
        <v>88</v>
      </c>
      <c r="B89" t="str">
        <f>MID(PESEL565[[#This Row],[PESEL]],1,2)</f>
        <v>59</v>
      </c>
      <c r="C89" s="6">
        <f t="shared" si="3"/>
        <v>59</v>
      </c>
    </row>
    <row r="90" spans="1:3" x14ac:dyDescent="0.25">
      <c r="A90" t="s">
        <v>89</v>
      </c>
      <c r="B90" t="str">
        <f>MID(PESEL565[[#This Row],[PESEL]],1,2)</f>
        <v>91</v>
      </c>
      <c r="C90" s="6">
        <f t="shared" si="3"/>
        <v>91</v>
      </c>
    </row>
    <row r="91" spans="1:3" x14ac:dyDescent="0.25">
      <c r="A91" t="s">
        <v>90</v>
      </c>
      <c r="B91" t="str">
        <f>MID(PESEL565[[#This Row],[PESEL]],1,2)</f>
        <v>59</v>
      </c>
      <c r="C91" s="6">
        <f t="shared" si="3"/>
        <v>59</v>
      </c>
    </row>
    <row r="92" spans="1:3" x14ac:dyDescent="0.25">
      <c r="A92" t="s">
        <v>91</v>
      </c>
      <c r="B92" t="str">
        <f>MID(PESEL565[[#This Row],[PESEL]],1,2)</f>
        <v>84</v>
      </c>
      <c r="C92" s="6">
        <f t="shared" si="3"/>
        <v>84</v>
      </c>
    </row>
    <row r="93" spans="1:3" x14ac:dyDescent="0.25">
      <c r="A93" t="s">
        <v>92</v>
      </c>
      <c r="B93" t="str">
        <f>MID(PESEL565[[#This Row],[PESEL]],1,2)</f>
        <v>60</v>
      </c>
      <c r="C93" s="6">
        <f t="shared" si="3"/>
        <v>60</v>
      </c>
    </row>
    <row r="94" spans="1:3" x14ac:dyDescent="0.25">
      <c r="A94" t="s">
        <v>93</v>
      </c>
      <c r="B94" t="str">
        <f>MID(PESEL565[[#This Row],[PESEL]],1,2)</f>
        <v>84</v>
      </c>
      <c r="C94" s="6">
        <f t="shared" si="3"/>
        <v>84</v>
      </c>
    </row>
    <row r="95" spans="1:3" x14ac:dyDescent="0.25">
      <c r="A95" t="s">
        <v>94</v>
      </c>
      <c r="B95" t="str">
        <f>MID(PESEL565[[#This Row],[PESEL]],1,2)</f>
        <v>89</v>
      </c>
      <c r="C95" s="6">
        <f t="shared" si="3"/>
        <v>89</v>
      </c>
    </row>
    <row r="96" spans="1:3" x14ac:dyDescent="0.25">
      <c r="A96" t="s">
        <v>95</v>
      </c>
      <c r="B96" t="str">
        <f>MID(PESEL565[[#This Row],[PESEL]],1,2)</f>
        <v>82</v>
      </c>
      <c r="C96" s="6">
        <f t="shared" si="3"/>
        <v>82</v>
      </c>
    </row>
    <row r="97" spans="1:3" x14ac:dyDescent="0.25">
      <c r="A97" t="s">
        <v>96</v>
      </c>
      <c r="B97" t="str">
        <f>MID(PESEL565[[#This Row],[PESEL]],1,2)</f>
        <v>57</v>
      </c>
      <c r="C97" s="6">
        <f t="shared" si="3"/>
        <v>57</v>
      </c>
    </row>
    <row r="98" spans="1:3" x14ac:dyDescent="0.25">
      <c r="A98" t="s">
        <v>97</v>
      </c>
      <c r="B98" t="str">
        <f>MID(PESEL565[[#This Row],[PESEL]],1,2)</f>
        <v>55</v>
      </c>
      <c r="C98" s="6">
        <f t="shared" ref="C98:C129" si="4">VALUE(B98)</f>
        <v>55</v>
      </c>
    </row>
    <row r="99" spans="1:3" x14ac:dyDescent="0.25">
      <c r="A99" t="s">
        <v>98</v>
      </c>
      <c r="B99" t="str">
        <f>MID(PESEL565[[#This Row],[PESEL]],1,2)</f>
        <v>86</v>
      </c>
      <c r="C99" s="6">
        <f t="shared" si="4"/>
        <v>86</v>
      </c>
    </row>
    <row r="100" spans="1:3" x14ac:dyDescent="0.25">
      <c r="A100" t="s">
        <v>99</v>
      </c>
      <c r="B100" t="str">
        <f>MID(PESEL565[[#This Row],[PESEL]],1,2)</f>
        <v>81</v>
      </c>
      <c r="C100" s="6">
        <f t="shared" si="4"/>
        <v>81</v>
      </c>
    </row>
    <row r="101" spans="1:3" x14ac:dyDescent="0.25">
      <c r="A101" t="s">
        <v>100</v>
      </c>
      <c r="B101" t="str">
        <f>MID(PESEL565[[#This Row],[PESEL]],1,2)</f>
        <v>87</v>
      </c>
      <c r="C101" s="6">
        <f t="shared" si="4"/>
        <v>87</v>
      </c>
    </row>
    <row r="102" spans="1:3" x14ac:dyDescent="0.25">
      <c r="A102" t="s">
        <v>101</v>
      </c>
      <c r="B102" t="str">
        <f>MID(PESEL565[[#This Row],[PESEL]],1,2)</f>
        <v>51</v>
      </c>
      <c r="C102" s="6">
        <f t="shared" si="4"/>
        <v>51</v>
      </c>
    </row>
    <row r="103" spans="1:3" x14ac:dyDescent="0.25">
      <c r="A103" t="s">
        <v>102</v>
      </c>
      <c r="B103" t="str">
        <f>MID(PESEL565[[#This Row],[PESEL]],1,2)</f>
        <v>89</v>
      </c>
      <c r="C103" s="6">
        <f t="shared" si="4"/>
        <v>89</v>
      </c>
    </row>
    <row r="104" spans="1:3" x14ac:dyDescent="0.25">
      <c r="A104" t="s">
        <v>103</v>
      </c>
      <c r="B104" t="str">
        <f>MID(PESEL565[[#This Row],[PESEL]],1,2)</f>
        <v>50</v>
      </c>
      <c r="C104" s="6">
        <f t="shared" si="4"/>
        <v>50</v>
      </c>
    </row>
    <row r="105" spans="1:3" x14ac:dyDescent="0.25">
      <c r="A105" t="s">
        <v>104</v>
      </c>
      <c r="B105" t="str">
        <f>MID(PESEL565[[#This Row],[PESEL]],1,2)</f>
        <v>89</v>
      </c>
      <c r="C105" s="6">
        <f t="shared" si="4"/>
        <v>89</v>
      </c>
    </row>
    <row r="106" spans="1:3" x14ac:dyDescent="0.25">
      <c r="A106" t="s">
        <v>105</v>
      </c>
      <c r="B106" t="str">
        <f>MID(PESEL565[[#This Row],[PESEL]],1,2)</f>
        <v>53</v>
      </c>
      <c r="C106" s="6">
        <f t="shared" si="4"/>
        <v>53</v>
      </c>
    </row>
    <row r="107" spans="1:3" x14ac:dyDescent="0.25">
      <c r="A107" t="s">
        <v>106</v>
      </c>
      <c r="B107" t="str">
        <f>MID(PESEL565[[#This Row],[PESEL]],1,2)</f>
        <v>75</v>
      </c>
      <c r="C107" s="6">
        <f t="shared" si="4"/>
        <v>75</v>
      </c>
    </row>
    <row r="108" spans="1:3" x14ac:dyDescent="0.25">
      <c r="A108" t="s">
        <v>107</v>
      </c>
      <c r="B108" t="str">
        <f>MID(PESEL565[[#This Row],[PESEL]],1,2)</f>
        <v>89</v>
      </c>
      <c r="C108" s="6">
        <f t="shared" si="4"/>
        <v>89</v>
      </c>
    </row>
    <row r="109" spans="1:3" x14ac:dyDescent="0.25">
      <c r="A109" t="s">
        <v>108</v>
      </c>
      <c r="B109" t="str">
        <f>MID(PESEL565[[#This Row],[PESEL]],1,2)</f>
        <v>89</v>
      </c>
      <c r="C109" s="6">
        <f t="shared" si="4"/>
        <v>89</v>
      </c>
    </row>
    <row r="110" spans="1:3" x14ac:dyDescent="0.25">
      <c r="A110" t="s">
        <v>109</v>
      </c>
      <c r="B110" t="str">
        <f>MID(PESEL565[[#This Row],[PESEL]],1,2)</f>
        <v>92</v>
      </c>
      <c r="C110" s="6">
        <f t="shared" si="4"/>
        <v>92</v>
      </c>
    </row>
    <row r="111" spans="1:3" x14ac:dyDescent="0.25">
      <c r="A111" t="s">
        <v>110</v>
      </c>
      <c r="B111" t="str">
        <f>MID(PESEL565[[#This Row],[PESEL]],1,2)</f>
        <v>50</v>
      </c>
      <c r="C111" s="6">
        <f t="shared" si="4"/>
        <v>50</v>
      </c>
    </row>
    <row r="112" spans="1:3" x14ac:dyDescent="0.25">
      <c r="A112" t="s">
        <v>111</v>
      </c>
      <c r="B112" t="str">
        <f>MID(PESEL565[[#This Row],[PESEL]],1,2)</f>
        <v>89</v>
      </c>
      <c r="C112" s="6">
        <f t="shared" si="4"/>
        <v>89</v>
      </c>
    </row>
    <row r="113" spans="1:3" x14ac:dyDescent="0.25">
      <c r="A113" t="s">
        <v>112</v>
      </c>
      <c r="B113" t="str">
        <f>MID(PESEL565[[#This Row],[PESEL]],1,2)</f>
        <v>51</v>
      </c>
      <c r="C113" s="6">
        <f t="shared" si="4"/>
        <v>51</v>
      </c>
    </row>
    <row r="114" spans="1:3" x14ac:dyDescent="0.25">
      <c r="A114" t="s">
        <v>113</v>
      </c>
      <c r="B114" t="str">
        <f>MID(PESEL565[[#This Row],[PESEL]],1,2)</f>
        <v>89</v>
      </c>
      <c r="C114" s="6">
        <f t="shared" si="4"/>
        <v>89</v>
      </c>
    </row>
    <row r="115" spans="1:3" x14ac:dyDescent="0.25">
      <c r="A115" t="s">
        <v>114</v>
      </c>
      <c r="B115" t="str">
        <f>MID(PESEL565[[#This Row],[PESEL]],1,2)</f>
        <v>63</v>
      </c>
      <c r="C115" s="6">
        <f t="shared" si="4"/>
        <v>63</v>
      </c>
    </row>
    <row r="116" spans="1:3" x14ac:dyDescent="0.25">
      <c r="A116" t="s">
        <v>115</v>
      </c>
      <c r="B116" t="str">
        <f>MID(PESEL565[[#This Row],[PESEL]],1,2)</f>
        <v>78</v>
      </c>
      <c r="C116" s="6">
        <f t="shared" si="4"/>
        <v>78</v>
      </c>
    </row>
    <row r="117" spans="1:3" x14ac:dyDescent="0.25">
      <c r="A117" t="s">
        <v>116</v>
      </c>
      <c r="B117" t="str">
        <f>MID(PESEL565[[#This Row],[PESEL]],1,2)</f>
        <v>86</v>
      </c>
      <c r="C117" s="6">
        <f t="shared" si="4"/>
        <v>86</v>
      </c>
    </row>
    <row r="118" spans="1:3" x14ac:dyDescent="0.25">
      <c r="A118" t="s">
        <v>117</v>
      </c>
      <c r="B118" t="str">
        <f>MID(PESEL565[[#This Row],[PESEL]],1,2)</f>
        <v>78</v>
      </c>
      <c r="C118" s="6">
        <f t="shared" si="4"/>
        <v>78</v>
      </c>
    </row>
    <row r="119" spans="1:3" x14ac:dyDescent="0.25">
      <c r="A119" t="s">
        <v>118</v>
      </c>
      <c r="B119" t="str">
        <f>MID(PESEL565[[#This Row],[PESEL]],1,2)</f>
        <v>89</v>
      </c>
      <c r="C119" s="6">
        <f t="shared" si="4"/>
        <v>89</v>
      </c>
    </row>
    <row r="120" spans="1:3" x14ac:dyDescent="0.25">
      <c r="A120" t="s">
        <v>119</v>
      </c>
      <c r="B120" t="str">
        <f>MID(PESEL565[[#This Row],[PESEL]],1,2)</f>
        <v>89</v>
      </c>
      <c r="C120" s="6">
        <f t="shared" si="4"/>
        <v>89</v>
      </c>
    </row>
    <row r="121" spans="1:3" x14ac:dyDescent="0.25">
      <c r="A121" t="s">
        <v>120</v>
      </c>
      <c r="B121" t="str">
        <f>MID(PESEL565[[#This Row],[PESEL]],1,2)</f>
        <v>89</v>
      </c>
      <c r="C121" s="6">
        <f t="shared" si="4"/>
        <v>89</v>
      </c>
    </row>
    <row r="122" spans="1:3" x14ac:dyDescent="0.25">
      <c r="A122" t="s">
        <v>121</v>
      </c>
      <c r="B122" t="str">
        <f>MID(PESEL565[[#This Row],[PESEL]],1,2)</f>
        <v>66</v>
      </c>
      <c r="C122" s="6">
        <f t="shared" si="4"/>
        <v>66</v>
      </c>
    </row>
    <row r="123" spans="1:3" x14ac:dyDescent="0.25">
      <c r="A123" t="s">
        <v>122</v>
      </c>
      <c r="B123" t="str">
        <f>MID(PESEL565[[#This Row],[PESEL]],1,2)</f>
        <v>65</v>
      </c>
      <c r="C123" s="6">
        <f t="shared" si="4"/>
        <v>65</v>
      </c>
    </row>
    <row r="124" spans="1:3" x14ac:dyDescent="0.25">
      <c r="A124" t="s">
        <v>123</v>
      </c>
      <c r="B124" t="str">
        <f>MID(PESEL565[[#This Row],[PESEL]],1,2)</f>
        <v>69</v>
      </c>
      <c r="C124" s="6">
        <f t="shared" si="4"/>
        <v>69</v>
      </c>
    </row>
    <row r="125" spans="1:3" x14ac:dyDescent="0.25">
      <c r="A125" t="s">
        <v>124</v>
      </c>
      <c r="B125" t="str">
        <f>MID(PESEL565[[#This Row],[PESEL]],1,2)</f>
        <v>67</v>
      </c>
      <c r="C125" s="6">
        <f t="shared" si="4"/>
        <v>67</v>
      </c>
    </row>
    <row r="126" spans="1:3" x14ac:dyDescent="0.25">
      <c r="A126" t="s">
        <v>125</v>
      </c>
      <c r="B126" t="str">
        <f>MID(PESEL565[[#This Row],[PESEL]],1,2)</f>
        <v>84</v>
      </c>
      <c r="C126" s="6">
        <f t="shared" si="4"/>
        <v>84</v>
      </c>
    </row>
    <row r="127" spans="1:3" x14ac:dyDescent="0.25">
      <c r="A127" t="s">
        <v>126</v>
      </c>
      <c r="B127" t="str">
        <f>MID(PESEL565[[#This Row],[PESEL]],1,2)</f>
        <v>57</v>
      </c>
      <c r="C127" s="6">
        <f t="shared" si="4"/>
        <v>57</v>
      </c>
    </row>
    <row r="128" spans="1:3" x14ac:dyDescent="0.25">
      <c r="A128" t="s">
        <v>127</v>
      </c>
      <c r="B128" t="str">
        <f>MID(PESEL565[[#This Row],[PESEL]],1,2)</f>
        <v>81</v>
      </c>
      <c r="C128" s="6">
        <f t="shared" si="4"/>
        <v>81</v>
      </c>
    </row>
    <row r="129" spans="1:3" x14ac:dyDescent="0.25">
      <c r="A129" t="s">
        <v>128</v>
      </c>
      <c r="B129" t="str">
        <f>MID(PESEL565[[#This Row],[PESEL]],1,2)</f>
        <v>89</v>
      </c>
      <c r="C129" s="6">
        <f t="shared" si="4"/>
        <v>89</v>
      </c>
    </row>
    <row r="130" spans="1:3" x14ac:dyDescent="0.25">
      <c r="A130" t="s">
        <v>129</v>
      </c>
      <c r="B130" t="str">
        <f>MID(PESEL565[[#This Row],[PESEL]],1,2)</f>
        <v>52</v>
      </c>
      <c r="C130" s="6">
        <f t="shared" ref="C130:C161" si="5">VALUE(B130)</f>
        <v>52</v>
      </c>
    </row>
    <row r="131" spans="1:3" x14ac:dyDescent="0.25">
      <c r="A131" t="s">
        <v>130</v>
      </c>
      <c r="B131" t="str">
        <f>MID(PESEL565[[#This Row],[PESEL]],1,2)</f>
        <v>50</v>
      </c>
      <c r="C131" s="6">
        <f t="shared" si="5"/>
        <v>50</v>
      </c>
    </row>
    <row r="132" spans="1:3" x14ac:dyDescent="0.25">
      <c r="A132" t="s">
        <v>131</v>
      </c>
      <c r="B132" t="str">
        <f>MID(PESEL565[[#This Row],[PESEL]],1,2)</f>
        <v>65</v>
      </c>
      <c r="C132" s="6">
        <f t="shared" si="5"/>
        <v>65</v>
      </c>
    </row>
    <row r="133" spans="1:3" x14ac:dyDescent="0.25">
      <c r="A133" t="s">
        <v>132</v>
      </c>
      <c r="B133" t="str">
        <f>MID(PESEL565[[#This Row],[PESEL]],1,2)</f>
        <v>85</v>
      </c>
      <c r="C133" s="6">
        <f t="shared" si="5"/>
        <v>85</v>
      </c>
    </row>
    <row r="134" spans="1:3" x14ac:dyDescent="0.25">
      <c r="A134" t="s">
        <v>133</v>
      </c>
      <c r="B134" t="str">
        <f>MID(PESEL565[[#This Row],[PESEL]],1,2)</f>
        <v>89</v>
      </c>
      <c r="C134" s="6">
        <f t="shared" si="5"/>
        <v>89</v>
      </c>
    </row>
    <row r="135" spans="1:3" x14ac:dyDescent="0.25">
      <c r="A135" t="s">
        <v>134</v>
      </c>
      <c r="B135" t="str">
        <f>MID(PESEL565[[#This Row],[PESEL]],1,2)</f>
        <v>71</v>
      </c>
      <c r="C135" s="6">
        <f t="shared" si="5"/>
        <v>71</v>
      </c>
    </row>
    <row r="136" spans="1:3" x14ac:dyDescent="0.25">
      <c r="A136" t="s">
        <v>135</v>
      </c>
      <c r="B136" t="str">
        <f>MID(PESEL565[[#This Row],[PESEL]],1,2)</f>
        <v>73</v>
      </c>
      <c r="C136" s="6">
        <f t="shared" si="5"/>
        <v>73</v>
      </c>
    </row>
    <row r="137" spans="1:3" x14ac:dyDescent="0.25">
      <c r="A137" t="s">
        <v>136</v>
      </c>
      <c r="B137" t="str">
        <f>MID(PESEL565[[#This Row],[PESEL]],1,2)</f>
        <v>89</v>
      </c>
      <c r="C137" s="6">
        <f t="shared" si="5"/>
        <v>89</v>
      </c>
    </row>
    <row r="138" spans="1:3" x14ac:dyDescent="0.25">
      <c r="A138" t="s">
        <v>137</v>
      </c>
      <c r="B138" t="str">
        <f>MID(PESEL565[[#This Row],[PESEL]],1,2)</f>
        <v>73</v>
      </c>
      <c r="C138" s="6">
        <f t="shared" si="5"/>
        <v>73</v>
      </c>
    </row>
    <row r="139" spans="1:3" x14ac:dyDescent="0.25">
      <c r="A139" t="s">
        <v>138</v>
      </c>
      <c r="B139" t="str">
        <f>MID(PESEL565[[#This Row],[PESEL]],1,2)</f>
        <v>87</v>
      </c>
      <c r="C139" s="6">
        <f t="shared" si="5"/>
        <v>87</v>
      </c>
    </row>
    <row r="140" spans="1:3" x14ac:dyDescent="0.25">
      <c r="A140" t="s">
        <v>139</v>
      </c>
      <c r="B140" t="str">
        <f>MID(PESEL565[[#This Row],[PESEL]],1,2)</f>
        <v>60</v>
      </c>
      <c r="C140" s="6">
        <f t="shared" si="5"/>
        <v>60</v>
      </c>
    </row>
    <row r="141" spans="1:3" x14ac:dyDescent="0.25">
      <c r="A141" t="s">
        <v>140</v>
      </c>
      <c r="B141" t="str">
        <f>MID(PESEL565[[#This Row],[PESEL]],1,2)</f>
        <v>76</v>
      </c>
      <c r="C141" s="6">
        <f t="shared" si="5"/>
        <v>76</v>
      </c>
    </row>
    <row r="142" spans="1:3" x14ac:dyDescent="0.25">
      <c r="A142" t="s">
        <v>141</v>
      </c>
      <c r="B142" t="str">
        <f>MID(PESEL565[[#This Row],[PESEL]],1,2)</f>
        <v>79</v>
      </c>
      <c r="C142" s="6">
        <f t="shared" si="5"/>
        <v>79</v>
      </c>
    </row>
    <row r="143" spans="1:3" x14ac:dyDescent="0.25">
      <c r="A143" t="s">
        <v>142</v>
      </c>
      <c r="B143" t="str">
        <f>MID(PESEL565[[#This Row],[PESEL]],1,2)</f>
        <v>76</v>
      </c>
      <c r="C143" s="6">
        <f t="shared" si="5"/>
        <v>76</v>
      </c>
    </row>
    <row r="144" spans="1:3" x14ac:dyDescent="0.25">
      <c r="A144" t="s">
        <v>143</v>
      </c>
      <c r="B144" t="str">
        <f>MID(PESEL565[[#This Row],[PESEL]],1,2)</f>
        <v>89</v>
      </c>
      <c r="C144" s="6">
        <f t="shared" si="5"/>
        <v>89</v>
      </c>
    </row>
    <row r="145" spans="1:3" x14ac:dyDescent="0.25">
      <c r="A145" t="s">
        <v>144</v>
      </c>
      <c r="B145" t="str">
        <f>MID(PESEL565[[#This Row],[PESEL]],1,2)</f>
        <v>76</v>
      </c>
      <c r="C145" s="6">
        <f t="shared" si="5"/>
        <v>76</v>
      </c>
    </row>
    <row r="146" spans="1:3" x14ac:dyDescent="0.25">
      <c r="A146" t="s">
        <v>145</v>
      </c>
      <c r="B146" t="str">
        <f>MID(PESEL565[[#This Row],[PESEL]],1,2)</f>
        <v>77</v>
      </c>
      <c r="C146" s="6">
        <f t="shared" si="5"/>
        <v>77</v>
      </c>
    </row>
    <row r="147" spans="1:3" x14ac:dyDescent="0.25">
      <c r="A147" t="s">
        <v>146</v>
      </c>
      <c r="B147" t="str">
        <f>MID(PESEL565[[#This Row],[PESEL]],1,2)</f>
        <v>89</v>
      </c>
      <c r="C147" s="6">
        <f t="shared" si="5"/>
        <v>89</v>
      </c>
    </row>
    <row r="148" spans="1:3" x14ac:dyDescent="0.25">
      <c r="A148" t="s">
        <v>147</v>
      </c>
      <c r="B148" t="str">
        <f>MID(PESEL565[[#This Row],[PESEL]],1,2)</f>
        <v>89</v>
      </c>
      <c r="C148" s="6">
        <f t="shared" si="5"/>
        <v>89</v>
      </c>
    </row>
    <row r="149" spans="1:3" x14ac:dyDescent="0.25">
      <c r="A149" t="s">
        <v>148</v>
      </c>
      <c r="B149" t="str">
        <f>MID(PESEL565[[#This Row],[PESEL]],1,2)</f>
        <v>58</v>
      </c>
      <c r="C149" s="6">
        <f t="shared" si="5"/>
        <v>58</v>
      </c>
    </row>
    <row r="150" spans="1:3" x14ac:dyDescent="0.25">
      <c r="A150" t="s">
        <v>149</v>
      </c>
      <c r="B150" t="str">
        <f>MID(PESEL565[[#This Row],[PESEL]],1,2)</f>
        <v>89</v>
      </c>
      <c r="C150" s="6">
        <f t="shared" si="5"/>
        <v>89</v>
      </c>
    </row>
    <row r="151" spans="1:3" x14ac:dyDescent="0.25">
      <c r="A151" t="s">
        <v>150</v>
      </c>
      <c r="B151" t="str">
        <f>MID(PESEL565[[#This Row],[PESEL]],1,2)</f>
        <v>79</v>
      </c>
      <c r="C151" s="6">
        <f t="shared" si="5"/>
        <v>79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F0DE5-14EC-4005-8935-F5D2AC0BDC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ODP_A</vt:lpstr>
      <vt:lpstr>ODP_B</vt:lpstr>
      <vt:lpstr>ODP_C</vt:lpstr>
      <vt:lpstr>ODP_C1</vt:lpstr>
      <vt:lpstr>ODP_D</vt:lpstr>
      <vt:lpstr>ODP_E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Tomaszewski</dc:creator>
  <cp:lastModifiedBy>Jakub Tomaszewski</cp:lastModifiedBy>
  <dcterms:created xsi:type="dcterms:W3CDTF">2015-06-05T18:17:20Z</dcterms:created>
  <dcterms:modified xsi:type="dcterms:W3CDTF">2024-12-15T21:29:53Z</dcterms:modified>
</cp:coreProperties>
</file>