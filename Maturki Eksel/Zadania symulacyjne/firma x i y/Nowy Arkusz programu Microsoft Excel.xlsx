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omas\Desktop\Maturki Eksel\Zadania symulacyjne\firma x i y\"/>
    </mc:Choice>
  </mc:AlternateContent>
  <xr:revisionPtr revIDLastSave="0" documentId="13_ncr:1_{34646647-A32F-4E85-9375-35AD5AD01D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DP_A" sheetId="1" r:id="rId1"/>
    <sheet name="ODP_B" sheetId="4" r:id="rId2"/>
    <sheet name="ODP_C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10" i="1" s="1"/>
  <c r="H2" i="1" s="1"/>
  <c r="G2" i="1"/>
  <c r="B10" i="1"/>
  <c r="B9" i="1"/>
  <c r="D3" i="4"/>
  <c r="D2" i="4"/>
  <c r="I6" i="4"/>
  <c r="C10" i="4"/>
  <c r="B10" i="4"/>
  <c r="B9" i="4"/>
  <c r="D9" i="4" s="1"/>
  <c r="C9" i="4"/>
  <c r="E9" i="4" s="1"/>
  <c r="E2" i="4"/>
  <c r="E3" i="4"/>
  <c r="E4" i="4"/>
  <c r="E5" i="4"/>
  <c r="E6" i="4"/>
  <c r="E7" i="4"/>
  <c r="E8" i="4"/>
  <c r="D4" i="4"/>
  <c r="D5" i="4"/>
  <c r="D6" i="4"/>
  <c r="D7" i="4"/>
  <c r="D8" i="4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C3" i="5"/>
  <c r="C4" i="5" s="1"/>
  <c r="C5" i="5" s="1"/>
  <c r="C6" i="5" s="1"/>
  <c r="C7" i="5" s="1"/>
  <c r="C3" i="4"/>
  <c r="C4" i="4" s="1"/>
  <c r="C5" i="4" s="1"/>
  <c r="C6" i="4" s="1"/>
  <c r="C7" i="4" s="1"/>
  <c r="C8" i="4" s="1"/>
  <c r="B3" i="4"/>
  <c r="B4" i="4" s="1"/>
  <c r="B5" i="4" s="1"/>
  <c r="B6" i="4" s="1"/>
  <c r="B7" i="4" s="1"/>
  <c r="B8" i="4" s="1"/>
  <c r="C3" i="1"/>
  <c r="C4" i="1" s="1"/>
  <c r="C5" i="1" s="1"/>
  <c r="C6" i="1" s="1"/>
  <c r="C7" i="1" s="1"/>
  <c r="C8" i="1" s="1"/>
  <c r="B3" i="1"/>
  <c r="B4" i="1" s="1"/>
  <c r="B5" i="1" s="1"/>
  <c r="B6" i="1" s="1"/>
  <c r="B7" i="1" s="1"/>
  <c r="B8" i="1" s="1"/>
  <c r="E10" i="4" l="1"/>
  <c r="J6" i="4" s="1"/>
  <c r="D10" i="4"/>
  <c r="C8" i="5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</calcChain>
</file>

<file path=xl/sharedStrings.xml><?xml version="1.0" encoding="utf-8"?>
<sst xmlns="http://schemas.openxmlformats.org/spreadsheetml/2006/main" count="21" uniqueCount="11">
  <si>
    <t>rok</t>
  </si>
  <si>
    <t>fabryka X</t>
  </si>
  <si>
    <t>fabryka Y</t>
  </si>
  <si>
    <t>a)</t>
  </si>
  <si>
    <t>Rok</t>
  </si>
  <si>
    <t>b)</t>
  </si>
  <si>
    <t>c)</t>
  </si>
  <si>
    <t>przychód X</t>
  </si>
  <si>
    <t>przychód Y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</si>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</sst>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zł&quot;;[Red]\-#,##0.00\ &quot;zł&quot;"/>
  </numFmts>
  <fonts count="3" x14ac:knownFonts="1">
    <font>
      <sz val="11"/>
      <color theme="1"/>
      <name val="Calibri"/>
      <family val="2"/>
      <scheme val="minor"/>
    </font>
    <font>
      <sz val="9"/>
      <color rgb="FF24292E"/>
      <name val="Arial"/>
      <family val="2"/>
      <charset val="238"/>
    </font>
    <font>
      <sz val="9"/>
      <color rgb="FF24292E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0" xfId="0" applyNumberFormat="1" applyFont="1"/>
    <xf numFmtId="0" fontId="0" fillId="2" borderId="0" xfId="0" applyFill="1"/>
    <xf numFmtId="8" fontId="0" fillId="0" borderId="0" xfId="0" applyNumberFormat="1"/>
    <xf numFmtId="0" fontId="0" fillId="3" borderId="0" xfId="0" applyFill="1"/>
    <xf numFmtId="8" fontId="2" fillId="0" borderId="0" xfId="0" applyNumberFormat="1" applyFont="1"/>
    <xf numFmtId="0" fontId="0" fillId="4" borderId="0" xfId="0" applyFill="1"/>
  </cellXfs>
  <cellStyles count="1">
    <cellStyle name="Normalny" xfId="0" builtinId="0"/>
  </cellStyles>
  <dxfs count="2"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826BA7-61D4-4C06-A700-E0053C823A25}" name="Tabela1" displayName="Tabela1" ref="A1:C10" totalsRowShown="0">
  <autoFilter ref="A1:C10" xr:uid="{9C826BA7-61D4-4C06-A700-E0053C823A25}"/>
  <tableColumns count="3">
    <tableColumn id="1" xr3:uid="{3A432FCB-8751-48DA-B78D-BB148FF0ACD3}" name="rok"/>
    <tableColumn id="2" xr3:uid="{E3708C3E-8EE2-4671-837B-558B7DD188A4}" name="fabryka X"/>
    <tableColumn id="3" xr3:uid="{C127176C-E69E-4C52-81C6-1D2C4FE3037D}" name="fabryka 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0FE5E5-51A0-47B6-9484-672CE32CD4C4}" name="Tabela13" displayName="Tabela13" ref="A1:E10" totalsRowShown="0">
  <autoFilter ref="A1:E10" xr:uid="{9C826BA7-61D4-4C06-A700-E0053C823A25}"/>
  <tableColumns count="5">
    <tableColumn id="1" xr3:uid="{D5F35B24-C1CC-4DA8-A4F8-8D441A3CC99F}" name="rok"/>
    <tableColumn id="2" xr3:uid="{DFFFB545-9F5A-4EE6-8520-4EB4FAF5E77D}" name="fabryka X"/>
    <tableColumn id="3" xr3:uid="{0A113CA8-8B12-4F1C-97D4-60397B058FCB}" name="fabryka Y"/>
    <tableColumn id="4" xr3:uid="{ED446711-BD07-45C7-9C0B-D9BF27E90853}" name="przychód X" dataDxfId="1">
      <calculatedColumnFormula xml:space="preserve"> Tabela13[[#This Row],[fabryka X]] * I$2</calculatedColumnFormula>
    </tableColumn>
    <tableColumn id="5" xr3:uid="{C88016E9-A096-4F1A-8D23-E579248C861E}" name="przychód Y">
      <calculatedColumnFormula xml:space="preserve"> Tabela13[[#This Row],[fabryka Y]] * J$2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B3481E-8FC6-4158-869A-CC26D1F7A188}" name="Tabela134" displayName="Tabela134" ref="A1:C97" totalsRowShown="0">
  <autoFilter ref="A1:C97" xr:uid="{9C826BA7-61D4-4C06-A700-E0053C823A25}"/>
  <tableColumns count="3">
    <tableColumn id="1" xr3:uid="{6567315A-4B83-4B5F-A07C-234CF7B6120C}" name="rok"/>
    <tableColumn id="2" xr3:uid="{E6D638D9-F488-4AAD-B763-70876384D662}" name="fabryka X"/>
    <tableColumn id="3" xr3:uid="{9A0D57C1-BA52-468E-A4D9-5B763B8EAC99}" name="fabryka 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J11" sqref="J11"/>
    </sheetView>
  </sheetViews>
  <sheetFormatPr defaultRowHeight="15" x14ac:dyDescent="0.25"/>
  <cols>
    <col min="2" max="2" width="11.28515625" customWidth="1"/>
    <col min="3" max="3" width="11.140625" customWidth="1"/>
  </cols>
  <sheetData>
    <row r="1" spans="1:8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1</v>
      </c>
      <c r="H1" t="s">
        <v>2</v>
      </c>
    </row>
    <row r="2" spans="1:8" x14ac:dyDescent="0.25">
      <c r="A2">
        <v>2015</v>
      </c>
      <c r="B2" s="1">
        <v>23450</v>
      </c>
      <c r="C2" s="1">
        <v>42140</v>
      </c>
      <c r="F2">
        <v>2023</v>
      </c>
      <c r="G2">
        <f>B10</f>
        <v>30332</v>
      </c>
      <c r="H2">
        <f>C10</f>
        <v>43197</v>
      </c>
    </row>
    <row r="3" spans="1:8" x14ac:dyDescent="0.25">
      <c r="A3">
        <v>2016</v>
      </c>
      <c r="B3">
        <f>ROUNDDOWN(B2 * 1.1,0)</f>
        <v>25795</v>
      </c>
      <c r="C3">
        <f>ROUNDDOWN(C2 * 1.05,0)</f>
        <v>44247</v>
      </c>
    </row>
    <row r="4" spans="1:8" x14ac:dyDescent="0.25">
      <c r="A4">
        <v>2017</v>
      </c>
      <c r="B4">
        <f t="shared" ref="B4:B7" si="0">ROUNDDOWN(B3 * 1.1,0)</f>
        <v>28374</v>
      </c>
      <c r="C4">
        <f t="shared" ref="C4:C7" si="1">ROUNDDOWN(C3 * 1.05,0)</f>
        <v>46459</v>
      </c>
    </row>
    <row r="5" spans="1:8" x14ac:dyDescent="0.25">
      <c r="A5">
        <v>2018</v>
      </c>
      <c r="B5">
        <f t="shared" si="0"/>
        <v>31211</v>
      </c>
      <c r="C5">
        <f t="shared" si="1"/>
        <v>48781</v>
      </c>
    </row>
    <row r="6" spans="1:8" x14ac:dyDescent="0.25">
      <c r="A6">
        <v>2019</v>
      </c>
      <c r="B6">
        <f t="shared" si="0"/>
        <v>34332</v>
      </c>
      <c r="C6">
        <f t="shared" si="1"/>
        <v>51220</v>
      </c>
    </row>
    <row r="7" spans="1:8" x14ac:dyDescent="0.25">
      <c r="A7">
        <v>2020</v>
      </c>
      <c r="B7">
        <f t="shared" si="0"/>
        <v>37765</v>
      </c>
      <c r="C7">
        <f t="shared" si="1"/>
        <v>53781</v>
      </c>
    </row>
    <row r="8" spans="1:8" x14ac:dyDescent="0.25">
      <c r="A8">
        <v>2021</v>
      </c>
      <c r="B8">
        <f>ROUNDDOWN(B7 * 0.89,0)</f>
        <v>33610</v>
      </c>
      <c r="C8">
        <f>ROUNDDOWN(C7 * 0.89,0)</f>
        <v>47865</v>
      </c>
    </row>
    <row r="9" spans="1:8" x14ac:dyDescent="0.25">
      <c r="A9">
        <v>2022</v>
      </c>
      <c r="B9">
        <f>ROUNDDOWN(B8 * 0.95,0)</f>
        <v>31929</v>
      </c>
      <c r="C9" s="6">
        <f>ROUNDDOWN(C8 * 0.95,0)</f>
        <v>45471</v>
      </c>
    </row>
    <row r="10" spans="1:8" x14ac:dyDescent="0.25">
      <c r="A10" s="2">
        <v>2023</v>
      </c>
      <c r="B10" s="2">
        <f>ROUNDDOWN(B9 * 0.95,0)</f>
        <v>30332</v>
      </c>
      <c r="C10" s="2">
        <f>ROUNDDOWN(C9 * 0.95,0)</f>
        <v>43197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1C98-0966-4172-89DC-B0766CCB9F3E}">
  <dimension ref="A1:J10"/>
  <sheetViews>
    <sheetView workbookViewId="0">
      <selection activeCell="H5" sqref="H5:J6"/>
    </sheetView>
  </sheetViews>
  <sheetFormatPr defaultRowHeight="15" x14ac:dyDescent="0.25"/>
  <cols>
    <col min="2" max="2" width="11.28515625" customWidth="1"/>
    <col min="3" max="3" width="11.140625" customWidth="1"/>
    <col min="4" max="5" width="14.42578125" bestFit="1" customWidth="1"/>
    <col min="9" max="10" width="15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  <c r="I1" t="s">
        <v>9</v>
      </c>
      <c r="J1" t="s">
        <v>10</v>
      </c>
    </row>
    <row r="2" spans="1:10" x14ac:dyDescent="0.25">
      <c r="A2">
        <v>2015</v>
      </c>
      <c r="B2" s="1">
        <v>23450</v>
      </c>
      <c r="C2" s="1">
        <v>42140</v>
      </c>
      <c r="D2" s="3">
        <f xml:space="preserve"> Tabela13[[#This Row],[fabryka X]] * I$2</f>
        <v>31141600</v>
      </c>
      <c r="E2" s="3">
        <f xml:space="preserve"> Tabela13[[#This Row],[fabryka Y]] * J$2</f>
        <v>52632860</v>
      </c>
      <c r="I2" s="5">
        <v>1328</v>
      </c>
      <c r="J2" s="5">
        <v>1249</v>
      </c>
    </row>
    <row r="3" spans="1:10" x14ac:dyDescent="0.25">
      <c r="A3">
        <v>2016</v>
      </c>
      <c r="B3">
        <f>ROUNDDOWN(B2 * 1.1,0)</f>
        <v>25795</v>
      </c>
      <c r="C3">
        <f>ROUNDDOWN(C2 * 1.05,0)</f>
        <v>44247</v>
      </c>
      <c r="D3" s="3">
        <f xml:space="preserve"> Tabela13[[#This Row],[fabryka X]] * I$2</f>
        <v>34255760</v>
      </c>
      <c r="E3" s="3">
        <f xml:space="preserve"> Tabela13[[#This Row],[fabryka Y]] * J$2</f>
        <v>55264503</v>
      </c>
    </row>
    <row r="4" spans="1:10" x14ac:dyDescent="0.25">
      <c r="A4">
        <v>2017</v>
      </c>
      <c r="B4">
        <f t="shared" ref="B4:B7" si="0">ROUNDDOWN(B3 * 1.1,0)</f>
        <v>28374</v>
      </c>
      <c r="C4">
        <f t="shared" ref="C4:C7" si="1">ROUNDDOWN(C3 * 1.05,0)</f>
        <v>46459</v>
      </c>
      <c r="D4" s="3">
        <f xml:space="preserve"> Tabela13[[#This Row],[fabryka X]] * I$2</f>
        <v>37680672</v>
      </c>
      <c r="E4" s="3">
        <f xml:space="preserve"> Tabela13[[#This Row],[fabryka Y]] * J$2</f>
        <v>58027291</v>
      </c>
    </row>
    <row r="5" spans="1:10" x14ac:dyDescent="0.25">
      <c r="A5">
        <v>2018</v>
      </c>
      <c r="B5">
        <f t="shared" si="0"/>
        <v>31211</v>
      </c>
      <c r="C5">
        <f t="shared" si="1"/>
        <v>48781</v>
      </c>
      <c r="D5" s="3">
        <f xml:space="preserve"> Tabela13[[#This Row],[fabryka X]] * I$2</f>
        <v>41448208</v>
      </c>
      <c r="E5" s="3">
        <f xml:space="preserve"> Tabela13[[#This Row],[fabryka Y]] * J$2</f>
        <v>60927469</v>
      </c>
      <c r="I5" t="s">
        <v>7</v>
      </c>
      <c r="J5" t="s">
        <v>8</v>
      </c>
    </row>
    <row r="6" spans="1:10" x14ac:dyDescent="0.25">
      <c r="A6">
        <v>2019</v>
      </c>
      <c r="B6">
        <f t="shared" si="0"/>
        <v>34332</v>
      </c>
      <c r="C6">
        <f t="shared" si="1"/>
        <v>51220</v>
      </c>
      <c r="D6" s="3">
        <f xml:space="preserve"> Tabela13[[#This Row],[fabryka X]] * I$2</f>
        <v>45592896</v>
      </c>
      <c r="E6" s="3">
        <f xml:space="preserve"> Tabela13[[#This Row],[fabryka Y]] * J$2</f>
        <v>63973780</v>
      </c>
      <c r="H6" t="s">
        <v>5</v>
      </c>
      <c r="I6" s="3">
        <f>SUM(Tabela13[przychód X])</f>
        <v>367587744</v>
      </c>
      <c r="J6" s="3">
        <f>SUM(Tabela13[przychód Y])</f>
        <v>528528089</v>
      </c>
    </row>
    <row r="7" spans="1:10" x14ac:dyDescent="0.25">
      <c r="A7">
        <v>2020</v>
      </c>
      <c r="B7">
        <f t="shared" si="0"/>
        <v>37765</v>
      </c>
      <c r="C7">
        <f t="shared" si="1"/>
        <v>53781</v>
      </c>
      <c r="D7" s="3">
        <f xml:space="preserve"> Tabela13[[#This Row],[fabryka X]] * I$2</f>
        <v>50151920</v>
      </c>
      <c r="E7" s="3">
        <f xml:space="preserve"> Tabela13[[#This Row],[fabryka Y]] * J$2</f>
        <v>67172469</v>
      </c>
    </row>
    <row r="8" spans="1:10" x14ac:dyDescent="0.25">
      <c r="A8">
        <v>2021</v>
      </c>
      <c r="B8">
        <f>ROUNDDOWN(B7 * 0.89,0)</f>
        <v>33610</v>
      </c>
      <c r="C8">
        <f>ROUNDDOWN(C7 * 0.89,0)</f>
        <v>47865</v>
      </c>
      <c r="D8" s="3">
        <f xml:space="preserve"> Tabela13[[#This Row],[fabryka X]] * I$2</f>
        <v>44634080</v>
      </c>
      <c r="E8" s="3">
        <f xml:space="preserve"> Tabela13[[#This Row],[fabryka Y]] * J$2</f>
        <v>59783385</v>
      </c>
    </row>
    <row r="9" spans="1:10" x14ac:dyDescent="0.25">
      <c r="A9">
        <v>2022</v>
      </c>
      <c r="B9">
        <f>ROUNDDOWN(B8 * 0.95,0)</f>
        <v>31929</v>
      </c>
      <c r="C9">
        <f>ROUNDDOWN(C8 * 0.95,0)</f>
        <v>45471</v>
      </c>
      <c r="D9" s="3">
        <f xml:space="preserve"> Tabela13[[#This Row],[fabryka X]] * I$2</f>
        <v>42401712</v>
      </c>
      <c r="E9" s="3">
        <f xml:space="preserve"> Tabela13[[#This Row],[fabryka Y]] * J$2</f>
        <v>56793279</v>
      </c>
    </row>
    <row r="10" spans="1:10" x14ac:dyDescent="0.25">
      <c r="A10" s="2">
        <v>2023</v>
      </c>
      <c r="B10" s="2">
        <f>ROUNDDOWN(B9 * 0.95,0)</f>
        <v>30332</v>
      </c>
      <c r="C10" s="2">
        <f>ROUNDDOWN(C9 * 0.95,0)</f>
        <v>43197</v>
      </c>
      <c r="D10" s="3">
        <f xml:space="preserve"> Tabela13[[#This Row],[fabryka X]] * I$2</f>
        <v>40280896</v>
      </c>
      <c r="E10" s="3">
        <f xml:space="preserve"> Tabela13[[#This Row],[fabryka Y]] * J$2</f>
        <v>53953053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6120-7F5A-45A9-8FF8-1E900D6B979C}">
  <dimension ref="A1:F97"/>
  <sheetViews>
    <sheetView workbookViewId="0">
      <selection activeCell="F3" sqref="F3"/>
    </sheetView>
  </sheetViews>
  <sheetFormatPr defaultRowHeight="15" x14ac:dyDescent="0.25"/>
  <cols>
    <col min="2" max="2" width="11.28515625" customWidth="1"/>
    <col min="3" max="3" width="11.140625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>
        <v>2015</v>
      </c>
      <c r="B2" s="1">
        <v>23450</v>
      </c>
      <c r="C2" s="1">
        <v>42140</v>
      </c>
      <c r="E2" t="s">
        <v>6</v>
      </c>
      <c r="F2">
        <v>2031</v>
      </c>
    </row>
    <row r="3" spans="1:6" x14ac:dyDescent="0.25">
      <c r="A3">
        <v>2016</v>
      </c>
      <c r="B3">
        <f>ROUNDDOWN(B2 * 1.1,0)</f>
        <v>25795</v>
      </c>
      <c r="C3">
        <f>ROUNDDOWN(C2 * 1.05,0)</f>
        <v>44247</v>
      </c>
    </row>
    <row r="4" spans="1:6" x14ac:dyDescent="0.25">
      <c r="A4">
        <v>2017</v>
      </c>
      <c r="B4">
        <f t="shared" ref="B4:B7" si="0">ROUNDDOWN(B3 * 1.1,0)</f>
        <v>28374</v>
      </c>
      <c r="C4">
        <f t="shared" ref="C4:C6" si="1">ROUNDDOWN(C3 * 1.05,0)</f>
        <v>46459</v>
      </c>
    </row>
    <row r="5" spans="1:6" x14ac:dyDescent="0.25">
      <c r="A5">
        <v>2018</v>
      </c>
      <c r="B5">
        <f t="shared" si="0"/>
        <v>31211</v>
      </c>
      <c r="C5">
        <f t="shared" si="1"/>
        <v>48781</v>
      </c>
    </row>
    <row r="6" spans="1:6" x14ac:dyDescent="0.25">
      <c r="A6">
        <v>2019</v>
      </c>
      <c r="B6">
        <f t="shared" si="0"/>
        <v>34332</v>
      </c>
      <c r="C6">
        <f t="shared" si="1"/>
        <v>51220</v>
      </c>
    </row>
    <row r="7" spans="1:6" x14ac:dyDescent="0.25">
      <c r="A7">
        <v>2020</v>
      </c>
      <c r="B7">
        <f t="shared" si="0"/>
        <v>37765</v>
      </c>
      <c r="C7">
        <f>ROUNDDOWN(C6 * 1.05,0)</f>
        <v>53781</v>
      </c>
    </row>
    <row r="8" spans="1:6" x14ac:dyDescent="0.25">
      <c r="A8">
        <v>2021</v>
      </c>
      <c r="B8">
        <f>ROUNDDOWN(B7 * 0.89,0)</f>
        <v>33610</v>
      </c>
      <c r="C8">
        <f>ROUNDDOWN(C7 * 0.89,0)</f>
        <v>47865</v>
      </c>
    </row>
    <row r="9" spans="1:6" x14ac:dyDescent="0.25">
      <c r="A9">
        <v>2022</v>
      </c>
      <c r="B9">
        <f>ROUNDDOWN(B8 * 0.84,0)</f>
        <v>28232</v>
      </c>
      <c r="C9">
        <f>ROUNDDOWN(C8 * 0.84,0)</f>
        <v>40206</v>
      </c>
    </row>
    <row r="10" spans="1:6" x14ac:dyDescent="0.25">
      <c r="A10" s="2">
        <v>2023</v>
      </c>
      <c r="B10" s="2">
        <f>ROUNDDOWN(B9 * 0.84,0)</f>
        <v>23714</v>
      </c>
      <c r="C10" s="2">
        <f>ROUNDDOWN(C9 * 0.84,0)</f>
        <v>33773</v>
      </c>
    </row>
    <row r="11" spans="1:6" x14ac:dyDescent="0.25">
      <c r="A11">
        <v>2024</v>
      </c>
      <c r="B11">
        <f>ROUNDDOWN(B10 * 1.1,0)</f>
        <v>26085</v>
      </c>
      <c r="C11">
        <f>ROUNDDOWN(C10 * 1.05,0)</f>
        <v>35461</v>
      </c>
    </row>
    <row r="12" spans="1:6" x14ac:dyDescent="0.25">
      <c r="A12">
        <v>2025</v>
      </c>
      <c r="B12">
        <f t="shared" ref="B12:B75" si="2">ROUNDDOWN(B11 * 1.1,0)</f>
        <v>28693</v>
      </c>
      <c r="C12">
        <f t="shared" ref="C12:C75" si="3">ROUNDDOWN(C11 * 1.05,0)</f>
        <v>37234</v>
      </c>
    </row>
    <row r="13" spans="1:6" x14ac:dyDescent="0.25">
      <c r="A13">
        <v>2026</v>
      </c>
      <c r="B13">
        <f t="shared" si="2"/>
        <v>31562</v>
      </c>
      <c r="C13">
        <f t="shared" si="3"/>
        <v>39095</v>
      </c>
    </row>
    <row r="14" spans="1:6" x14ac:dyDescent="0.25">
      <c r="A14">
        <v>2027</v>
      </c>
      <c r="B14">
        <f t="shared" si="2"/>
        <v>34718</v>
      </c>
      <c r="C14">
        <f t="shared" si="3"/>
        <v>41049</v>
      </c>
    </row>
    <row r="15" spans="1:6" x14ac:dyDescent="0.25">
      <c r="A15">
        <v>2028</v>
      </c>
      <c r="B15">
        <f t="shared" si="2"/>
        <v>38189</v>
      </c>
      <c r="C15">
        <f t="shared" si="3"/>
        <v>43101</v>
      </c>
    </row>
    <row r="16" spans="1:6" x14ac:dyDescent="0.25">
      <c r="A16">
        <v>2029</v>
      </c>
      <c r="B16">
        <f t="shared" si="2"/>
        <v>42007</v>
      </c>
      <c r="C16">
        <f t="shared" si="3"/>
        <v>45256</v>
      </c>
    </row>
    <row r="17" spans="1:3" x14ac:dyDescent="0.25">
      <c r="A17">
        <v>2030</v>
      </c>
      <c r="B17">
        <f t="shared" si="2"/>
        <v>46207</v>
      </c>
      <c r="C17">
        <f t="shared" si="3"/>
        <v>47518</v>
      </c>
    </row>
    <row r="18" spans="1:3" x14ac:dyDescent="0.25">
      <c r="A18" s="4">
        <v>2031</v>
      </c>
      <c r="B18" s="4">
        <f t="shared" si="2"/>
        <v>50827</v>
      </c>
      <c r="C18" s="4">
        <f t="shared" si="3"/>
        <v>49893</v>
      </c>
    </row>
    <row r="19" spans="1:3" x14ac:dyDescent="0.25">
      <c r="A19">
        <v>2032</v>
      </c>
      <c r="B19">
        <f t="shared" si="2"/>
        <v>55909</v>
      </c>
      <c r="C19">
        <f t="shared" si="3"/>
        <v>52387</v>
      </c>
    </row>
    <row r="20" spans="1:3" x14ac:dyDescent="0.25">
      <c r="A20">
        <v>2033</v>
      </c>
      <c r="B20">
        <f t="shared" si="2"/>
        <v>61499</v>
      </c>
      <c r="C20">
        <f t="shared" si="3"/>
        <v>55006</v>
      </c>
    </row>
    <row r="21" spans="1:3" x14ac:dyDescent="0.25">
      <c r="A21">
        <v>2034</v>
      </c>
      <c r="B21">
        <f t="shared" si="2"/>
        <v>67648</v>
      </c>
      <c r="C21">
        <f t="shared" si="3"/>
        <v>57756</v>
      </c>
    </row>
    <row r="22" spans="1:3" x14ac:dyDescent="0.25">
      <c r="A22">
        <v>2035</v>
      </c>
      <c r="B22">
        <f t="shared" si="2"/>
        <v>74412</v>
      </c>
      <c r="C22">
        <f t="shared" si="3"/>
        <v>60643</v>
      </c>
    </row>
    <row r="23" spans="1:3" x14ac:dyDescent="0.25">
      <c r="A23">
        <v>2036</v>
      </c>
      <c r="B23">
        <f t="shared" si="2"/>
        <v>81853</v>
      </c>
      <c r="C23">
        <f t="shared" si="3"/>
        <v>63675</v>
      </c>
    </row>
    <row r="24" spans="1:3" x14ac:dyDescent="0.25">
      <c r="A24">
        <v>2037</v>
      </c>
      <c r="B24">
        <f t="shared" si="2"/>
        <v>90038</v>
      </c>
      <c r="C24">
        <f t="shared" si="3"/>
        <v>66858</v>
      </c>
    </row>
    <row r="25" spans="1:3" x14ac:dyDescent="0.25">
      <c r="A25">
        <v>2038</v>
      </c>
      <c r="B25">
        <f t="shared" si="2"/>
        <v>99041</v>
      </c>
      <c r="C25">
        <f t="shared" si="3"/>
        <v>70200</v>
      </c>
    </row>
    <row r="26" spans="1:3" x14ac:dyDescent="0.25">
      <c r="A26">
        <v>2039</v>
      </c>
      <c r="B26">
        <f t="shared" si="2"/>
        <v>108945</v>
      </c>
      <c r="C26">
        <f t="shared" si="3"/>
        <v>73710</v>
      </c>
    </row>
    <row r="27" spans="1:3" x14ac:dyDescent="0.25">
      <c r="A27">
        <v>2040</v>
      </c>
      <c r="B27">
        <f t="shared" si="2"/>
        <v>119839</v>
      </c>
      <c r="C27">
        <f t="shared" si="3"/>
        <v>77395</v>
      </c>
    </row>
    <row r="28" spans="1:3" x14ac:dyDescent="0.25">
      <c r="A28">
        <v>2041</v>
      </c>
      <c r="B28">
        <f t="shared" si="2"/>
        <v>131822</v>
      </c>
      <c r="C28">
        <f t="shared" si="3"/>
        <v>81264</v>
      </c>
    </row>
    <row r="29" spans="1:3" x14ac:dyDescent="0.25">
      <c r="A29">
        <v>2042</v>
      </c>
      <c r="B29">
        <f t="shared" si="2"/>
        <v>145004</v>
      </c>
      <c r="C29">
        <f t="shared" si="3"/>
        <v>85327</v>
      </c>
    </row>
    <row r="30" spans="1:3" x14ac:dyDescent="0.25">
      <c r="A30">
        <v>2043</v>
      </c>
      <c r="B30">
        <f t="shared" si="2"/>
        <v>159504</v>
      </c>
      <c r="C30">
        <f t="shared" si="3"/>
        <v>89593</v>
      </c>
    </row>
    <row r="31" spans="1:3" x14ac:dyDescent="0.25">
      <c r="A31">
        <v>2044</v>
      </c>
      <c r="B31">
        <f t="shared" si="2"/>
        <v>175454</v>
      </c>
      <c r="C31">
        <f t="shared" si="3"/>
        <v>94072</v>
      </c>
    </row>
    <row r="32" spans="1:3" x14ac:dyDescent="0.25">
      <c r="A32">
        <v>2045</v>
      </c>
      <c r="B32">
        <f t="shared" si="2"/>
        <v>192999</v>
      </c>
      <c r="C32">
        <f t="shared" si="3"/>
        <v>98775</v>
      </c>
    </row>
    <row r="33" spans="1:3" x14ac:dyDescent="0.25">
      <c r="A33">
        <v>2046</v>
      </c>
      <c r="B33">
        <f t="shared" si="2"/>
        <v>212298</v>
      </c>
      <c r="C33">
        <f t="shared" si="3"/>
        <v>103713</v>
      </c>
    </row>
    <row r="34" spans="1:3" x14ac:dyDescent="0.25">
      <c r="A34">
        <v>2047</v>
      </c>
      <c r="B34">
        <f t="shared" si="2"/>
        <v>233527</v>
      </c>
      <c r="C34">
        <f t="shared" si="3"/>
        <v>108898</v>
      </c>
    </row>
    <row r="35" spans="1:3" x14ac:dyDescent="0.25">
      <c r="A35">
        <v>2048</v>
      </c>
      <c r="B35">
        <f t="shared" si="2"/>
        <v>256879</v>
      </c>
      <c r="C35">
        <f t="shared" si="3"/>
        <v>114342</v>
      </c>
    </row>
    <row r="36" spans="1:3" x14ac:dyDescent="0.25">
      <c r="A36">
        <v>2049</v>
      </c>
      <c r="B36">
        <f t="shared" si="2"/>
        <v>282566</v>
      </c>
      <c r="C36">
        <f t="shared" si="3"/>
        <v>120059</v>
      </c>
    </row>
    <row r="37" spans="1:3" x14ac:dyDescent="0.25">
      <c r="A37">
        <v>2050</v>
      </c>
      <c r="B37">
        <f t="shared" si="2"/>
        <v>310822</v>
      </c>
      <c r="C37">
        <f t="shared" si="3"/>
        <v>126061</v>
      </c>
    </row>
    <row r="38" spans="1:3" x14ac:dyDescent="0.25">
      <c r="A38">
        <v>2051</v>
      </c>
      <c r="B38">
        <f t="shared" si="2"/>
        <v>341904</v>
      </c>
      <c r="C38">
        <f t="shared" si="3"/>
        <v>132364</v>
      </c>
    </row>
    <row r="39" spans="1:3" x14ac:dyDescent="0.25">
      <c r="A39">
        <v>2052</v>
      </c>
      <c r="B39">
        <f t="shared" si="2"/>
        <v>376094</v>
      </c>
      <c r="C39">
        <f t="shared" si="3"/>
        <v>138982</v>
      </c>
    </row>
    <row r="40" spans="1:3" x14ac:dyDescent="0.25">
      <c r="A40">
        <v>2053</v>
      </c>
      <c r="B40">
        <f t="shared" si="2"/>
        <v>413703</v>
      </c>
      <c r="C40">
        <f t="shared" si="3"/>
        <v>145931</v>
      </c>
    </row>
    <row r="41" spans="1:3" x14ac:dyDescent="0.25">
      <c r="A41">
        <v>2054</v>
      </c>
      <c r="B41">
        <f t="shared" si="2"/>
        <v>455073</v>
      </c>
      <c r="C41">
        <f t="shared" si="3"/>
        <v>153227</v>
      </c>
    </row>
    <row r="42" spans="1:3" x14ac:dyDescent="0.25">
      <c r="A42">
        <v>2055</v>
      </c>
      <c r="B42">
        <f t="shared" si="2"/>
        <v>500580</v>
      </c>
      <c r="C42">
        <f t="shared" si="3"/>
        <v>160888</v>
      </c>
    </row>
    <row r="43" spans="1:3" x14ac:dyDescent="0.25">
      <c r="A43">
        <v>2056</v>
      </c>
      <c r="B43">
        <f t="shared" si="2"/>
        <v>550638</v>
      </c>
      <c r="C43">
        <f t="shared" si="3"/>
        <v>168932</v>
      </c>
    </row>
    <row r="44" spans="1:3" x14ac:dyDescent="0.25">
      <c r="A44">
        <v>2057</v>
      </c>
      <c r="B44">
        <f t="shared" si="2"/>
        <v>605701</v>
      </c>
      <c r="C44">
        <f t="shared" si="3"/>
        <v>177378</v>
      </c>
    </row>
    <row r="45" spans="1:3" x14ac:dyDescent="0.25">
      <c r="A45">
        <v>2058</v>
      </c>
      <c r="B45">
        <f t="shared" si="2"/>
        <v>666271</v>
      </c>
      <c r="C45">
        <f t="shared" si="3"/>
        <v>186246</v>
      </c>
    </row>
    <row r="46" spans="1:3" x14ac:dyDescent="0.25">
      <c r="A46">
        <v>2059</v>
      </c>
      <c r="B46">
        <f t="shared" si="2"/>
        <v>732898</v>
      </c>
      <c r="C46">
        <f t="shared" si="3"/>
        <v>195558</v>
      </c>
    </row>
    <row r="47" spans="1:3" x14ac:dyDescent="0.25">
      <c r="A47">
        <v>2060</v>
      </c>
      <c r="B47">
        <f t="shared" si="2"/>
        <v>806187</v>
      </c>
      <c r="C47">
        <f t="shared" si="3"/>
        <v>205335</v>
      </c>
    </row>
    <row r="48" spans="1:3" x14ac:dyDescent="0.25">
      <c r="A48">
        <v>2061</v>
      </c>
      <c r="B48">
        <f t="shared" si="2"/>
        <v>886805</v>
      </c>
      <c r="C48">
        <f t="shared" si="3"/>
        <v>215601</v>
      </c>
    </row>
    <row r="49" spans="1:3" x14ac:dyDescent="0.25">
      <c r="A49">
        <v>2062</v>
      </c>
      <c r="B49">
        <f t="shared" si="2"/>
        <v>975485</v>
      </c>
      <c r="C49">
        <f t="shared" si="3"/>
        <v>226381</v>
      </c>
    </row>
    <row r="50" spans="1:3" x14ac:dyDescent="0.25">
      <c r="A50">
        <v>2063</v>
      </c>
      <c r="B50">
        <f t="shared" si="2"/>
        <v>1073033</v>
      </c>
      <c r="C50">
        <f t="shared" si="3"/>
        <v>237700</v>
      </c>
    </row>
    <row r="51" spans="1:3" x14ac:dyDescent="0.25">
      <c r="A51">
        <v>2064</v>
      </c>
      <c r="B51">
        <f t="shared" si="2"/>
        <v>1180336</v>
      </c>
      <c r="C51">
        <f t="shared" si="3"/>
        <v>249585</v>
      </c>
    </row>
    <row r="52" spans="1:3" x14ac:dyDescent="0.25">
      <c r="A52">
        <v>2065</v>
      </c>
      <c r="B52">
        <f t="shared" si="2"/>
        <v>1298369</v>
      </c>
      <c r="C52">
        <f t="shared" si="3"/>
        <v>262064</v>
      </c>
    </row>
    <row r="53" spans="1:3" x14ac:dyDescent="0.25">
      <c r="A53">
        <v>2066</v>
      </c>
      <c r="B53">
        <f t="shared" si="2"/>
        <v>1428205</v>
      </c>
      <c r="C53">
        <f t="shared" si="3"/>
        <v>275167</v>
      </c>
    </row>
    <row r="54" spans="1:3" x14ac:dyDescent="0.25">
      <c r="A54">
        <v>2067</v>
      </c>
      <c r="B54">
        <f t="shared" si="2"/>
        <v>1571025</v>
      </c>
      <c r="C54">
        <f t="shared" si="3"/>
        <v>288925</v>
      </c>
    </row>
    <row r="55" spans="1:3" x14ac:dyDescent="0.25">
      <c r="A55">
        <v>2068</v>
      </c>
      <c r="B55">
        <f t="shared" si="2"/>
        <v>1728127</v>
      </c>
      <c r="C55">
        <f t="shared" si="3"/>
        <v>303371</v>
      </c>
    </row>
    <row r="56" spans="1:3" x14ac:dyDescent="0.25">
      <c r="A56">
        <v>2069</v>
      </c>
      <c r="B56">
        <f t="shared" si="2"/>
        <v>1900939</v>
      </c>
      <c r="C56">
        <f t="shared" si="3"/>
        <v>318539</v>
      </c>
    </row>
    <row r="57" spans="1:3" x14ac:dyDescent="0.25">
      <c r="A57">
        <v>2070</v>
      </c>
      <c r="B57">
        <f t="shared" si="2"/>
        <v>2091032</v>
      </c>
      <c r="C57">
        <f t="shared" si="3"/>
        <v>334465</v>
      </c>
    </row>
    <row r="58" spans="1:3" x14ac:dyDescent="0.25">
      <c r="A58">
        <v>2071</v>
      </c>
      <c r="B58">
        <f t="shared" si="2"/>
        <v>2300135</v>
      </c>
      <c r="C58">
        <f t="shared" si="3"/>
        <v>351188</v>
      </c>
    </row>
    <row r="59" spans="1:3" x14ac:dyDescent="0.25">
      <c r="A59">
        <v>2072</v>
      </c>
      <c r="B59">
        <f t="shared" si="2"/>
        <v>2530148</v>
      </c>
      <c r="C59">
        <f t="shared" si="3"/>
        <v>368747</v>
      </c>
    </row>
    <row r="60" spans="1:3" x14ac:dyDescent="0.25">
      <c r="A60">
        <v>2073</v>
      </c>
      <c r="B60">
        <f t="shared" si="2"/>
        <v>2783162</v>
      </c>
      <c r="C60">
        <f t="shared" si="3"/>
        <v>387184</v>
      </c>
    </row>
    <row r="61" spans="1:3" x14ac:dyDescent="0.25">
      <c r="A61">
        <v>2074</v>
      </c>
      <c r="B61">
        <f t="shared" si="2"/>
        <v>3061478</v>
      </c>
      <c r="C61">
        <f t="shared" si="3"/>
        <v>406543</v>
      </c>
    </row>
    <row r="62" spans="1:3" x14ac:dyDescent="0.25">
      <c r="A62">
        <v>2075</v>
      </c>
      <c r="B62">
        <f t="shared" si="2"/>
        <v>3367625</v>
      </c>
      <c r="C62">
        <f t="shared" si="3"/>
        <v>426870</v>
      </c>
    </row>
    <row r="63" spans="1:3" x14ac:dyDescent="0.25">
      <c r="A63">
        <v>2076</v>
      </c>
      <c r="B63">
        <f t="shared" si="2"/>
        <v>3704387</v>
      </c>
      <c r="C63">
        <f t="shared" si="3"/>
        <v>448213</v>
      </c>
    </row>
    <row r="64" spans="1:3" x14ac:dyDescent="0.25">
      <c r="A64">
        <v>2077</v>
      </c>
      <c r="B64">
        <f t="shared" si="2"/>
        <v>4074825</v>
      </c>
      <c r="C64">
        <f t="shared" si="3"/>
        <v>470623</v>
      </c>
    </row>
    <row r="65" spans="1:3" x14ac:dyDescent="0.25">
      <c r="A65">
        <v>2078</v>
      </c>
      <c r="B65">
        <f t="shared" si="2"/>
        <v>4482307</v>
      </c>
      <c r="C65">
        <f t="shared" si="3"/>
        <v>494154</v>
      </c>
    </row>
    <row r="66" spans="1:3" x14ac:dyDescent="0.25">
      <c r="A66">
        <v>2079</v>
      </c>
      <c r="B66">
        <f t="shared" si="2"/>
        <v>4930537</v>
      </c>
      <c r="C66">
        <f t="shared" si="3"/>
        <v>518861</v>
      </c>
    </row>
    <row r="67" spans="1:3" x14ac:dyDescent="0.25">
      <c r="A67">
        <v>2080</v>
      </c>
      <c r="B67">
        <f t="shared" si="2"/>
        <v>5423590</v>
      </c>
      <c r="C67">
        <f t="shared" si="3"/>
        <v>544804</v>
      </c>
    </row>
    <row r="68" spans="1:3" x14ac:dyDescent="0.25">
      <c r="A68">
        <v>2081</v>
      </c>
      <c r="B68">
        <f t="shared" si="2"/>
        <v>5965949</v>
      </c>
      <c r="C68">
        <f t="shared" si="3"/>
        <v>572044</v>
      </c>
    </row>
    <row r="69" spans="1:3" x14ac:dyDescent="0.25">
      <c r="A69">
        <v>2082</v>
      </c>
      <c r="B69">
        <f t="shared" si="2"/>
        <v>6562543</v>
      </c>
      <c r="C69">
        <f t="shared" si="3"/>
        <v>600646</v>
      </c>
    </row>
    <row r="70" spans="1:3" x14ac:dyDescent="0.25">
      <c r="A70">
        <v>2083</v>
      </c>
      <c r="B70">
        <f t="shared" si="2"/>
        <v>7218797</v>
      </c>
      <c r="C70">
        <f t="shared" si="3"/>
        <v>630678</v>
      </c>
    </row>
    <row r="71" spans="1:3" x14ac:dyDescent="0.25">
      <c r="A71">
        <v>2084</v>
      </c>
      <c r="B71">
        <f t="shared" si="2"/>
        <v>7940676</v>
      </c>
      <c r="C71">
        <f t="shared" si="3"/>
        <v>662211</v>
      </c>
    </row>
    <row r="72" spans="1:3" x14ac:dyDescent="0.25">
      <c r="A72">
        <v>2085</v>
      </c>
      <c r="B72">
        <f t="shared" si="2"/>
        <v>8734743</v>
      </c>
      <c r="C72">
        <f t="shared" si="3"/>
        <v>695321</v>
      </c>
    </row>
    <row r="73" spans="1:3" x14ac:dyDescent="0.25">
      <c r="A73">
        <v>2086</v>
      </c>
      <c r="B73">
        <f t="shared" si="2"/>
        <v>9608217</v>
      </c>
      <c r="C73">
        <f t="shared" si="3"/>
        <v>730087</v>
      </c>
    </row>
    <row r="74" spans="1:3" x14ac:dyDescent="0.25">
      <c r="A74">
        <v>2087</v>
      </c>
      <c r="B74">
        <f t="shared" si="2"/>
        <v>10569038</v>
      </c>
      <c r="C74">
        <f t="shared" si="3"/>
        <v>766591</v>
      </c>
    </row>
    <row r="75" spans="1:3" x14ac:dyDescent="0.25">
      <c r="A75">
        <v>2088</v>
      </c>
      <c r="B75">
        <f t="shared" si="2"/>
        <v>11625941</v>
      </c>
      <c r="C75">
        <f t="shared" si="3"/>
        <v>804920</v>
      </c>
    </row>
    <row r="76" spans="1:3" x14ac:dyDescent="0.25">
      <c r="A76">
        <v>2089</v>
      </c>
      <c r="B76">
        <f t="shared" ref="B76:B97" si="4">ROUNDDOWN(B75 * 1.1,0)</f>
        <v>12788535</v>
      </c>
      <c r="C76">
        <f t="shared" ref="C76:C97" si="5">ROUNDDOWN(C75 * 1.05,0)</f>
        <v>845166</v>
      </c>
    </row>
    <row r="77" spans="1:3" x14ac:dyDescent="0.25">
      <c r="A77">
        <v>2090</v>
      </c>
      <c r="B77">
        <f t="shared" si="4"/>
        <v>14067388</v>
      </c>
      <c r="C77">
        <f t="shared" si="5"/>
        <v>887424</v>
      </c>
    </row>
    <row r="78" spans="1:3" x14ac:dyDescent="0.25">
      <c r="A78">
        <v>2091</v>
      </c>
      <c r="B78">
        <f t="shared" si="4"/>
        <v>15474126</v>
      </c>
      <c r="C78">
        <f t="shared" si="5"/>
        <v>931795</v>
      </c>
    </row>
    <row r="79" spans="1:3" x14ac:dyDescent="0.25">
      <c r="A79">
        <v>2092</v>
      </c>
      <c r="B79">
        <f t="shared" si="4"/>
        <v>17021538</v>
      </c>
      <c r="C79">
        <f t="shared" si="5"/>
        <v>978384</v>
      </c>
    </row>
    <row r="80" spans="1:3" x14ac:dyDescent="0.25">
      <c r="A80">
        <v>2093</v>
      </c>
      <c r="B80">
        <f t="shared" si="4"/>
        <v>18723691</v>
      </c>
      <c r="C80">
        <f t="shared" si="5"/>
        <v>1027303</v>
      </c>
    </row>
    <row r="81" spans="1:3" x14ac:dyDescent="0.25">
      <c r="A81">
        <v>2094</v>
      </c>
      <c r="B81">
        <f t="shared" si="4"/>
        <v>20596060</v>
      </c>
      <c r="C81">
        <f t="shared" si="5"/>
        <v>1078668</v>
      </c>
    </row>
    <row r="82" spans="1:3" x14ac:dyDescent="0.25">
      <c r="A82">
        <v>2095</v>
      </c>
      <c r="B82">
        <f t="shared" si="4"/>
        <v>22655666</v>
      </c>
      <c r="C82">
        <f t="shared" si="5"/>
        <v>1132601</v>
      </c>
    </row>
    <row r="83" spans="1:3" x14ac:dyDescent="0.25">
      <c r="A83">
        <v>2096</v>
      </c>
      <c r="B83">
        <f t="shared" si="4"/>
        <v>24921232</v>
      </c>
      <c r="C83">
        <f t="shared" si="5"/>
        <v>1189231</v>
      </c>
    </row>
    <row r="84" spans="1:3" x14ac:dyDescent="0.25">
      <c r="A84">
        <v>2097</v>
      </c>
      <c r="B84">
        <f t="shared" si="4"/>
        <v>27413355</v>
      </c>
      <c r="C84">
        <f t="shared" si="5"/>
        <v>1248692</v>
      </c>
    </row>
    <row r="85" spans="1:3" x14ac:dyDescent="0.25">
      <c r="A85">
        <v>2098</v>
      </c>
      <c r="B85">
        <f t="shared" si="4"/>
        <v>30154690</v>
      </c>
      <c r="C85">
        <f t="shared" si="5"/>
        <v>1311126</v>
      </c>
    </row>
    <row r="86" spans="1:3" x14ac:dyDescent="0.25">
      <c r="A86">
        <v>2099</v>
      </c>
      <c r="B86">
        <f t="shared" si="4"/>
        <v>33170159</v>
      </c>
      <c r="C86">
        <f t="shared" si="5"/>
        <v>1376682</v>
      </c>
    </row>
    <row r="87" spans="1:3" x14ac:dyDescent="0.25">
      <c r="A87">
        <v>2100</v>
      </c>
      <c r="B87">
        <f t="shared" si="4"/>
        <v>36487174</v>
      </c>
      <c r="C87">
        <f t="shared" si="5"/>
        <v>1445516</v>
      </c>
    </row>
    <row r="88" spans="1:3" x14ac:dyDescent="0.25">
      <c r="A88">
        <v>2101</v>
      </c>
      <c r="B88">
        <f t="shared" si="4"/>
        <v>40135891</v>
      </c>
      <c r="C88">
        <f t="shared" si="5"/>
        <v>1517791</v>
      </c>
    </row>
    <row r="89" spans="1:3" x14ac:dyDescent="0.25">
      <c r="A89">
        <v>2102</v>
      </c>
      <c r="B89">
        <f t="shared" si="4"/>
        <v>44149480</v>
      </c>
      <c r="C89">
        <f t="shared" si="5"/>
        <v>1593680</v>
      </c>
    </row>
    <row r="90" spans="1:3" x14ac:dyDescent="0.25">
      <c r="A90">
        <v>2103</v>
      </c>
      <c r="B90">
        <f t="shared" si="4"/>
        <v>48564428</v>
      </c>
      <c r="C90">
        <f t="shared" si="5"/>
        <v>1673364</v>
      </c>
    </row>
    <row r="91" spans="1:3" x14ac:dyDescent="0.25">
      <c r="A91">
        <v>2104</v>
      </c>
      <c r="B91">
        <f t="shared" si="4"/>
        <v>53420870</v>
      </c>
      <c r="C91">
        <f t="shared" si="5"/>
        <v>1757032</v>
      </c>
    </row>
    <row r="92" spans="1:3" x14ac:dyDescent="0.25">
      <c r="A92">
        <v>2105</v>
      </c>
      <c r="B92">
        <f t="shared" si="4"/>
        <v>58762957</v>
      </c>
      <c r="C92">
        <f t="shared" si="5"/>
        <v>1844883</v>
      </c>
    </row>
    <row r="93" spans="1:3" x14ac:dyDescent="0.25">
      <c r="A93">
        <v>2106</v>
      </c>
      <c r="B93">
        <f t="shared" si="4"/>
        <v>64639252</v>
      </c>
      <c r="C93">
        <f t="shared" si="5"/>
        <v>1937127</v>
      </c>
    </row>
    <row r="94" spans="1:3" x14ac:dyDescent="0.25">
      <c r="A94">
        <v>2107</v>
      </c>
      <c r="B94">
        <f t="shared" si="4"/>
        <v>71103177</v>
      </c>
      <c r="C94">
        <f t="shared" si="5"/>
        <v>2033983</v>
      </c>
    </row>
    <row r="95" spans="1:3" x14ac:dyDescent="0.25">
      <c r="A95">
        <v>2108</v>
      </c>
      <c r="B95">
        <f t="shared" si="4"/>
        <v>78213494</v>
      </c>
      <c r="C95">
        <f t="shared" si="5"/>
        <v>2135682</v>
      </c>
    </row>
    <row r="96" spans="1:3" x14ac:dyDescent="0.25">
      <c r="A96">
        <v>2109</v>
      </c>
      <c r="B96">
        <f t="shared" si="4"/>
        <v>86034843</v>
      </c>
      <c r="C96">
        <f t="shared" si="5"/>
        <v>2242466</v>
      </c>
    </row>
    <row r="97" spans="1:3" x14ac:dyDescent="0.25">
      <c r="A97">
        <v>2110</v>
      </c>
      <c r="B97">
        <f t="shared" si="4"/>
        <v>94638327</v>
      </c>
      <c r="C97">
        <f t="shared" si="5"/>
        <v>2354589</v>
      </c>
    </row>
  </sheetData>
  <conditionalFormatting sqref="B2">
    <cfRule type="cellIs" dxfId="0" priority="1" operator="greaterThan">
      <formula>$C$2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ODP_A</vt:lpstr>
      <vt:lpstr>ODP_B</vt:lpstr>
      <vt:lpstr>ODP_C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Tomaszewski</dc:creator>
  <cp:lastModifiedBy>Jakub Tomaszewski</cp:lastModifiedBy>
  <dcterms:created xsi:type="dcterms:W3CDTF">2015-06-05T18:17:20Z</dcterms:created>
  <dcterms:modified xsi:type="dcterms:W3CDTF">2024-12-19T18:22:50Z</dcterms:modified>
</cp:coreProperties>
</file>