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eksel\"/>
    </mc:Choice>
  </mc:AlternateContent>
  <xr:revisionPtr revIDLastSave="0" documentId="13_ncr:1_{F933B2A5-7FF7-4BEE-9FA0-48C72431EE8D}" xr6:coauthVersionLast="47" xr6:coauthVersionMax="47" xr10:uidLastSave="{00000000-0000-0000-0000-000000000000}"/>
  <bookViews>
    <workbookView xWindow="6510" yWindow="9345" windowWidth="16590" windowHeight="15480" xr2:uid="{00000000-000D-0000-FFFF-FFFF00000000}"/>
  </bookViews>
  <sheets>
    <sheet name="ODP_4_4" sheetId="5" r:id="rId1"/>
    <sheet name="ODP_4_5" sheetId="1" r:id="rId2"/>
    <sheet name="ODP_4_2" sheetId="2" r:id="rId3"/>
    <sheet name="ODP_4_3" sheetId="3" r:id="rId4"/>
    <sheet name="ODP_4_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E26" i="5"/>
  <c r="E27" i="5" s="1"/>
  <c r="E28" i="5" s="1"/>
  <c r="E29" i="5" s="1"/>
  <c r="E30" i="5" s="1"/>
  <c r="E31" i="5" s="1"/>
  <c r="E32" i="5" s="1"/>
  <c r="E33" i="5" s="1"/>
  <c r="D26" i="5"/>
  <c r="D27" i="5" s="1"/>
  <c r="D28" i="5" s="1"/>
  <c r="D29" i="5" s="1"/>
  <c r="D30" i="5" s="1"/>
  <c r="D31" i="5" s="1"/>
  <c r="D32" i="5" s="1"/>
  <c r="D33" i="5" s="1"/>
  <c r="C26" i="5"/>
  <c r="C27" i="5" s="1"/>
  <c r="C28" i="5" s="1"/>
  <c r="C29" i="5" s="1"/>
  <c r="C30" i="5" s="1"/>
  <c r="C31" i="5" s="1"/>
  <c r="C32" i="5" s="1"/>
  <c r="C33" i="5" s="1"/>
  <c r="B26" i="5"/>
  <c r="B27" i="5" s="1"/>
  <c r="B28" i="5" s="1"/>
  <c r="B29" i="5" s="1"/>
  <c r="B30" i="5" s="1"/>
  <c r="B31" i="5" s="1"/>
  <c r="B32" i="5" s="1"/>
  <c r="B33" i="5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B3" i="5"/>
  <c r="J9" i="1"/>
  <c r="K9" i="1"/>
  <c r="L9" i="1"/>
  <c r="J8" i="1"/>
  <c r="K8" i="1"/>
  <c r="L8" i="1"/>
  <c r="J7" i="1"/>
  <c r="K7" i="1"/>
  <c r="L7" i="1"/>
  <c r="J6" i="1"/>
  <c r="K6" i="1"/>
  <c r="L6" i="1"/>
  <c r="J5" i="1"/>
  <c r="K5" i="1"/>
  <c r="L5" i="1"/>
  <c r="I9" i="1"/>
  <c r="I8" i="1"/>
  <c r="I7" i="1"/>
  <c r="I6" i="1"/>
  <c r="I5" i="1"/>
  <c r="J4" i="1"/>
  <c r="K4" i="1"/>
  <c r="L4" i="1"/>
  <c r="I4" i="1"/>
  <c r="J3" i="1"/>
  <c r="K3" i="1"/>
  <c r="L3" i="1"/>
  <c r="L2" i="1"/>
  <c r="J2" i="1"/>
  <c r="K2" i="1"/>
  <c r="I2" i="1"/>
  <c r="I3" i="1"/>
  <c r="I4" i="4"/>
  <c r="E26" i="4"/>
  <c r="E27" i="4" s="1"/>
  <c r="E28" i="4" s="1"/>
  <c r="E29" i="4" s="1"/>
  <c r="E30" i="4" s="1"/>
  <c r="E31" i="4" s="1"/>
  <c r="E32" i="4" s="1"/>
  <c r="E33" i="4" s="1"/>
  <c r="D26" i="4"/>
  <c r="D27" i="4" s="1"/>
  <c r="D28" i="4" s="1"/>
  <c r="D29" i="4" s="1"/>
  <c r="D30" i="4" s="1"/>
  <c r="D31" i="4" s="1"/>
  <c r="D32" i="4" s="1"/>
  <c r="D33" i="4" s="1"/>
  <c r="C26" i="4"/>
  <c r="C27" i="4" s="1"/>
  <c r="C28" i="4" s="1"/>
  <c r="C29" i="4" s="1"/>
  <c r="C30" i="4" s="1"/>
  <c r="C31" i="4" s="1"/>
  <c r="C32" i="4" s="1"/>
  <c r="C33" i="4" s="1"/>
  <c r="B26" i="4"/>
  <c r="B27" i="4" s="1"/>
  <c r="B28" i="4" s="1"/>
  <c r="B29" i="4" s="1"/>
  <c r="B30" i="4" s="1"/>
  <c r="B31" i="4" s="1"/>
  <c r="B32" i="4" s="1"/>
  <c r="B33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O4" i="3"/>
  <c r="P4" i="3"/>
  <c r="Q4" i="3"/>
  <c r="N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J3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2" i="3"/>
  <c r="I2" i="3"/>
  <c r="J2" i="3"/>
  <c r="G1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2" i="3"/>
  <c r="E26" i="3"/>
  <c r="E27" i="3" s="1"/>
  <c r="E28" i="3" s="1"/>
  <c r="E29" i="3" s="1"/>
  <c r="E30" i="3" s="1"/>
  <c r="E31" i="3" s="1"/>
  <c r="E32" i="3" s="1"/>
  <c r="E33" i="3" s="1"/>
  <c r="D26" i="3"/>
  <c r="D27" i="3" s="1"/>
  <c r="D28" i="3" s="1"/>
  <c r="D29" i="3" s="1"/>
  <c r="D30" i="3" s="1"/>
  <c r="D31" i="3" s="1"/>
  <c r="D32" i="3" s="1"/>
  <c r="D33" i="3" s="1"/>
  <c r="C26" i="3"/>
  <c r="C27" i="3" s="1"/>
  <c r="C28" i="3" s="1"/>
  <c r="C29" i="3" s="1"/>
  <c r="C30" i="3" s="1"/>
  <c r="C31" i="3" s="1"/>
  <c r="C32" i="3" s="1"/>
  <c r="C33" i="3" s="1"/>
  <c r="B26" i="3"/>
  <c r="B27" i="3" s="1"/>
  <c r="B28" i="3" s="1"/>
  <c r="B29" i="3" s="1"/>
  <c r="B30" i="3" s="1"/>
  <c r="B31" i="3" s="1"/>
  <c r="B32" i="3" s="1"/>
  <c r="B33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J38" i="2"/>
  <c r="J27" i="2"/>
  <c r="J28" i="2"/>
  <c r="J29" i="2"/>
  <c r="J30" i="2"/>
  <c r="J31" i="2"/>
  <c r="J32" i="2"/>
  <c r="J33" i="2"/>
  <c r="J34" i="2"/>
  <c r="J35" i="2"/>
  <c r="J36" i="2"/>
  <c r="J37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G26" i="2"/>
  <c r="H26" i="2"/>
  <c r="I26" i="2"/>
  <c r="J26" i="2"/>
  <c r="G53" i="2"/>
  <c r="G54" i="2"/>
  <c r="G55" i="2"/>
  <c r="G56" i="2"/>
  <c r="G57" i="2"/>
  <c r="G58" i="2"/>
  <c r="G59" i="2"/>
  <c r="G60" i="2"/>
  <c r="G61" i="2"/>
  <c r="G62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E34" i="2"/>
  <c r="E35" i="2"/>
  <c r="E36" i="2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D34" i="2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C34" i="2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B34" i="2"/>
  <c r="B35" i="2"/>
  <c r="B36" i="2"/>
  <c r="B37" i="2"/>
  <c r="B38" i="2"/>
  <c r="B39" i="2"/>
  <c r="B40" i="2"/>
  <c r="B41" i="2"/>
  <c r="B42" i="2"/>
  <c r="B43" i="2"/>
  <c r="B44" i="2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33" i="2"/>
  <c r="E26" i="2"/>
  <c r="E27" i="2" s="1"/>
  <c r="E28" i="2" s="1"/>
  <c r="E29" i="2" s="1"/>
  <c r="E30" i="2" s="1"/>
  <c r="E31" i="2" s="1"/>
  <c r="E32" i="2" s="1"/>
  <c r="E33" i="2" s="1"/>
  <c r="D26" i="2"/>
  <c r="D27" i="2" s="1"/>
  <c r="D28" i="2" s="1"/>
  <c r="D29" i="2" s="1"/>
  <c r="D30" i="2" s="1"/>
  <c r="D31" i="2" s="1"/>
  <c r="D32" i="2" s="1"/>
  <c r="D33" i="2" s="1"/>
  <c r="C26" i="2"/>
  <c r="C27" i="2" s="1"/>
  <c r="C28" i="2" s="1"/>
  <c r="C29" i="2" s="1"/>
  <c r="C30" i="2" s="1"/>
  <c r="C31" i="2" s="1"/>
  <c r="C32" i="2" s="1"/>
  <c r="C33" i="2" s="1"/>
  <c r="B26" i="2"/>
  <c r="B27" i="2" s="1"/>
  <c r="B28" i="2" s="1"/>
  <c r="B29" i="2" s="1"/>
  <c r="B30" i="2" s="1"/>
  <c r="B31" i="2" s="1"/>
  <c r="B32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B3" i="1"/>
  <c r="E26" i="1"/>
  <c r="E27" i="1" s="1"/>
  <c r="E28" i="1" s="1"/>
  <c r="E29" i="1" s="1"/>
  <c r="E30" i="1" s="1"/>
  <c r="E31" i="1" s="1"/>
  <c r="E32" i="1" s="1"/>
  <c r="E33" i="1" s="1"/>
  <c r="D26" i="1"/>
  <c r="D27" i="1" s="1"/>
  <c r="D28" i="1" s="1"/>
  <c r="D29" i="1" s="1"/>
  <c r="D30" i="1" s="1"/>
  <c r="D31" i="1" s="1"/>
  <c r="D32" i="1" s="1"/>
  <c r="D33" i="1" s="1"/>
  <c r="C26" i="1"/>
  <c r="C27" i="1" s="1"/>
  <c r="C28" i="1" s="1"/>
  <c r="C29" i="1" s="1"/>
  <c r="C30" i="1" s="1"/>
  <c r="C31" i="1" s="1"/>
  <c r="C32" i="1" s="1"/>
  <c r="C33" i="1" s="1"/>
  <c r="B26" i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<sst xmlns="http://schemas.openxmlformats.org/spreadsheetml/2006/main" count="241" uniqueCount="77">
  <si>
    <t>rok</t>
  </si>
  <si>
    <t>Granta</t>
  </si>
  <si>
    <t>Dama</t>
  </si>
  <si>
    <t>Dorkas</t>
  </si>
  <si>
    <t>Lodera</t>
  </si>
  <si>
    <t>1 kwartał 2005</t>
  </si>
  <si>
    <t>2 kwartał 2005</t>
  </si>
  <si>
    <t>3 kwartał 2005</t>
  </si>
  <si>
    <t>4 kwartał 2005</t>
  </si>
  <si>
    <t>1 kwartał 2006</t>
  </si>
  <si>
    <t>2 kwartał 2006</t>
  </si>
  <si>
    <t>3 kwartał 2006</t>
  </si>
  <si>
    <t>4 kwartał 2006</t>
  </si>
  <si>
    <t>1 kwartał 2007</t>
  </si>
  <si>
    <t>2 kwartał 2007</t>
  </si>
  <si>
    <t>3 kwartał 2007</t>
  </si>
  <si>
    <t>4 kwartał 2007</t>
  </si>
  <si>
    <t>1 kwartał 2008</t>
  </si>
  <si>
    <t>2 kwartał 2008</t>
  </si>
  <si>
    <t>3 kwartał 2008</t>
  </si>
  <si>
    <t>4 kwartał 2008</t>
  </si>
  <si>
    <t>1 kwartał 2009</t>
  </si>
  <si>
    <t>2 kwartał 2009</t>
  </si>
  <si>
    <t>3 kwartał 2009</t>
  </si>
  <si>
    <t>4 kwartał 2009</t>
  </si>
  <si>
    <t>1 kwartał 2010</t>
  </si>
  <si>
    <t>2 kwartał 2010</t>
  </si>
  <si>
    <t>3 kwartał 2010</t>
  </si>
  <si>
    <t>4 kwartał 2010</t>
  </si>
  <si>
    <t>1 kwartał 2011</t>
  </si>
  <si>
    <t>2 kwartał 2011</t>
  </si>
  <si>
    <t>3 kwartał 2011</t>
  </si>
  <si>
    <t>4 kwartał 2011</t>
  </si>
  <si>
    <t>1 kwartał 2012</t>
  </si>
  <si>
    <t>2 kwartał 2012</t>
  </si>
  <si>
    <t>3 kwartał 2012</t>
  </si>
  <si>
    <t>4 kwartał 2012</t>
  </si>
  <si>
    <t>GRANTA</t>
  </si>
  <si>
    <t>LODERA</t>
  </si>
  <si>
    <t>dama</t>
  </si>
  <si>
    <t>1 kwartał 2013</t>
  </si>
  <si>
    <t>2 kwartał 2013</t>
  </si>
  <si>
    <t>3 kwartał 2013</t>
  </si>
  <si>
    <t>4 kwartał 2013</t>
  </si>
  <si>
    <t>1 kwartał 2014</t>
  </si>
  <si>
    <t>2 kwartał 2014</t>
  </si>
  <si>
    <t>3 kwartał 2014</t>
  </si>
  <si>
    <t>4 kwartał 2014</t>
  </si>
  <si>
    <t>1 kwartał 2015</t>
  </si>
  <si>
    <t>2 kwartał 2015</t>
  </si>
  <si>
    <t>3 kwartał 2015</t>
  </si>
  <si>
    <t>4 kwartał 2015</t>
  </si>
  <si>
    <t>1 kwartał 2016</t>
  </si>
  <si>
    <t>2 kwartał 2016</t>
  </si>
  <si>
    <t>3 kwartał 2016</t>
  </si>
  <si>
    <t>4 kwartał 2016</t>
  </si>
  <si>
    <t>1 kwartał 2017</t>
  </si>
  <si>
    <t>2 kwartał 2017</t>
  </si>
  <si>
    <t>3 kwartał 2017</t>
  </si>
  <si>
    <t>4 kwartał 2017</t>
  </si>
  <si>
    <t>1 kwartał 2018</t>
  </si>
  <si>
    <t>2 kwartał 2018</t>
  </si>
  <si>
    <t>3 kwartał 2018</t>
  </si>
  <si>
    <t>4 kwartał 2018</t>
  </si>
  <si>
    <t>1 kwartał 2019</t>
  </si>
  <si>
    <t>2 kwartał 2019</t>
  </si>
  <si>
    <t>3 kwartał 2019</t>
  </si>
  <si>
    <t>4 kwartał 2019</t>
  </si>
  <si>
    <t>1 kwartał 2020</t>
  </si>
  <si>
    <t>2 kwartał 2020</t>
  </si>
  <si>
    <t>3 kwartał 2020</t>
  </si>
  <si>
    <t>4 kwartał 2020</t>
  </si>
  <si>
    <t>DORAKAS</t>
  </si>
  <si>
    <t>4_2)</t>
  </si>
  <si>
    <t>4_3)</t>
  </si>
  <si>
    <t>4_4)</t>
  </si>
  <si>
    <t>Gazela do końca 2010 roku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</si>
</sst>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24292E"/>
      <name val="Arial"/>
      <family val="2"/>
      <charset val="238"/>
    </font>
    <font>
      <b/>
      <sz val="9"/>
      <color rgb="FF24292E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0" fontId="0" fillId="4" borderId="0" xfId="0" applyFill="1"/>
    <xf numFmtId="0" fontId="0" fillId="2" borderId="0" xfId="0" applyFill="1"/>
    <xf numFmtId="0" fontId="2" fillId="0" borderId="0" xfId="0" applyFont="1"/>
    <xf numFmtId="3" fontId="0" fillId="5" borderId="0" xfId="0" applyNumberFormat="1" applyFill="1"/>
    <xf numFmtId="0" fontId="3" fillId="0" borderId="0" xfId="0" applyFont="1"/>
    <xf numFmtId="3" fontId="0" fillId="6" borderId="0" xfId="0" applyNumberFormat="1" applyFill="1"/>
    <xf numFmtId="0" fontId="0" fillId="6" borderId="0" xfId="0" applyFill="1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ODP_4_5!$I$1</c:f>
              <c:strCache>
                <c:ptCount val="1"/>
                <c:pt idx="0">
                  <c:v>Dama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ODP_4_5!$H$2:$H$9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ODP_4_5!$I$2:$I$9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D-490E-ABCD-29A89DA8A228}"/>
            </c:ext>
          </c:extLst>
        </c:ser>
        <c:ser>
          <c:idx val="1"/>
          <c:order val="1"/>
          <c:tx>
            <c:strRef>
              <c:f>ODP_4_5!$J$1</c:f>
              <c:strCache>
                <c:ptCount val="1"/>
                <c:pt idx="0">
                  <c:v>Granta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ODP_4_5!$H$2:$H$9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ODP_4_5!$J$2:$J$9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D-490E-ABCD-29A89DA8A228}"/>
            </c:ext>
          </c:extLst>
        </c:ser>
        <c:ser>
          <c:idx val="2"/>
          <c:order val="2"/>
          <c:tx>
            <c:strRef>
              <c:f>ODP_4_5!$K$1</c:f>
              <c:strCache>
                <c:ptCount val="1"/>
                <c:pt idx="0">
                  <c:v>Dorkas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ODP_4_5!$H$2:$H$9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ODP_4_5!$K$2:$K$9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D-490E-ABCD-29A89DA8A228}"/>
            </c:ext>
          </c:extLst>
        </c:ser>
        <c:ser>
          <c:idx val="3"/>
          <c:order val="3"/>
          <c:tx>
            <c:strRef>
              <c:f>ODP_4_5!$L$1</c:f>
              <c:strCache>
                <c:ptCount val="1"/>
                <c:pt idx="0">
                  <c:v>Lodera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ODP_4_5!$H$2:$H$9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ODP_4_5!$L$2:$L$9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1732</c:v>
                </c:pt>
                <c:pt idx="6">
                  <c:v>1623</c:v>
                </c:pt>
                <c:pt idx="7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4D-490E-ABCD-29A89DA8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189599"/>
        <c:axId val="100190079"/>
        <c:axId val="0"/>
      </c:bar3DChart>
      <c:catAx>
        <c:axId val="10018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190079"/>
        <c:crosses val="autoZero"/>
        <c:auto val="1"/>
        <c:lblAlgn val="ctr"/>
        <c:lblOffset val="100"/>
        <c:noMultiLvlLbl val="0"/>
      </c:catAx>
      <c:valAx>
        <c:axId val="1001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1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10</xdr:row>
      <xdr:rowOff>42862</xdr:rowOff>
    </xdr:from>
    <xdr:to>
      <xdr:col>12</xdr:col>
      <xdr:colOff>485775</xdr:colOff>
      <xdr:row>24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04D25A9-AC0A-D1FE-C957-9E70D05D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926F-3EF4-42E5-AE9E-5D2B3F8FDB8F}">
  <dimension ref="A1:J33"/>
  <sheetViews>
    <sheetView tabSelected="1" workbookViewId="0">
      <selection activeCell="M10" sqref="M10"/>
    </sheetView>
  </sheetViews>
  <sheetFormatPr defaultRowHeight="15" x14ac:dyDescent="0.25"/>
  <cols>
    <col min="1" max="1" width="13.5703125" bestFit="1" customWidth="1"/>
    <col min="10" max="10" width="24.140625" bestFit="1" customWidth="1"/>
  </cols>
  <sheetData>
    <row r="1" spans="1:10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10" x14ac:dyDescent="0.25">
      <c r="A2" s="1" t="s">
        <v>5</v>
      </c>
      <c r="B2">
        <v>237</v>
      </c>
      <c r="C2">
        <v>198</v>
      </c>
      <c r="D2">
        <v>207</v>
      </c>
      <c r="E2">
        <v>312</v>
      </c>
    </row>
    <row r="3" spans="1:10" x14ac:dyDescent="0.25">
      <c r="A3" s="1" t="s">
        <v>6</v>
      </c>
      <c r="B3">
        <f>INT( B2 * 1.02)</f>
        <v>241</v>
      </c>
      <c r="C3">
        <f>INT(C2 * 1.027)</f>
        <v>203</v>
      </c>
      <c r="D3">
        <f>INT(D2 * 1.03)</f>
        <v>213</v>
      </c>
      <c r="E3">
        <f>INT(E2 * 1.02)</f>
        <v>318</v>
      </c>
      <c r="J3" t="s">
        <v>76</v>
      </c>
    </row>
    <row r="4" spans="1:10" x14ac:dyDescent="0.25">
      <c r="A4" s="1" t="s">
        <v>7</v>
      </c>
      <c r="B4">
        <f t="shared" ref="B4:B21" si="0">INT( B3 * 1.02)</f>
        <v>245</v>
      </c>
      <c r="C4">
        <f t="shared" ref="C4:C21" si="1">INT(C3 * 1.027)</f>
        <v>208</v>
      </c>
      <c r="D4">
        <f t="shared" ref="D4:D21" si="2">INT(D3 * 1.03)</f>
        <v>219</v>
      </c>
      <c r="E4">
        <f t="shared" ref="E4:E21" si="3">INT(E3 * 1.02)</f>
        <v>324</v>
      </c>
      <c r="H4" s="9"/>
      <c r="I4" s="7" t="s">
        <v>75</v>
      </c>
      <c r="J4">
        <f>SUM(B2:E25)</f>
        <v>29328</v>
      </c>
    </row>
    <row r="5" spans="1:10" x14ac:dyDescent="0.25">
      <c r="A5" s="1" t="s">
        <v>8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10" x14ac:dyDescent="0.25">
      <c r="A6" s="1" t="s">
        <v>9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10" x14ac:dyDescent="0.25">
      <c r="A7" s="1" t="s">
        <v>10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10" x14ac:dyDescent="0.25">
      <c r="A8" s="1" t="s">
        <v>11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10" x14ac:dyDescent="0.25">
      <c r="A9" s="1" t="s">
        <v>12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10" x14ac:dyDescent="0.25">
      <c r="A10" s="1" t="s">
        <v>13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10" x14ac:dyDescent="0.25">
      <c r="A11" s="1" t="s">
        <v>14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10" x14ac:dyDescent="0.25">
      <c r="A12" s="1" t="s">
        <v>15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10" x14ac:dyDescent="0.25">
      <c r="A13" s="1" t="s">
        <v>16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10" x14ac:dyDescent="0.25">
      <c r="A14" s="1" t="s">
        <v>17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10" x14ac:dyDescent="0.25">
      <c r="A15" s="1" t="s">
        <v>18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10" x14ac:dyDescent="0.25">
      <c r="A16" s="1" t="s">
        <v>19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s="1" t="s">
        <v>20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s="1" t="s">
        <v>21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s="1" t="s">
        <v>22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s="1" t="s">
        <v>23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s="2" t="s">
        <v>24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3" t="s">
        <v>25</v>
      </c>
      <c r="B22">
        <v>333</v>
      </c>
      <c r="C22">
        <v>316</v>
      </c>
      <c r="D22">
        <v>350</v>
      </c>
      <c r="E22">
        <v>433</v>
      </c>
    </row>
    <row r="23" spans="1:5" x14ac:dyDescent="0.25">
      <c r="A23" s="3" t="s">
        <v>26</v>
      </c>
      <c r="B23">
        <v>333</v>
      </c>
      <c r="C23">
        <v>316</v>
      </c>
      <c r="D23">
        <v>350</v>
      </c>
      <c r="E23">
        <v>433</v>
      </c>
    </row>
    <row r="24" spans="1:5" x14ac:dyDescent="0.25">
      <c r="A24" s="3" t="s">
        <v>27</v>
      </c>
      <c r="B24">
        <v>333</v>
      </c>
      <c r="C24">
        <v>316</v>
      </c>
      <c r="D24">
        <v>350</v>
      </c>
      <c r="E24">
        <v>433</v>
      </c>
    </row>
    <row r="25" spans="1:5" x14ac:dyDescent="0.25">
      <c r="A25" s="10" t="s">
        <v>28</v>
      </c>
      <c r="B25" s="11">
        <v>333</v>
      </c>
      <c r="C25" s="11">
        <v>316</v>
      </c>
      <c r="D25" s="11">
        <v>350</v>
      </c>
      <c r="E25" s="11">
        <v>433</v>
      </c>
    </row>
    <row r="26" spans="1:5" x14ac:dyDescent="0.25">
      <c r="A26" s="1" t="s">
        <v>29</v>
      </c>
      <c r="B26">
        <f>INT( B25 * 99%)</f>
        <v>329</v>
      </c>
      <c r="C26">
        <f>INT( C25 * 98.8%)</f>
        <v>312</v>
      </c>
      <c r="D26">
        <f>INT( D25 * 98.1%)</f>
        <v>343</v>
      </c>
      <c r="E26">
        <f>INT( E25 * 97.5%)</f>
        <v>422</v>
      </c>
    </row>
    <row r="27" spans="1:5" x14ac:dyDescent="0.25">
      <c r="A27" s="1" t="s">
        <v>30</v>
      </c>
      <c r="B27">
        <f t="shared" ref="B27:B33" si="4">INT( B26 * 99%)</f>
        <v>325</v>
      </c>
      <c r="C27">
        <f t="shared" ref="C27:C33" si="5">INT( C26 * 98.8%)</f>
        <v>308</v>
      </c>
      <c r="D27">
        <f t="shared" ref="D27:D33" si="6">INT( D26 * 98.1%)</f>
        <v>336</v>
      </c>
      <c r="E27">
        <f t="shared" ref="E27:E33" si="7">INT( E26 * 97.5%)</f>
        <v>411</v>
      </c>
    </row>
    <row r="28" spans="1:5" x14ac:dyDescent="0.25">
      <c r="A28" s="1" t="s">
        <v>31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400</v>
      </c>
    </row>
    <row r="29" spans="1:5" x14ac:dyDescent="0.25">
      <c r="A29" s="4" t="s">
        <v>32</v>
      </c>
      <c r="B29" s="5">
        <f t="shared" si="4"/>
        <v>317</v>
      </c>
      <c r="C29" s="5">
        <f t="shared" si="5"/>
        <v>300</v>
      </c>
      <c r="D29" s="5">
        <f t="shared" si="6"/>
        <v>322</v>
      </c>
      <c r="E29" s="5">
        <f t="shared" si="7"/>
        <v>390</v>
      </c>
    </row>
    <row r="30" spans="1:5" x14ac:dyDescent="0.25">
      <c r="A30" s="1" t="s">
        <v>33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380</v>
      </c>
    </row>
    <row r="31" spans="1:5" x14ac:dyDescent="0.25">
      <c r="A31" s="1" t="s">
        <v>34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370</v>
      </c>
    </row>
    <row r="32" spans="1:5" x14ac:dyDescent="0.25">
      <c r="A32" s="1" t="s">
        <v>35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360</v>
      </c>
    </row>
    <row r="33" spans="1:5" x14ac:dyDescent="0.25">
      <c r="A33" s="1" t="s">
        <v>36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N11" sqref="N10:N11"/>
    </sheetView>
  </sheetViews>
  <sheetFormatPr defaultRowHeight="15" x14ac:dyDescent="0.25"/>
  <cols>
    <col min="1" max="1" width="13.5703125" bestFit="1" customWidth="1"/>
    <col min="9" max="9" width="9.85546875" bestFit="1" customWidth="1"/>
  </cols>
  <sheetData>
    <row r="1" spans="1:12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I1" t="s">
        <v>2</v>
      </c>
      <c r="J1" t="s">
        <v>1</v>
      </c>
      <c r="K1" t="s">
        <v>3</v>
      </c>
      <c r="L1" t="s">
        <v>4</v>
      </c>
    </row>
    <row r="2" spans="1:12" x14ac:dyDescent="0.25">
      <c r="A2" s="1" t="s">
        <v>5</v>
      </c>
      <c r="B2">
        <v>237</v>
      </c>
      <c r="C2">
        <v>198</v>
      </c>
      <c r="D2">
        <v>207</v>
      </c>
      <c r="E2">
        <v>312</v>
      </c>
      <c r="G2" s="9" t="s">
        <v>75</v>
      </c>
      <c r="H2">
        <v>2005</v>
      </c>
      <c r="I2">
        <f>SUM(B$2:B$5)</f>
        <v>972</v>
      </c>
      <c r="J2">
        <f t="shared" ref="J2:K2" si="0">SUM(C$2:C$5)</f>
        <v>822</v>
      </c>
      <c r="K2">
        <f t="shared" si="0"/>
        <v>864</v>
      </c>
      <c r="L2">
        <f>SUM(E$2:E$5)</f>
        <v>1284</v>
      </c>
    </row>
    <row r="3" spans="1:12" x14ac:dyDescent="0.25">
      <c r="A3" s="1" t="s">
        <v>6</v>
      </c>
      <c r="B3">
        <f>INT( B2 * 1.02)</f>
        <v>241</v>
      </c>
      <c r="C3">
        <f>INT(C2 * 1.027)</f>
        <v>203</v>
      </c>
      <c r="D3">
        <f>INT(D2 * 1.03)</f>
        <v>213</v>
      </c>
      <c r="E3">
        <f>INT(E2 * 1.02)</f>
        <v>318</v>
      </c>
      <c r="H3">
        <v>2006</v>
      </c>
      <c r="I3">
        <f>SUM(B$6:B$9)</f>
        <v>1042</v>
      </c>
      <c r="J3">
        <f t="shared" ref="J3:L3" si="1">SUM(C$6:C$9)</f>
        <v>905</v>
      </c>
      <c r="K3">
        <f t="shared" si="1"/>
        <v>963</v>
      </c>
      <c r="L3">
        <f t="shared" si="1"/>
        <v>1380</v>
      </c>
    </row>
    <row r="4" spans="1:12" x14ac:dyDescent="0.25">
      <c r="A4" s="1" t="s">
        <v>7</v>
      </c>
      <c r="B4">
        <f t="shared" ref="B4:B21" si="2">INT( B3 * 1.02)</f>
        <v>245</v>
      </c>
      <c r="C4">
        <f t="shared" ref="C4:C21" si="3">INT(C3 * 1.027)</f>
        <v>208</v>
      </c>
      <c r="D4">
        <f t="shared" ref="D4:D21" si="4">INT(D3 * 1.03)</f>
        <v>219</v>
      </c>
      <c r="E4">
        <f t="shared" ref="E4:E21" si="5">INT(E3 * 1.02)</f>
        <v>324</v>
      </c>
      <c r="H4">
        <v>2007</v>
      </c>
      <c r="I4">
        <f>SUM(B$10:B$13)</f>
        <v>1122</v>
      </c>
      <c r="J4">
        <f t="shared" ref="J4:L4" si="6">SUM(C$10:C$13)</f>
        <v>1000</v>
      </c>
      <c r="K4">
        <f t="shared" si="6"/>
        <v>1075</v>
      </c>
      <c r="L4">
        <f t="shared" si="6"/>
        <v>1486</v>
      </c>
    </row>
    <row r="5" spans="1:12" x14ac:dyDescent="0.25">
      <c r="A5" s="1" t="s">
        <v>8</v>
      </c>
      <c r="B5">
        <f t="shared" si="2"/>
        <v>249</v>
      </c>
      <c r="C5">
        <f t="shared" si="3"/>
        <v>213</v>
      </c>
      <c r="D5">
        <f t="shared" si="4"/>
        <v>225</v>
      </c>
      <c r="E5">
        <f t="shared" si="5"/>
        <v>330</v>
      </c>
      <c r="H5">
        <v>2008</v>
      </c>
      <c r="I5">
        <f>SUM(B$14:B$17)</f>
        <v>1203</v>
      </c>
      <c r="J5">
        <f t="shared" ref="J5:L5" si="7">SUM(C$14:C$17)</f>
        <v>1102</v>
      </c>
      <c r="K5">
        <f t="shared" si="7"/>
        <v>1201</v>
      </c>
      <c r="L5">
        <f t="shared" si="7"/>
        <v>1599</v>
      </c>
    </row>
    <row r="6" spans="1:12" x14ac:dyDescent="0.25">
      <c r="A6" s="1" t="s">
        <v>9</v>
      </c>
      <c r="B6">
        <f t="shared" si="2"/>
        <v>253</v>
      </c>
      <c r="C6">
        <f t="shared" si="3"/>
        <v>218</v>
      </c>
      <c r="D6">
        <f t="shared" si="4"/>
        <v>231</v>
      </c>
      <c r="E6">
        <f t="shared" si="5"/>
        <v>336</v>
      </c>
      <c r="H6">
        <v>2009</v>
      </c>
      <c r="I6">
        <f>SUM(B$18:B$21)</f>
        <v>1296</v>
      </c>
      <c r="J6">
        <f t="shared" ref="J6:L6" si="8">SUM(C$18:C$21)</f>
        <v>1217</v>
      </c>
      <c r="K6">
        <f t="shared" si="8"/>
        <v>1343</v>
      </c>
      <c r="L6">
        <f t="shared" si="8"/>
        <v>1724</v>
      </c>
    </row>
    <row r="7" spans="1:12" x14ac:dyDescent="0.25">
      <c r="A7" s="1" t="s">
        <v>10</v>
      </c>
      <c r="B7">
        <f t="shared" si="2"/>
        <v>258</v>
      </c>
      <c r="C7">
        <f t="shared" si="3"/>
        <v>223</v>
      </c>
      <c r="D7">
        <f t="shared" si="4"/>
        <v>237</v>
      </c>
      <c r="E7">
        <f t="shared" si="5"/>
        <v>342</v>
      </c>
      <c r="H7">
        <v>2010</v>
      </c>
      <c r="I7">
        <f>SUM(B$22:B$25)</f>
        <v>1332</v>
      </c>
      <c r="J7">
        <f t="shared" ref="J7:L7" si="9">SUM(C$22:C$25)</f>
        <v>1264</v>
      </c>
      <c r="K7">
        <f t="shared" si="9"/>
        <v>1400</v>
      </c>
      <c r="L7">
        <f t="shared" si="9"/>
        <v>1732</v>
      </c>
    </row>
    <row r="8" spans="1:12" x14ac:dyDescent="0.25">
      <c r="A8" s="1" t="s">
        <v>11</v>
      </c>
      <c r="B8">
        <f t="shared" si="2"/>
        <v>263</v>
      </c>
      <c r="C8">
        <f t="shared" si="3"/>
        <v>229</v>
      </c>
      <c r="D8">
        <f t="shared" si="4"/>
        <v>244</v>
      </c>
      <c r="E8">
        <f t="shared" si="5"/>
        <v>348</v>
      </c>
      <c r="H8">
        <v>2011</v>
      </c>
      <c r="I8">
        <f>SUM(B$26:B$29)</f>
        <v>1292</v>
      </c>
      <c r="J8">
        <f t="shared" ref="J8:L8" si="10">SUM(C$26:C$29)</f>
        <v>1224</v>
      </c>
      <c r="K8">
        <f t="shared" si="10"/>
        <v>1330</v>
      </c>
      <c r="L8">
        <f t="shared" si="10"/>
        <v>1623</v>
      </c>
    </row>
    <row r="9" spans="1:12" x14ac:dyDescent="0.25">
      <c r="A9" s="1" t="s">
        <v>12</v>
      </c>
      <c r="B9">
        <f t="shared" si="2"/>
        <v>268</v>
      </c>
      <c r="C9">
        <f t="shared" si="3"/>
        <v>235</v>
      </c>
      <c r="D9">
        <f t="shared" si="4"/>
        <v>251</v>
      </c>
      <c r="E9">
        <f t="shared" si="5"/>
        <v>354</v>
      </c>
      <c r="H9">
        <v>2012</v>
      </c>
      <c r="I9">
        <f>SUM(B$30:B$33)</f>
        <v>1228</v>
      </c>
      <c r="J9">
        <f t="shared" ref="J9:L9" si="11">SUM(C$30:C$33)</f>
        <v>1160</v>
      </c>
      <c r="K9">
        <f t="shared" si="11"/>
        <v>1224</v>
      </c>
      <c r="L9">
        <f t="shared" si="11"/>
        <v>1461</v>
      </c>
    </row>
    <row r="10" spans="1:12" x14ac:dyDescent="0.25">
      <c r="A10" s="1" t="s">
        <v>13</v>
      </c>
      <c r="B10">
        <f t="shared" si="2"/>
        <v>273</v>
      </c>
      <c r="C10">
        <f t="shared" si="3"/>
        <v>241</v>
      </c>
      <c r="D10">
        <f t="shared" si="4"/>
        <v>258</v>
      </c>
      <c r="E10">
        <f t="shared" si="5"/>
        <v>361</v>
      </c>
    </row>
    <row r="11" spans="1:12" x14ac:dyDescent="0.25">
      <c r="A11" s="1" t="s">
        <v>14</v>
      </c>
      <c r="B11">
        <f t="shared" si="2"/>
        <v>278</v>
      </c>
      <c r="C11">
        <f t="shared" si="3"/>
        <v>247</v>
      </c>
      <c r="D11">
        <f t="shared" si="4"/>
        <v>265</v>
      </c>
      <c r="E11">
        <f t="shared" si="5"/>
        <v>368</v>
      </c>
    </row>
    <row r="12" spans="1:12" x14ac:dyDescent="0.25">
      <c r="A12" s="1" t="s">
        <v>15</v>
      </c>
      <c r="B12">
        <f t="shared" si="2"/>
        <v>283</v>
      </c>
      <c r="C12">
        <f t="shared" si="3"/>
        <v>253</v>
      </c>
      <c r="D12">
        <f t="shared" si="4"/>
        <v>272</v>
      </c>
      <c r="E12">
        <f t="shared" si="5"/>
        <v>375</v>
      </c>
    </row>
    <row r="13" spans="1:12" x14ac:dyDescent="0.25">
      <c r="A13" s="1" t="s">
        <v>16</v>
      </c>
      <c r="B13">
        <f t="shared" si="2"/>
        <v>288</v>
      </c>
      <c r="C13">
        <f t="shared" si="3"/>
        <v>259</v>
      </c>
      <c r="D13">
        <f t="shared" si="4"/>
        <v>280</v>
      </c>
      <c r="E13">
        <f t="shared" si="5"/>
        <v>382</v>
      </c>
    </row>
    <row r="14" spans="1:12" x14ac:dyDescent="0.25">
      <c r="A14" s="1" t="s">
        <v>17</v>
      </c>
      <c r="B14">
        <f t="shared" si="2"/>
        <v>293</v>
      </c>
      <c r="C14">
        <f t="shared" si="3"/>
        <v>265</v>
      </c>
      <c r="D14">
        <f t="shared" si="4"/>
        <v>288</v>
      </c>
      <c r="E14">
        <f t="shared" si="5"/>
        <v>389</v>
      </c>
    </row>
    <row r="15" spans="1:12" x14ac:dyDescent="0.25">
      <c r="A15" s="1" t="s">
        <v>18</v>
      </c>
      <c r="B15">
        <f t="shared" si="2"/>
        <v>298</v>
      </c>
      <c r="C15">
        <f t="shared" si="3"/>
        <v>272</v>
      </c>
      <c r="D15">
        <f t="shared" si="4"/>
        <v>296</v>
      </c>
      <c r="E15">
        <f t="shared" si="5"/>
        <v>396</v>
      </c>
    </row>
    <row r="16" spans="1:12" x14ac:dyDescent="0.25">
      <c r="A16" s="1" t="s">
        <v>19</v>
      </c>
      <c r="B16">
        <f t="shared" si="2"/>
        <v>303</v>
      </c>
      <c r="C16">
        <f t="shared" si="3"/>
        <v>279</v>
      </c>
      <c r="D16">
        <f t="shared" si="4"/>
        <v>304</v>
      </c>
      <c r="E16">
        <f t="shared" si="5"/>
        <v>403</v>
      </c>
    </row>
    <row r="17" spans="1:5" x14ac:dyDescent="0.25">
      <c r="A17" s="1" t="s">
        <v>20</v>
      </c>
      <c r="B17">
        <f t="shared" si="2"/>
        <v>309</v>
      </c>
      <c r="C17">
        <f t="shared" si="3"/>
        <v>286</v>
      </c>
      <c r="D17">
        <f t="shared" si="4"/>
        <v>313</v>
      </c>
      <c r="E17">
        <f t="shared" si="5"/>
        <v>411</v>
      </c>
    </row>
    <row r="18" spans="1:5" x14ac:dyDescent="0.25">
      <c r="A18" s="1" t="s">
        <v>21</v>
      </c>
      <c r="B18">
        <f t="shared" si="2"/>
        <v>315</v>
      </c>
      <c r="C18">
        <f t="shared" si="3"/>
        <v>293</v>
      </c>
      <c r="D18">
        <f t="shared" si="4"/>
        <v>322</v>
      </c>
      <c r="E18">
        <f t="shared" si="5"/>
        <v>419</v>
      </c>
    </row>
    <row r="19" spans="1:5" x14ac:dyDescent="0.25">
      <c r="A19" s="1" t="s">
        <v>22</v>
      </c>
      <c r="B19">
        <f t="shared" si="2"/>
        <v>321</v>
      </c>
      <c r="C19">
        <f t="shared" si="3"/>
        <v>300</v>
      </c>
      <c r="D19">
        <f t="shared" si="4"/>
        <v>331</v>
      </c>
      <c r="E19">
        <f t="shared" si="5"/>
        <v>427</v>
      </c>
    </row>
    <row r="20" spans="1:5" x14ac:dyDescent="0.25">
      <c r="A20" s="1" t="s">
        <v>23</v>
      </c>
      <c r="B20">
        <f t="shared" si="2"/>
        <v>327</v>
      </c>
      <c r="C20">
        <f t="shared" si="3"/>
        <v>308</v>
      </c>
      <c r="D20">
        <f t="shared" si="4"/>
        <v>340</v>
      </c>
      <c r="E20">
        <f t="shared" si="5"/>
        <v>435</v>
      </c>
    </row>
    <row r="21" spans="1:5" x14ac:dyDescent="0.25">
      <c r="A21" s="2" t="s">
        <v>24</v>
      </c>
      <c r="B21">
        <f t="shared" si="2"/>
        <v>333</v>
      </c>
      <c r="C21">
        <f t="shared" si="3"/>
        <v>316</v>
      </c>
      <c r="D21">
        <f t="shared" si="4"/>
        <v>350</v>
      </c>
      <c r="E21">
        <f t="shared" si="5"/>
        <v>443</v>
      </c>
    </row>
    <row r="22" spans="1:5" x14ac:dyDescent="0.25">
      <c r="A22" s="3" t="s">
        <v>25</v>
      </c>
      <c r="B22">
        <v>333</v>
      </c>
      <c r="C22">
        <v>316</v>
      </c>
      <c r="D22">
        <v>350</v>
      </c>
      <c r="E22">
        <v>433</v>
      </c>
    </row>
    <row r="23" spans="1:5" x14ac:dyDescent="0.25">
      <c r="A23" s="3" t="s">
        <v>26</v>
      </c>
      <c r="B23">
        <v>333</v>
      </c>
      <c r="C23">
        <v>316</v>
      </c>
      <c r="D23">
        <v>350</v>
      </c>
      <c r="E23">
        <v>433</v>
      </c>
    </row>
    <row r="24" spans="1:5" x14ac:dyDescent="0.25">
      <c r="A24" s="3" t="s">
        <v>27</v>
      </c>
      <c r="B24">
        <v>333</v>
      </c>
      <c r="C24">
        <v>316</v>
      </c>
      <c r="D24">
        <v>350</v>
      </c>
      <c r="E24">
        <v>433</v>
      </c>
    </row>
    <row r="25" spans="1:5" x14ac:dyDescent="0.25">
      <c r="A25" s="3" t="s">
        <v>28</v>
      </c>
      <c r="B25">
        <v>333</v>
      </c>
      <c r="C25">
        <v>316</v>
      </c>
      <c r="D25">
        <v>350</v>
      </c>
      <c r="E25">
        <v>433</v>
      </c>
    </row>
    <row r="26" spans="1:5" x14ac:dyDescent="0.25">
      <c r="A26" s="1" t="s">
        <v>29</v>
      </c>
      <c r="B26">
        <f>INT( B25 * 99%)</f>
        <v>329</v>
      </c>
      <c r="C26">
        <f>INT( C25 * 98.8%)</f>
        <v>312</v>
      </c>
      <c r="D26">
        <f>INT( D25 * 98.1%)</f>
        <v>343</v>
      </c>
      <c r="E26">
        <f>INT( E25 * 97.5%)</f>
        <v>422</v>
      </c>
    </row>
    <row r="27" spans="1:5" x14ac:dyDescent="0.25">
      <c r="A27" s="1" t="s">
        <v>30</v>
      </c>
      <c r="B27">
        <f t="shared" ref="B27:B33" si="12">INT( B26 * 99%)</f>
        <v>325</v>
      </c>
      <c r="C27">
        <f t="shared" ref="C27:C33" si="13">INT( C26 * 98.8%)</f>
        <v>308</v>
      </c>
      <c r="D27">
        <f t="shared" ref="D27:D33" si="14">INT( D26 * 98.1%)</f>
        <v>336</v>
      </c>
      <c r="E27">
        <f t="shared" ref="E27:E33" si="15">INT( E26 * 97.5%)</f>
        <v>411</v>
      </c>
    </row>
    <row r="28" spans="1:5" x14ac:dyDescent="0.25">
      <c r="A28" s="1" t="s">
        <v>31</v>
      </c>
      <c r="B28">
        <f t="shared" si="12"/>
        <v>321</v>
      </c>
      <c r="C28">
        <f t="shared" si="13"/>
        <v>304</v>
      </c>
      <c r="D28">
        <f t="shared" si="14"/>
        <v>329</v>
      </c>
      <c r="E28">
        <f t="shared" si="15"/>
        <v>400</v>
      </c>
    </row>
    <row r="29" spans="1:5" x14ac:dyDescent="0.25">
      <c r="A29" s="4" t="s">
        <v>32</v>
      </c>
      <c r="B29" s="5">
        <f t="shared" si="12"/>
        <v>317</v>
      </c>
      <c r="C29" s="5">
        <f t="shared" si="13"/>
        <v>300</v>
      </c>
      <c r="D29" s="5">
        <f t="shared" si="14"/>
        <v>322</v>
      </c>
      <c r="E29" s="5">
        <f t="shared" si="15"/>
        <v>390</v>
      </c>
    </row>
    <row r="30" spans="1:5" x14ac:dyDescent="0.25">
      <c r="A30" s="1" t="s">
        <v>33</v>
      </c>
      <c r="B30">
        <f t="shared" si="12"/>
        <v>313</v>
      </c>
      <c r="C30">
        <f t="shared" si="13"/>
        <v>296</v>
      </c>
      <c r="D30">
        <f t="shared" si="14"/>
        <v>315</v>
      </c>
      <c r="E30">
        <f t="shared" si="15"/>
        <v>380</v>
      </c>
    </row>
    <row r="31" spans="1:5" x14ac:dyDescent="0.25">
      <c r="A31" s="1" t="s">
        <v>34</v>
      </c>
      <c r="B31">
        <f t="shared" si="12"/>
        <v>309</v>
      </c>
      <c r="C31">
        <f t="shared" si="13"/>
        <v>292</v>
      </c>
      <c r="D31">
        <f t="shared" si="14"/>
        <v>309</v>
      </c>
      <c r="E31">
        <f t="shared" si="15"/>
        <v>370</v>
      </c>
    </row>
    <row r="32" spans="1:5" x14ac:dyDescent="0.25">
      <c r="A32" s="1" t="s">
        <v>35</v>
      </c>
      <c r="B32">
        <f t="shared" si="12"/>
        <v>305</v>
      </c>
      <c r="C32">
        <f t="shared" si="13"/>
        <v>288</v>
      </c>
      <c r="D32">
        <f t="shared" si="14"/>
        <v>303</v>
      </c>
      <c r="E32">
        <f t="shared" si="15"/>
        <v>360</v>
      </c>
    </row>
    <row r="33" spans="1:5" x14ac:dyDescent="0.25">
      <c r="A33" s="1" t="s">
        <v>36</v>
      </c>
      <c r="B33">
        <f t="shared" si="12"/>
        <v>301</v>
      </c>
      <c r="C33">
        <f t="shared" si="13"/>
        <v>284</v>
      </c>
      <c r="D33">
        <f t="shared" si="14"/>
        <v>297</v>
      </c>
      <c r="E33">
        <f t="shared" si="15"/>
        <v>351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5713-9D9F-4809-A78A-1BE91065EF1C}">
  <dimension ref="A1:J65"/>
  <sheetViews>
    <sheetView topLeftCell="A32" workbookViewId="0">
      <selection activeCell="G3" sqref="G3"/>
    </sheetView>
  </sheetViews>
  <sheetFormatPr defaultRowHeight="15" x14ac:dyDescent="0.25"/>
  <cols>
    <col min="1" max="1" width="13.5703125" bestFit="1" customWidth="1"/>
    <col min="7" max="8" width="15.5703125" bestFit="1" customWidth="1"/>
    <col min="9" max="9" width="16.5703125" bestFit="1" customWidth="1"/>
    <col min="10" max="10" width="15.5703125" bestFit="1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8" x14ac:dyDescent="0.25">
      <c r="A2" s="1" t="s">
        <v>5</v>
      </c>
      <c r="B2">
        <v>237</v>
      </c>
      <c r="C2">
        <v>198</v>
      </c>
      <c r="D2">
        <v>207</v>
      </c>
      <c r="E2">
        <v>312</v>
      </c>
      <c r="G2" s="7" t="s">
        <v>73</v>
      </c>
      <c r="H2" t="s">
        <v>38</v>
      </c>
    </row>
    <row r="3" spans="1:8" x14ac:dyDescent="0.25">
      <c r="A3" s="1" t="s">
        <v>6</v>
      </c>
      <c r="B3">
        <f>INT( B2 * 1.02)</f>
        <v>241</v>
      </c>
      <c r="C3">
        <f>INT(C2 * 1.027)</f>
        <v>203</v>
      </c>
      <c r="D3">
        <f>INT(D2 * 1.03)</f>
        <v>213</v>
      </c>
      <c r="E3">
        <f>INT(E2 * 1.02)</f>
        <v>318</v>
      </c>
      <c r="H3">
        <v>307</v>
      </c>
    </row>
    <row r="4" spans="1:8" x14ac:dyDescent="0.25">
      <c r="A4" s="1" t="s">
        <v>7</v>
      </c>
      <c r="B4">
        <f t="shared" ref="B4:B21" si="0">INT( B3 * 1.02)</f>
        <v>245</v>
      </c>
      <c r="C4">
        <f t="shared" ref="C4:C21" si="1">INT(C3 * 1.027)</f>
        <v>208</v>
      </c>
      <c r="D4">
        <f t="shared" ref="D4:D21" si="2">INT(D3 * 1.03)</f>
        <v>219</v>
      </c>
      <c r="E4">
        <f t="shared" ref="E4:E21" si="3">INT(E3 * 1.02)</f>
        <v>324</v>
      </c>
      <c r="H4" s="8" t="s">
        <v>44</v>
      </c>
    </row>
    <row r="5" spans="1:8" x14ac:dyDescent="0.25">
      <c r="A5" s="1" t="s">
        <v>8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8" x14ac:dyDescent="0.25">
      <c r="A6" s="1" t="s">
        <v>9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8" x14ac:dyDescent="0.25">
      <c r="A7" s="1" t="s">
        <v>10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8" x14ac:dyDescent="0.25">
      <c r="A8" s="1" t="s">
        <v>11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8" x14ac:dyDescent="0.25">
      <c r="A9" s="1" t="s">
        <v>12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8" x14ac:dyDescent="0.25">
      <c r="A10" s="1" t="s">
        <v>13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8" x14ac:dyDescent="0.25">
      <c r="A11" s="1" t="s">
        <v>14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8" x14ac:dyDescent="0.25">
      <c r="A12" s="1" t="s">
        <v>15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8" x14ac:dyDescent="0.25">
      <c r="A13" s="1" t="s">
        <v>16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8" x14ac:dyDescent="0.25">
      <c r="A14" s="1" t="s">
        <v>17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8" x14ac:dyDescent="0.25">
      <c r="A15" s="1" t="s">
        <v>18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8" x14ac:dyDescent="0.25">
      <c r="A16" s="1" t="s">
        <v>19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10" x14ac:dyDescent="0.25">
      <c r="A17" s="1" t="s">
        <v>20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10" x14ac:dyDescent="0.25">
      <c r="A18" s="1" t="s">
        <v>21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10" x14ac:dyDescent="0.25">
      <c r="A19" s="1" t="s">
        <v>22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10" x14ac:dyDescent="0.25">
      <c r="A20" s="1" t="s">
        <v>23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10" x14ac:dyDescent="0.25">
      <c r="A21" s="2" t="s">
        <v>24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10" x14ac:dyDescent="0.25">
      <c r="A22" s="3" t="s">
        <v>25</v>
      </c>
      <c r="B22">
        <v>333</v>
      </c>
      <c r="C22">
        <v>316</v>
      </c>
      <c r="D22">
        <v>350</v>
      </c>
      <c r="E22">
        <v>433</v>
      </c>
    </row>
    <row r="23" spans="1:10" x14ac:dyDescent="0.25">
      <c r="A23" s="3" t="s">
        <v>26</v>
      </c>
      <c r="B23">
        <v>333</v>
      </c>
      <c r="C23">
        <v>316</v>
      </c>
      <c r="D23">
        <v>350</v>
      </c>
      <c r="E23">
        <v>433</v>
      </c>
    </row>
    <row r="24" spans="1:10" x14ac:dyDescent="0.25">
      <c r="A24" s="3" t="s">
        <v>27</v>
      </c>
      <c r="B24">
        <v>333</v>
      </c>
      <c r="C24">
        <v>316</v>
      </c>
      <c r="D24">
        <v>350</v>
      </c>
      <c r="E24">
        <v>433</v>
      </c>
    </row>
    <row r="25" spans="1:10" x14ac:dyDescent="0.25">
      <c r="A25" s="3" t="s">
        <v>28</v>
      </c>
      <c r="B25">
        <v>333</v>
      </c>
      <c r="C25">
        <v>316</v>
      </c>
      <c r="D25">
        <v>350</v>
      </c>
      <c r="E25">
        <v>433</v>
      </c>
      <c r="G25" t="s">
        <v>39</v>
      </c>
      <c r="H25" t="s">
        <v>37</v>
      </c>
      <c r="I25" t="s">
        <v>72</v>
      </c>
      <c r="J25" t="s">
        <v>38</v>
      </c>
    </row>
    <row r="26" spans="1:10" x14ac:dyDescent="0.25">
      <c r="A26" s="1" t="s">
        <v>29</v>
      </c>
      <c r="B26">
        <f>INT( B25 * 99%)</f>
        <v>329</v>
      </c>
      <c r="C26">
        <f>INT( C25 * 98.8%)</f>
        <v>312</v>
      </c>
      <c r="D26">
        <f>INT( D25 * 98.1%)</f>
        <v>343</v>
      </c>
      <c r="E26">
        <f>INT( E25 * 97.5%)</f>
        <v>422</v>
      </c>
      <c r="G26" t="str">
        <f>IF(B26&lt;=B$2,"PRAWDA","FAŁSZ")</f>
        <v>FAŁSZ</v>
      </c>
      <c r="H26" t="str">
        <f>IF(C26&lt;=C$2,"PRAWDA","FAŁSZ")</f>
        <v>FAŁSZ</v>
      </c>
      <c r="I26" t="str">
        <f t="shared" ref="I26:J41" si="4">IF(D26&lt;=D$2,"PRAWDA","FAŁSZ")</f>
        <v>FAŁSZ</v>
      </c>
      <c r="J26" t="str">
        <f t="shared" si="4"/>
        <v>FAŁSZ</v>
      </c>
    </row>
    <row r="27" spans="1:10" x14ac:dyDescent="0.25">
      <c r="A27" s="1" t="s">
        <v>30</v>
      </c>
      <c r="B27">
        <f t="shared" ref="B27:B32" si="5">INT( B26 * 99%)</f>
        <v>325</v>
      </c>
      <c r="C27">
        <f t="shared" ref="C27:C65" si="6">INT( C26 * 98.8%)</f>
        <v>308</v>
      </c>
      <c r="D27">
        <f t="shared" ref="D27:D65" si="7">INT( D26 * 98.1%)</f>
        <v>336</v>
      </c>
      <c r="E27">
        <f t="shared" ref="E27:E65" si="8">INT( E26 * 97.5%)</f>
        <v>411</v>
      </c>
      <c r="G27" t="str">
        <f t="shared" ref="G27:G62" si="9">IF(B27&lt;=$B$2,"PRAWDA","FAŁSZ")</f>
        <v>FAŁSZ</v>
      </c>
      <c r="H27" t="str">
        <f t="shared" ref="H27:J62" si="10">IF(C27&lt;=C$2,"PRAWDA","FAŁSZ")</f>
        <v>FAŁSZ</v>
      </c>
      <c r="I27" t="str">
        <f t="shared" si="4"/>
        <v>FAŁSZ</v>
      </c>
      <c r="J27" t="str">
        <f t="shared" si="4"/>
        <v>FAŁSZ</v>
      </c>
    </row>
    <row r="28" spans="1:10" x14ac:dyDescent="0.25">
      <c r="A28" s="1" t="s">
        <v>31</v>
      </c>
      <c r="B28">
        <f t="shared" si="5"/>
        <v>321</v>
      </c>
      <c r="C28">
        <f t="shared" si="6"/>
        <v>304</v>
      </c>
      <c r="D28">
        <f t="shared" si="7"/>
        <v>329</v>
      </c>
      <c r="E28">
        <f t="shared" si="8"/>
        <v>400</v>
      </c>
      <c r="G28" t="str">
        <f t="shared" si="9"/>
        <v>FAŁSZ</v>
      </c>
      <c r="H28" t="str">
        <f t="shared" si="10"/>
        <v>FAŁSZ</v>
      </c>
      <c r="I28" t="str">
        <f t="shared" si="4"/>
        <v>FAŁSZ</v>
      </c>
      <c r="J28" t="str">
        <f t="shared" si="4"/>
        <v>FAŁSZ</v>
      </c>
    </row>
    <row r="29" spans="1:10" x14ac:dyDescent="0.25">
      <c r="A29" s="4" t="s">
        <v>32</v>
      </c>
      <c r="B29" s="5">
        <f t="shared" si="5"/>
        <v>317</v>
      </c>
      <c r="C29" s="5">
        <f t="shared" si="6"/>
        <v>300</v>
      </c>
      <c r="D29" s="5">
        <f t="shared" si="7"/>
        <v>322</v>
      </c>
      <c r="E29" s="5">
        <f t="shared" si="8"/>
        <v>390</v>
      </c>
      <c r="G29" t="str">
        <f t="shared" si="9"/>
        <v>FAŁSZ</v>
      </c>
      <c r="H29" t="str">
        <f t="shared" si="10"/>
        <v>FAŁSZ</v>
      </c>
      <c r="I29" t="str">
        <f t="shared" si="4"/>
        <v>FAŁSZ</v>
      </c>
      <c r="J29" t="str">
        <f t="shared" si="4"/>
        <v>FAŁSZ</v>
      </c>
    </row>
    <row r="30" spans="1:10" x14ac:dyDescent="0.25">
      <c r="A30" s="1" t="s">
        <v>33</v>
      </c>
      <c r="B30">
        <f t="shared" si="5"/>
        <v>313</v>
      </c>
      <c r="C30">
        <f t="shared" si="6"/>
        <v>296</v>
      </c>
      <c r="D30">
        <f t="shared" si="7"/>
        <v>315</v>
      </c>
      <c r="E30">
        <f t="shared" si="8"/>
        <v>380</v>
      </c>
      <c r="G30" t="str">
        <f t="shared" si="9"/>
        <v>FAŁSZ</v>
      </c>
      <c r="H30" t="str">
        <f t="shared" si="10"/>
        <v>FAŁSZ</v>
      </c>
      <c r="I30" t="str">
        <f t="shared" si="4"/>
        <v>FAŁSZ</v>
      </c>
      <c r="J30" t="str">
        <f t="shared" si="4"/>
        <v>FAŁSZ</v>
      </c>
    </row>
    <row r="31" spans="1:10" x14ac:dyDescent="0.25">
      <c r="A31" s="1" t="s">
        <v>34</v>
      </c>
      <c r="B31">
        <f t="shared" si="5"/>
        <v>309</v>
      </c>
      <c r="C31">
        <f t="shared" si="6"/>
        <v>292</v>
      </c>
      <c r="D31">
        <f t="shared" si="7"/>
        <v>309</v>
      </c>
      <c r="E31">
        <f t="shared" si="8"/>
        <v>370</v>
      </c>
      <c r="G31" t="str">
        <f t="shared" si="9"/>
        <v>FAŁSZ</v>
      </c>
      <c r="H31" t="str">
        <f t="shared" si="10"/>
        <v>FAŁSZ</v>
      </c>
      <c r="I31" t="str">
        <f t="shared" si="4"/>
        <v>FAŁSZ</v>
      </c>
      <c r="J31" t="str">
        <f t="shared" si="4"/>
        <v>FAŁSZ</v>
      </c>
    </row>
    <row r="32" spans="1:10" x14ac:dyDescent="0.25">
      <c r="A32" s="1" t="s">
        <v>35</v>
      </c>
      <c r="B32">
        <f t="shared" si="5"/>
        <v>305</v>
      </c>
      <c r="C32">
        <f t="shared" si="6"/>
        <v>288</v>
      </c>
      <c r="D32">
        <f t="shared" si="7"/>
        <v>303</v>
      </c>
      <c r="E32">
        <f t="shared" si="8"/>
        <v>360</v>
      </c>
      <c r="G32" t="str">
        <f t="shared" si="9"/>
        <v>FAŁSZ</v>
      </c>
      <c r="H32" t="str">
        <f t="shared" si="10"/>
        <v>FAŁSZ</v>
      </c>
      <c r="I32" t="str">
        <f t="shared" si="4"/>
        <v>FAŁSZ</v>
      </c>
      <c r="J32" t="str">
        <f t="shared" si="4"/>
        <v>FAŁSZ</v>
      </c>
    </row>
    <row r="33" spans="1:10" x14ac:dyDescent="0.25">
      <c r="A33" s="1" t="s">
        <v>36</v>
      </c>
      <c r="B33">
        <f>INT( B32 * 99%)</f>
        <v>301</v>
      </c>
      <c r="C33">
        <f t="shared" si="6"/>
        <v>284</v>
      </c>
      <c r="D33">
        <f t="shared" si="7"/>
        <v>297</v>
      </c>
      <c r="E33">
        <f t="shared" si="8"/>
        <v>351</v>
      </c>
      <c r="G33" t="str">
        <f t="shared" si="9"/>
        <v>FAŁSZ</v>
      </c>
      <c r="H33" t="str">
        <f t="shared" si="10"/>
        <v>FAŁSZ</v>
      </c>
      <c r="I33" t="str">
        <f t="shared" si="4"/>
        <v>FAŁSZ</v>
      </c>
      <c r="J33" t="str">
        <f t="shared" si="4"/>
        <v>FAŁSZ</v>
      </c>
    </row>
    <row r="34" spans="1:10" x14ac:dyDescent="0.25">
      <c r="A34" s="1" t="s">
        <v>40</v>
      </c>
      <c r="B34">
        <f t="shared" ref="B34:B65" si="11">INT( B33 * 99%)</f>
        <v>297</v>
      </c>
      <c r="C34">
        <f t="shared" si="6"/>
        <v>280</v>
      </c>
      <c r="D34">
        <f t="shared" si="7"/>
        <v>291</v>
      </c>
      <c r="E34">
        <f t="shared" si="8"/>
        <v>342</v>
      </c>
      <c r="G34" t="str">
        <f t="shared" si="9"/>
        <v>FAŁSZ</v>
      </c>
      <c r="H34" t="str">
        <f t="shared" si="10"/>
        <v>FAŁSZ</v>
      </c>
      <c r="I34" t="str">
        <f t="shared" si="4"/>
        <v>FAŁSZ</v>
      </c>
      <c r="J34" t="str">
        <f t="shared" si="4"/>
        <v>FAŁSZ</v>
      </c>
    </row>
    <row r="35" spans="1:10" x14ac:dyDescent="0.25">
      <c r="A35" s="1" t="s">
        <v>41</v>
      </c>
      <c r="B35">
        <f t="shared" si="11"/>
        <v>294</v>
      </c>
      <c r="C35">
        <f t="shared" si="6"/>
        <v>276</v>
      </c>
      <c r="D35">
        <f t="shared" si="7"/>
        <v>285</v>
      </c>
      <c r="E35">
        <f t="shared" si="8"/>
        <v>333</v>
      </c>
      <c r="G35" t="str">
        <f t="shared" si="9"/>
        <v>FAŁSZ</v>
      </c>
      <c r="H35" t="str">
        <f t="shared" si="10"/>
        <v>FAŁSZ</v>
      </c>
      <c r="I35" t="str">
        <f t="shared" si="4"/>
        <v>FAŁSZ</v>
      </c>
      <c r="J35" t="str">
        <f t="shared" si="4"/>
        <v>FAŁSZ</v>
      </c>
    </row>
    <row r="36" spans="1:10" x14ac:dyDescent="0.25">
      <c r="A36" s="1" t="s">
        <v>42</v>
      </c>
      <c r="B36">
        <f t="shared" si="11"/>
        <v>291</v>
      </c>
      <c r="C36">
        <f t="shared" si="6"/>
        <v>272</v>
      </c>
      <c r="D36">
        <f t="shared" si="7"/>
        <v>279</v>
      </c>
      <c r="E36">
        <f t="shared" si="8"/>
        <v>324</v>
      </c>
      <c r="G36" t="str">
        <f t="shared" si="9"/>
        <v>FAŁSZ</v>
      </c>
      <c r="H36" t="str">
        <f t="shared" si="10"/>
        <v>FAŁSZ</v>
      </c>
      <c r="I36" t="str">
        <f t="shared" si="4"/>
        <v>FAŁSZ</v>
      </c>
      <c r="J36" t="str">
        <f t="shared" si="4"/>
        <v>FAŁSZ</v>
      </c>
    </row>
    <row r="37" spans="1:10" x14ac:dyDescent="0.25">
      <c r="A37" s="1" t="s">
        <v>43</v>
      </c>
      <c r="B37">
        <f t="shared" si="11"/>
        <v>288</v>
      </c>
      <c r="C37">
        <f t="shared" si="6"/>
        <v>268</v>
      </c>
      <c r="D37">
        <f t="shared" si="7"/>
        <v>273</v>
      </c>
      <c r="E37">
        <f t="shared" si="8"/>
        <v>315</v>
      </c>
      <c r="G37" t="str">
        <f t="shared" si="9"/>
        <v>FAŁSZ</v>
      </c>
      <c r="H37" t="str">
        <f t="shared" si="10"/>
        <v>FAŁSZ</v>
      </c>
      <c r="I37" t="str">
        <f t="shared" si="4"/>
        <v>FAŁSZ</v>
      </c>
      <c r="J37" t="str">
        <f t="shared" si="4"/>
        <v>FAŁSZ</v>
      </c>
    </row>
    <row r="38" spans="1:10" x14ac:dyDescent="0.25">
      <c r="A38" s="2" t="s">
        <v>44</v>
      </c>
      <c r="B38" s="6">
        <f t="shared" si="11"/>
        <v>285</v>
      </c>
      <c r="C38" s="6">
        <f t="shared" si="6"/>
        <v>264</v>
      </c>
      <c r="D38" s="6">
        <f t="shared" si="7"/>
        <v>267</v>
      </c>
      <c r="E38" s="6">
        <f t="shared" si="8"/>
        <v>307</v>
      </c>
      <c r="F38" s="6"/>
      <c r="G38" s="6" t="str">
        <f t="shared" si="9"/>
        <v>FAŁSZ</v>
      </c>
      <c r="H38" s="6" t="str">
        <f t="shared" si="10"/>
        <v>FAŁSZ</v>
      </c>
      <c r="I38" s="6" t="str">
        <f t="shared" si="4"/>
        <v>FAŁSZ</v>
      </c>
      <c r="J38" s="6" t="str">
        <f>IF(E38&lt;=E$2,"PRAWDA","FAŁSZ")</f>
        <v>PRAWDA</v>
      </c>
    </row>
    <row r="39" spans="1:10" x14ac:dyDescent="0.25">
      <c r="A39" s="1" t="s">
        <v>45</v>
      </c>
      <c r="B39">
        <f t="shared" si="11"/>
        <v>282</v>
      </c>
      <c r="C39">
        <f t="shared" si="6"/>
        <v>260</v>
      </c>
      <c r="D39">
        <f t="shared" si="7"/>
        <v>261</v>
      </c>
      <c r="E39">
        <f t="shared" si="8"/>
        <v>299</v>
      </c>
      <c r="G39" t="str">
        <f t="shared" si="9"/>
        <v>FAŁSZ</v>
      </c>
      <c r="H39" t="str">
        <f t="shared" si="10"/>
        <v>FAŁSZ</v>
      </c>
      <c r="I39" t="str">
        <f t="shared" si="4"/>
        <v>FAŁSZ</v>
      </c>
      <c r="J39" t="str">
        <f t="shared" si="4"/>
        <v>PRAWDA</v>
      </c>
    </row>
    <row r="40" spans="1:10" x14ac:dyDescent="0.25">
      <c r="A40" s="1" t="s">
        <v>46</v>
      </c>
      <c r="B40">
        <f t="shared" si="11"/>
        <v>279</v>
      </c>
      <c r="C40">
        <f t="shared" si="6"/>
        <v>256</v>
      </c>
      <c r="D40">
        <f t="shared" si="7"/>
        <v>256</v>
      </c>
      <c r="E40">
        <f t="shared" si="8"/>
        <v>291</v>
      </c>
      <c r="G40" t="str">
        <f t="shared" si="9"/>
        <v>FAŁSZ</v>
      </c>
      <c r="H40" t="str">
        <f t="shared" si="10"/>
        <v>FAŁSZ</v>
      </c>
      <c r="I40" t="str">
        <f t="shared" si="4"/>
        <v>FAŁSZ</v>
      </c>
      <c r="J40" t="str">
        <f t="shared" si="4"/>
        <v>PRAWDA</v>
      </c>
    </row>
    <row r="41" spans="1:10" x14ac:dyDescent="0.25">
      <c r="A41" s="1" t="s">
        <v>47</v>
      </c>
      <c r="B41">
        <f t="shared" si="11"/>
        <v>276</v>
      </c>
      <c r="C41">
        <f t="shared" si="6"/>
        <v>252</v>
      </c>
      <c r="D41">
        <f t="shared" si="7"/>
        <v>251</v>
      </c>
      <c r="E41">
        <f t="shared" si="8"/>
        <v>283</v>
      </c>
      <c r="G41" t="str">
        <f t="shared" si="9"/>
        <v>FAŁSZ</v>
      </c>
      <c r="H41" t="str">
        <f t="shared" si="10"/>
        <v>FAŁSZ</v>
      </c>
      <c r="I41" t="str">
        <f t="shared" si="4"/>
        <v>FAŁSZ</v>
      </c>
      <c r="J41" t="str">
        <f t="shared" si="4"/>
        <v>PRAWDA</v>
      </c>
    </row>
    <row r="42" spans="1:10" x14ac:dyDescent="0.25">
      <c r="A42" s="1" t="s">
        <v>48</v>
      </c>
      <c r="B42">
        <f t="shared" si="11"/>
        <v>273</v>
      </c>
      <c r="C42">
        <f t="shared" si="6"/>
        <v>248</v>
      </c>
      <c r="D42">
        <f t="shared" si="7"/>
        <v>246</v>
      </c>
      <c r="E42">
        <f t="shared" si="8"/>
        <v>275</v>
      </c>
      <c r="G42" t="str">
        <f t="shared" si="9"/>
        <v>FAŁSZ</v>
      </c>
      <c r="H42" t="str">
        <f t="shared" si="10"/>
        <v>FAŁSZ</v>
      </c>
      <c r="I42" t="str">
        <f t="shared" si="10"/>
        <v>FAŁSZ</v>
      </c>
      <c r="J42" t="str">
        <f t="shared" si="10"/>
        <v>PRAWDA</v>
      </c>
    </row>
    <row r="43" spans="1:10" x14ac:dyDescent="0.25">
      <c r="A43" s="1" t="s">
        <v>49</v>
      </c>
      <c r="B43">
        <f t="shared" si="11"/>
        <v>270</v>
      </c>
      <c r="C43">
        <f t="shared" si="6"/>
        <v>245</v>
      </c>
      <c r="D43">
        <f t="shared" si="7"/>
        <v>241</v>
      </c>
      <c r="E43">
        <f t="shared" si="8"/>
        <v>268</v>
      </c>
      <c r="G43" t="str">
        <f t="shared" si="9"/>
        <v>FAŁSZ</v>
      </c>
      <c r="H43" t="str">
        <f t="shared" si="10"/>
        <v>FAŁSZ</v>
      </c>
      <c r="I43" t="str">
        <f t="shared" si="10"/>
        <v>FAŁSZ</v>
      </c>
      <c r="J43" t="str">
        <f t="shared" si="10"/>
        <v>PRAWDA</v>
      </c>
    </row>
    <row r="44" spans="1:10" x14ac:dyDescent="0.25">
      <c r="A44" s="1" t="s">
        <v>50</v>
      </c>
      <c r="B44">
        <f t="shared" si="11"/>
        <v>267</v>
      </c>
      <c r="C44">
        <f t="shared" si="6"/>
        <v>242</v>
      </c>
      <c r="D44">
        <f t="shared" si="7"/>
        <v>236</v>
      </c>
      <c r="E44">
        <f t="shared" si="8"/>
        <v>261</v>
      </c>
      <c r="G44" t="str">
        <f t="shared" si="9"/>
        <v>FAŁSZ</v>
      </c>
      <c r="H44" t="str">
        <f t="shared" si="10"/>
        <v>FAŁSZ</v>
      </c>
      <c r="I44" t="str">
        <f t="shared" si="10"/>
        <v>FAŁSZ</v>
      </c>
      <c r="J44" t="str">
        <f t="shared" si="10"/>
        <v>PRAWDA</v>
      </c>
    </row>
    <row r="45" spans="1:10" x14ac:dyDescent="0.25">
      <c r="A45" s="1" t="s">
        <v>51</v>
      </c>
      <c r="B45">
        <f t="shared" si="11"/>
        <v>264</v>
      </c>
      <c r="C45">
        <f t="shared" si="6"/>
        <v>239</v>
      </c>
      <c r="D45">
        <f t="shared" si="7"/>
        <v>231</v>
      </c>
      <c r="E45">
        <f t="shared" si="8"/>
        <v>254</v>
      </c>
      <c r="G45" t="str">
        <f t="shared" si="9"/>
        <v>FAŁSZ</v>
      </c>
      <c r="H45" t="str">
        <f t="shared" si="10"/>
        <v>FAŁSZ</v>
      </c>
      <c r="I45" t="str">
        <f t="shared" si="10"/>
        <v>FAŁSZ</v>
      </c>
      <c r="J45" t="str">
        <f t="shared" si="10"/>
        <v>PRAWDA</v>
      </c>
    </row>
    <row r="46" spans="1:10" x14ac:dyDescent="0.25">
      <c r="A46" s="1" t="s">
        <v>52</v>
      </c>
      <c r="B46">
        <f t="shared" si="11"/>
        <v>261</v>
      </c>
      <c r="C46">
        <f t="shared" si="6"/>
        <v>236</v>
      </c>
      <c r="D46">
        <f t="shared" si="7"/>
        <v>226</v>
      </c>
      <c r="E46">
        <f t="shared" si="8"/>
        <v>247</v>
      </c>
      <c r="G46" t="str">
        <f t="shared" si="9"/>
        <v>FAŁSZ</v>
      </c>
      <c r="H46" t="str">
        <f t="shared" si="10"/>
        <v>FAŁSZ</v>
      </c>
      <c r="I46" t="str">
        <f t="shared" si="10"/>
        <v>FAŁSZ</v>
      </c>
      <c r="J46" t="str">
        <f t="shared" si="10"/>
        <v>PRAWDA</v>
      </c>
    </row>
    <row r="47" spans="1:10" x14ac:dyDescent="0.25">
      <c r="A47" s="1" t="s">
        <v>53</v>
      </c>
      <c r="B47">
        <f t="shared" si="11"/>
        <v>258</v>
      </c>
      <c r="C47">
        <f t="shared" si="6"/>
        <v>233</v>
      </c>
      <c r="D47">
        <f t="shared" si="7"/>
        <v>221</v>
      </c>
      <c r="E47">
        <f t="shared" si="8"/>
        <v>240</v>
      </c>
      <c r="G47" t="str">
        <f t="shared" si="9"/>
        <v>FAŁSZ</v>
      </c>
      <c r="H47" t="str">
        <f t="shared" si="10"/>
        <v>FAŁSZ</v>
      </c>
      <c r="I47" t="str">
        <f t="shared" si="10"/>
        <v>FAŁSZ</v>
      </c>
      <c r="J47" t="str">
        <f t="shared" si="10"/>
        <v>PRAWDA</v>
      </c>
    </row>
    <row r="48" spans="1:10" x14ac:dyDescent="0.25">
      <c r="A48" s="1" t="s">
        <v>54</v>
      </c>
      <c r="B48">
        <f t="shared" si="11"/>
        <v>255</v>
      </c>
      <c r="C48">
        <f t="shared" si="6"/>
        <v>230</v>
      </c>
      <c r="D48">
        <f t="shared" si="7"/>
        <v>216</v>
      </c>
      <c r="E48">
        <f t="shared" si="8"/>
        <v>234</v>
      </c>
      <c r="G48" t="str">
        <f t="shared" si="9"/>
        <v>FAŁSZ</v>
      </c>
      <c r="H48" t="str">
        <f t="shared" si="10"/>
        <v>FAŁSZ</v>
      </c>
      <c r="I48" t="str">
        <f t="shared" si="10"/>
        <v>FAŁSZ</v>
      </c>
      <c r="J48" t="str">
        <f t="shared" si="10"/>
        <v>PRAWDA</v>
      </c>
    </row>
    <row r="49" spans="1:10" x14ac:dyDescent="0.25">
      <c r="A49" s="1" t="s">
        <v>55</v>
      </c>
      <c r="B49">
        <f t="shared" si="11"/>
        <v>252</v>
      </c>
      <c r="C49">
        <f t="shared" si="6"/>
        <v>227</v>
      </c>
      <c r="D49">
        <f t="shared" si="7"/>
        <v>211</v>
      </c>
      <c r="E49">
        <f t="shared" si="8"/>
        <v>228</v>
      </c>
      <c r="G49" t="str">
        <f t="shared" si="9"/>
        <v>FAŁSZ</v>
      </c>
      <c r="H49" t="str">
        <f t="shared" si="10"/>
        <v>FAŁSZ</v>
      </c>
      <c r="I49" t="str">
        <f t="shared" si="10"/>
        <v>FAŁSZ</v>
      </c>
      <c r="J49" t="str">
        <f t="shared" si="10"/>
        <v>PRAWDA</v>
      </c>
    </row>
    <row r="50" spans="1:10" x14ac:dyDescent="0.25">
      <c r="A50" s="1" t="s">
        <v>56</v>
      </c>
      <c r="B50">
        <f t="shared" si="11"/>
        <v>249</v>
      </c>
      <c r="C50">
        <f t="shared" si="6"/>
        <v>224</v>
      </c>
      <c r="D50">
        <f t="shared" si="7"/>
        <v>206</v>
      </c>
      <c r="E50">
        <f t="shared" si="8"/>
        <v>222</v>
      </c>
      <c r="G50" t="str">
        <f t="shared" si="9"/>
        <v>FAŁSZ</v>
      </c>
      <c r="H50" t="str">
        <f t="shared" si="10"/>
        <v>FAŁSZ</v>
      </c>
      <c r="I50" t="str">
        <f t="shared" si="10"/>
        <v>PRAWDA</v>
      </c>
      <c r="J50" t="str">
        <f t="shared" si="10"/>
        <v>PRAWDA</v>
      </c>
    </row>
    <row r="51" spans="1:10" x14ac:dyDescent="0.25">
      <c r="A51" s="1" t="s">
        <v>57</v>
      </c>
      <c r="B51">
        <f t="shared" si="11"/>
        <v>246</v>
      </c>
      <c r="C51">
        <f t="shared" si="6"/>
        <v>221</v>
      </c>
      <c r="D51">
        <f t="shared" si="7"/>
        <v>202</v>
      </c>
      <c r="E51">
        <f t="shared" si="8"/>
        <v>216</v>
      </c>
      <c r="G51" t="str">
        <f t="shared" si="9"/>
        <v>FAŁSZ</v>
      </c>
      <c r="H51" t="str">
        <f t="shared" si="10"/>
        <v>FAŁSZ</v>
      </c>
      <c r="I51" t="str">
        <f t="shared" si="10"/>
        <v>PRAWDA</v>
      </c>
      <c r="J51" t="str">
        <f t="shared" si="10"/>
        <v>PRAWDA</v>
      </c>
    </row>
    <row r="52" spans="1:10" x14ac:dyDescent="0.25">
      <c r="A52" s="1" t="s">
        <v>58</v>
      </c>
      <c r="B52">
        <f t="shared" si="11"/>
        <v>243</v>
      </c>
      <c r="C52">
        <f t="shared" si="6"/>
        <v>218</v>
      </c>
      <c r="D52">
        <f t="shared" si="7"/>
        <v>198</v>
      </c>
      <c r="E52">
        <f t="shared" si="8"/>
        <v>210</v>
      </c>
      <c r="G52" t="str">
        <f t="shared" si="9"/>
        <v>FAŁSZ</v>
      </c>
      <c r="H52" t="str">
        <f t="shared" si="10"/>
        <v>FAŁSZ</v>
      </c>
      <c r="I52" t="str">
        <f t="shared" si="10"/>
        <v>PRAWDA</v>
      </c>
      <c r="J52" t="str">
        <f t="shared" si="10"/>
        <v>PRAWDA</v>
      </c>
    </row>
    <row r="53" spans="1:10" x14ac:dyDescent="0.25">
      <c r="A53" s="1" t="s">
        <v>59</v>
      </c>
      <c r="B53">
        <f t="shared" si="11"/>
        <v>240</v>
      </c>
      <c r="C53">
        <f t="shared" si="6"/>
        <v>215</v>
      </c>
      <c r="D53">
        <f t="shared" si="7"/>
        <v>194</v>
      </c>
      <c r="E53">
        <f t="shared" si="8"/>
        <v>204</v>
      </c>
      <c r="G53" t="str">
        <f>IF(B53&lt;=$B$2,"PRAWDA","FAŁSZ")</f>
        <v>FAŁSZ</v>
      </c>
      <c r="H53" t="str">
        <f t="shared" si="10"/>
        <v>FAŁSZ</v>
      </c>
      <c r="I53" t="str">
        <f t="shared" si="10"/>
        <v>PRAWDA</v>
      </c>
      <c r="J53" t="str">
        <f t="shared" si="10"/>
        <v>PRAWDA</v>
      </c>
    </row>
    <row r="54" spans="1:10" x14ac:dyDescent="0.25">
      <c r="A54" s="1" t="s">
        <v>60</v>
      </c>
      <c r="B54">
        <f t="shared" si="11"/>
        <v>237</v>
      </c>
      <c r="C54">
        <f t="shared" si="6"/>
        <v>212</v>
      </c>
      <c r="D54">
        <f t="shared" si="7"/>
        <v>190</v>
      </c>
      <c r="E54">
        <f t="shared" si="8"/>
        <v>198</v>
      </c>
      <c r="G54" t="str">
        <f t="shared" si="9"/>
        <v>PRAWDA</v>
      </c>
      <c r="H54" t="str">
        <f t="shared" si="10"/>
        <v>FAŁSZ</v>
      </c>
      <c r="I54" t="str">
        <f t="shared" si="10"/>
        <v>PRAWDA</v>
      </c>
      <c r="J54" t="str">
        <f t="shared" si="10"/>
        <v>PRAWDA</v>
      </c>
    </row>
    <row r="55" spans="1:10" x14ac:dyDescent="0.25">
      <c r="A55" s="1" t="s">
        <v>61</v>
      </c>
      <c r="B55">
        <f t="shared" si="11"/>
        <v>234</v>
      </c>
      <c r="C55">
        <f t="shared" si="6"/>
        <v>209</v>
      </c>
      <c r="D55">
        <f t="shared" si="7"/>
        <v>186</v>
      </c>
      <c r="E55">
        <f t="shared" si="8"/>
        <v>193</v>
      </c>
      <c r="G55" t="str">
        <f t="shared" si="9"/>
        <v>PRAWDA</v>
      </c>
      <c r="H55" t="str">
        <f t="shared" si="10"/>
        <v>FAŁSZ</v>
      </c>
      <c r="I55" t="str">
        <f t="shared" si="10"/>
        <v>PRAWDA</v>
      </c>
      <c r="J55" t="str">
        <f t="shared" si="10"/>
        <v>PRAWDA</v>
      </c>
    </row>
    <row r="56" spans="1:10" x14ac:dyDescent="0.25">
      <c r="A56" s="1" t="s">
        <v>62</v>
      </c>
      <c r="B56">
        <f t="shared" si="11"/>
        <v>231</v>
      </c>
      <c r="C56">
        <f t="shared" si="6"/>
        <v>206</v>
      </c>
      <c r="D56">
        <f t="shared" si="7"/>
        <v>182</v>
      </c>
      <c r="E56">
        <f t="shared" si="8"/>
        <v>188</v>
      </c>
      <c r="G56" t="str">
        <f t="shared" si="9"/>
        <v>PRAWDA</v>
      </c>
      <c r="H56" t="str">
        <f t="shared" si="10"/>
        <v>FAŁSZ</v>
      </c>
      <c r="I56" t="str">
        <f t="shared" si="10"/>
        <v>PRAWDA</v>
      </c>
      <c r="J56" t="str">
        <f t="shared" si="10"/>
        <v>PRAWDA</v>
      </c>
    </row>
    <row r="57" spans="1:10" x14ac:dyDescent="0.25">
      <c r="A57" s="1" t="s">
        <v>63</v>
      </c>
      <c r="B57">
        <f t="shared" si="11"/>
        <v>228</v>
      </c>
      <c r="C57">
        <f t="shared" si="6"/>
        <v>203</v>
      </c>
      <c r="D57">
        <f t="shared" si="7"/>
        <v>178</v>
      </c>
      <c r="E57">
        <f t="shared" si="8"/>
        <v>183</v>
      </c>
      <c r="G57" t="str">
        <f t="shared" si="9"/>
        <v>PRAWDA</v>
      </c>
      <c r="H57" t="str">
        <f t="shared" si="10"/>
        <v>FAŁSZ</v>
      </c>
      <c r="I57" t="str">
        <f t="shared" si="10"/>
        <v>PRAWDA</v>
      </c>
      <c r="J57" t="str">
        <f t="shared" si="10"/>
        <v>PRAWDA</v>
      </c>
    </row>
    <row r="58" spans="1:10" x14ac:dyDescent="0.25">
      <c r="A58" s="1" t="s">
        <v>64</v>
      </c>
      <c r="B58">
        <f t="shared" si="11"/>
        <v>225</v>
      </c>
      <c r="C58">
        <f t="shared" si="6"/>
        <v>200</v>
      </c>
      <c r="D58">
        <f t="shared" si="7"/>
        <v>174</v>
      </c>
      <c r="E58">
        <f t="shared" si="8"/>
        <v>178</v>
      </c>
      <c r="G58" t="str">
        <f t="shared" si="9"/>
        <v>PRAWDA</v>
      </c>
      <c r="H58" t="str">
        <f t="shared" si="10"/>
        <v>FAŁSZ</v>
      </c>
      <c r="I58" t="str">
        <f t="shared" si="10"/>
        <v>PRAWDA</v>
      </c>
      <c r="J58" t="str">
        <f t="shared" si="10"/>
        <v>PRAWDA</v>
      </c>
    </row>
    <row r="59" spans="1:10" x14ac:dyDescent="0.25">
      <c r="A59" s="1" t="s">
        <v>65</v>
      </c>
      <c r="B59">
        <f t="shared" si="11"/>
        <v>222</v>
      </c>
      <c r="C59">
        <f t="shared" si="6"/>
        <v>197</v>
      </c>
      <c r="D59">
        <f t="shared" si="7"/>
        <v>170</v>
      </c>
      <c r="E59">
        <f t="shared" si="8"/>
        <v>173</v>
      </c>
      <c r="G59" t="str">
        <f t="shared" si="9"/>
        <v>PRAWDA</v>
      </c>
      <c r="H59" t="str">
        <f t="shared" si="10"/>
        <v>PRAWDA</v>
      </c>
      <c r="I59" t="str">
        <f t="shared" si="10"/>
        <v>PRAWDA</v>
      </c>
      <c r="J59" t="str">
        <f t="shared" si="10"/>
        <v>PRAWDA</v>
      </c>
    </row>
    <row r="60" spans="1:10" x14ac:dyDescent="0.25">
      <c r="A60" s="1" t="s">
        <v>66</v>
      </c>
      <c r="B60">
        <f t="shared" si="11"/>
        <v>219</v>
      </c>
      <c r="C60">
        <f t="shared" si="6"/>
        <v>194</v>
      </c>
      <c r="D60">
        <f t="shared" si="7"/>
        <v>166</v>
      </c>
      <c r="E60">
        <f t="shared" si="8"/>
        <v>168</v>
      </c>
      <c r="G60" t="str">
        <f t="shared" si="9"/>
        <v>PRAWDA</v>
      </c>
      <c r="H60" t="str">
        <f t="shared" si="10"/>
        <v>PRAWDA</v>
      </c>
      <c r="I60" t="str">
        <f t="shared" si="10"/>
        <v>PRAWDA</v>
      </c>
      <c r="J60" t="str">
        <f t="shared" si="10"/>
        <v>PRAWDA</v>
      </c>
    </row>
    <row r="61" spans="1:10" x14ac:dyDescent="0.25">
      <c r="A61" s="1" t="s">
        <v>67</v>
      </c>
      <c r="B61">
        <f t="shared" si="11"/>
        <v>216</v>
      </c>
      <c r="C61">
        <f t="shared" si="6"/>
        <v>191</v>
      </c>
      <c r="D61">
        <f t="shared" si="7"/>
        <v>162</v>
      </c>
      <c r="E61">
        <f t="shared" si="8"/>
        <v>163</v>
      </c>
      <c r="G61" t="str">
        <f t="shared" si="9"/>
        <v>PRAWDA</v>
      </c>
      <c r="H61" t="str">
        <f t="shared" si="10"/>
        <v>PRAWDA</v>
      </c>
      <c r="I61" t="str">
        <f t="shared" si="10"/>
        <v>PRAWDA</v>
      </c>
      <c r="J61" t="str">
        <f t="shared" si="10"/>
        <v>PRAWDA</v>
      </c>
    </row>
    <row r="62" spans="1:10" x14ac:dyDescent="0.25">
      <c r="A62" s="1" t="s">
        <v>68</v>
      </c>
      <c r="B62">
        <f t="shared" si="11"/>
        <v>213</v>
      </c>
      <c r="C62">
        <f t="shared" si="6"/>
        <v>188</v>
      </c>
      <c r="D62">
        <f t="shared" si="7"/>
        <v>158</v>
      </c>
      <c r="E62">
        <f t="shared" si="8"/>
        <v>158</v>
      </c>
      <c r="G62" t="str">
        <f t="shared" si="9"/>
        <v>PRAWDA</v>
      </c>
      <c r="H62" t="str">
        <f t="shared" si="10"/>
        <v>PRAWDA</v>
      </c>
      <c r="I62" t="str">
        <f t="shared" si="10"/>
        <v>PRAWDA</v>
      </c>
      <c r="J62" t="str">
        <f t="shared" si="10"/>
        <v>PRAWDA</v>
      </c>
    </row>
    <row r="63" spans="1:10" x14ac:dyDescent="0.25">
      <c r="A63" s="1" t="s">
        <v>69</v>
      </c>
      <c r="B63">
        <f t="shared" si="11"/>
        <v>210</v>
      </c>
      <c r="C63">
        <f t="shared" si="6"/>
        <v>185</v>
      </c>
      <c r="D63">
        <f t="shared" si="7"/>
        <v>154</v>
      </c>
      <c r="E63">
        <f t="shared" si="8"/>
        <v>154</v>
      </c>
    </row>
    <row r="64" spans="1:10" x14ac:dyDescent="0.25">
      <c r="A64" s="1" t="s">
        <v>70</v>
      </c>
      <c r="B64">
        <f t="shared" si="11"/>
        <v>207</v>
      </c>
      <c r="C64">
        <f t="shared" si="6"/>
        <v>182</v>
      </c>
      <c r="D64">
        <f t="shared" si="7"/>
        <v>151</v>
      </c>
      <c r="E64">
        <f t="shared" si="8"/>
        <v>150</v>
      </c>
    </row>
    <row r="65" spans="1:5" x14ac:dyDescent="0.25">
      <c r="A65" s="1" t="s">
        <v>71</v>
      </c>
      <c r="B65">
        <f t="shared" si="11"/>
        <v>204</v>
      </c>
      <c r="C65">
        <f t="shared" si="6"/>
        <v>179</v>
      </c>
      <c r="D65">
        <f t="shared" si="7"/>
        <v>148</v>
      </c>
      <c r="E65">
        <f t="shared" si="8"/>
        <v>146</v>
      </c>
    </row>
  </sheetData>
  <phoneticPr fontId="1" type="noConversion"/>
  <conditionalFormatting sqref="G26:J62">
    <cfRule type="containsText" dxfId="1" priority="1" operator="containsText" text="PRAWDA">
      <formula>NOT(ISERROR(SEARCH("PRAWDA",G26)))</formula>
    </cfRule>
    <cfRule type="containsText" dxfId="0" priority="2" operator="containsText" text="PRAWDA">
      <formula>NOT(ISERROR(SEARCH("PRAWDA",G26)))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F1C7-CDE6-4B94-AC38-35E6A791F796}">
  <dimension ref="A1:Q33"/>
  <sheetViews>
    <sheetView workbookViewId="0">
      <selection activeCell="O19" sqref="O19"/>
    </sheetView>
  </sheetViews>
  <sheetFormatPr defaultRowHeight="15" x14ac:dyDescent="0.25"/>
  <cols>
    <col min="1" max="1" width="13.5703125" bestFit="1" customWidth="1"/>
  </cols>
  <sheetData>
    <row r="1" spans="1:1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G1" t="s">
        <v>2</v>
      </c>
      <c r="H1" t="s">
        <v>1</v>
      </c>
      <c r="I1" t="s">
        <v>3</v>
      </c>
      <c r="J1" t="s">
        <v>4</v>
      </c>
    </row>
    <row r="2" spans="1:17" x14ac:dyDescent="0.25">
      <c r="A2" s="1" t="s">
        <v>5</v>
      </c>
      <c r="B2">
        <v>237</v>
      </c>
      <c r="C2">
        <v>198</v>
      </c>
      <c r="D2">
        <v>207</v>
      </c>
      <c r="E2">
        <v>312</v>
      </c>
      <c r="G2">
        <f>IF(B2&gt;300,1,0)</f>
        <v>0</v>
      </c>
      <c r="H2">
        <f>IF(C2&gt;300,1,0)</f>
        <v>0</v>
      </c>
      <c r="I2">
        <f t="shared" ref="I2:J17" si="0">IF(D2&gt;300,1,0)</f>
        <v>0</v>
      </c>
      <c r="J2">
        <f t="shared" si="0"/>
        <v>1</v>
      </c>
    </row>
    <row r="3" spans="1:17" x14ac:dyDescent="0.25">
      <c r="A3" s="1" t="s">
        <v>6</v>
      </c>
      <c r="B3">
        <f>INT( B2 * 1.02)</f>
        <v>241</v>
      </c>
      <c r="C3">
        <f>INT(C2 * 1.027)</f>
        <v>203</v>
      </c>
      <c r="D3">
        <f>INT(D2 * 1.03)</f>
        <v>213</v>
      </c>
      <c r="E3">
        <f>INT(E2 * 1.02)</f>
        <v>318</v>
      </c>
      <c r="G3">
        <f t="shared" ref="G3:G33" si="1">IF(B3&gt;300,1,0)</f>
        <v>0</v>
      </c>
      <c r="H3">
        <f t="shared" ref="H3:I33" si="2">IF(C3&gt;300,1,0)</f>
        <v>0</v>
      </c>
      <c r="I3">
        <f t="shared" si="0"/>
        <v>0</v>
      </c>
      <c r="J3">
        <f t="shared" si="0"/>
        <v>1</v>
      </c>
      <c r="M3" s="9" t="s">
        <v>74</v>
      </c>
      <c r="N3" t="s">
        <v>2</v>
      </c>
      <c r="O3" t="s">
        <v>1</v>
      </c>
      <c r="P3" t="s">
        <v>3</v>
      </c>
      <c r="Q3" t="s">
        <v>4</v>
      </c>
    </row>
    <row r="4" spans="1:17" x14ac:dyDescent="0.25">
      <c r="A4" s="1" t="s">
        <v>7</v>
      </c>
      <c r="B4">
        <f t="shared" ref="B4:B21" si="3">INT( B3 * 1.02)</f>
        <v>245</v>
      </c>
      <c r="C4">
        <f t="shared" ref="C4:C21" si="4">INT(C3 * 1.027)</f>
        <v>208</v>
      </c>
      <c r="D4">
        <f t="shared" ref="D4:D21" si="5">INT(D3 * 1.03)</f>
        <v>219</v>
      </c>
      <c r="E4">
        <f t="shared" ref="E4:E21" si="6">INT(E3 * 1.02)</f>
        <v>324</v>
      </c>
      <c r="G4">
        <f t="shared" si="1"/>
        <v>0</v>
      </c>
      <c r="H4">
        <f t="shared" si="2"/>
        <v>0</v>
      </c>
      <c r="I4">
        <f t="shared" si="0"/>
        <v>0</v>
      </c>
      <c r="J4">
        <f t="shared" si="0"/>
        <v>1</v>
      </c>
      <c r="N4">
        <f>SUM(G2:G33)</f>
        <v>18</v>
      </c>
      <c r="O4">
        <f>SUM(H2:H33)</f>
        <v>9</v>
      </c>
      <c r="P4">
        <f t="shared" ref="P4:Q4" si="7">SUM(I2:I33)</f>
        <v>17</v>
      </c>
      <c r="Q4">
        <f t="shared" si="7"/>
        <v>32</v>
      </c>
    </row>
    <row r="5" spans="1:17" x14ac:dyDescent="0.25">
      <c r="A5" s="1" t="s">
        <v>8</v>
      </c>
      <c r="B5">
        <f t="shared" si="3"/>
        <v>249</v>
      </c>
      <c r="C5">
        <f t="shared" si="4"/>
        <v>213</v>
      </c>
      <c r="D5">
        <f t="shared" si="5"/>
        <v>225</v>
      </c>
      <c r="E5">
        <f t="shared" si="6"/>
        <v>330</v>
      </c>
      <c r="G5">
        <f t="shared" si="1"/>
        <v>0</v>
      </c>
      <c r="H5">
        <f t="shared" si="2"/>
        <v>0</v>
      </c>
      <c r="I5">
        <f t="shared" si="0"/>
        <v>0</v>
      </c>
      <c r="J5">
        <f t="shared" si="0"/>
        <v>1</v>
      </c>
    </row>
    <row r="6" spans="1:17" x14ac:dyDescent="0.25">
      <c r="A6" s="1" t="s">
        <v>9</v>
      </c>
      <c r="B6">
        <f t="shared" si="3"/>
        <v>253</v>
      </c>
      <c r="C6">
        <f t="shared" si="4"/>
        <v>218</v>
      </c>
      <c r="D6">
        <f t="shared" si="5"/>
        <v>231</v>
      </c>
      <c r="E6">
        <f t="shared" si="6"/>
        <v>336</v>
      </c>
      <c r="G6">
        <f t="shared" si="1"/>
        <v>0</v>
      </c>
      <c r="H6">
        <f t="shared" si="2"/>
        <v>0</v>
      </c>
      <c r="I6">
        <f t="shared" si="0"/>
        <v>0</v>
      </c>
      <c r="J6">
        <f t="shared" si="0"/>
        <v>1</v>
      </c>
    </row>
    <row r="7" spans="1:17" x14ac:dyDescent="0.25">
      <c r="A7" s="1" t="s">
        <v>10</v>
      </c>
      <c r="B7">
        <f t="shared" si="3"/>
        <v>258</v>
      </c>
      <c r="C7">
        <f t="shared" si="4"/>
        <v>223</v>
      </c>
      <c r="D7">
        <f t="shared" si="5"/>
        <v>237</v>
      </c>
      <c r="E7">
        <f t="shared" si="6"/>
        <v>342</v>
      </c>
      <c r="G7">
        <f t="shared" si="1"/>
        <v>0</v>
      </c>
      <c r="H7">
        <f t="shared" si="2"/>
        <v>0</v>
      </c>
      <c r="I7">
        <f t="shared" si="0"/>
        <v>0</v>
      </c>
      <c r="J7">
        <f t="shared" si="0"/>
        <v>1</v>
      </c>
    </row>
    <row r="8" spans="1:17" x14ac:dyDescent="0.25">
      <c r="A8" s="1" t="s">
        <v>11</v>
      </c>
      <c r="B8">
        <f t="shared" si="3"/>
        <v>263</v>
      </c>
      <c r="C8">
        <f t="shared" si="4"/>
        <v>229</v>
      </c>
      <c r="D8">
        <f t="shared" si="5"/>
        <v>244</v>
      </c>
      <c r="E8">
        <f t="shared" si="6"/>
        <v>348</v>
      </c>
      <c r="G8">
        <f t="shared" si="1"/>
        <v>0</v>
      </c>
      <c r="H8">
        <f t="shared" si="2"/>
        <v>0</v>
      </c>
      <c r="I8">
        <f t="shared" si="0"/>
        <v>0</v>
      </c>
      <c r="J8">
        <f t="shared" si="0"/>
        <v>1</v>
      </c>
    </row>
    <row r="9" spans="1:17" x14ac:dyDescent="0.25">
      <c r="A9" s="1" t="s">
        <v>12</v>
      </c>
      <c r="B9">
        <f t="shared" si="3"/>
        <v>268</v>
      </c>
      <c r="C9">
        <f t="shared" si="4"/>
        <v>235</v>
      </c>
      <c r="D9">
        <f t="shared" si="5"/>
        <v>251</v>
      </c>
      <c r="E9">
        <f t="shared" si="6"/>
        <v>354</v>
      </c>
      <c r="G9">
        <f t="shared" si="1"/>
        <v>0</v>
      </c>
      <c r="H9">
        <f t="shared" si="2"/>
        <v>0</v>
      </c>
      <c r="I9">
        <f t="shared" si="0"/>
        <v>0</v>
      </c>
      <c r="J9">
        <f t="shared" si="0"/>
        <v>1</v>
      </c>
    </row>
    <row r="10" spans="1:17" x14ac:dyDescent="0.25">
      <c r="A10" s="1" t="s">
        <v>13</v>
      </c>
      <c r="B10">
        <f t="shared" si="3"/>
        <v>273</v>
      </c>
      <c r="C10">
        <f t="shared" si="4"/>
        <v>241</v>
      </c>
      <c r="D10">
        <f t="shared" si="5"/>
        <v>258</v>
      </c>
      <c r="E10">
        <f t="shared" si="6"/>
        <v>361</v>
      </c>
      <c r="G10">
        <f t="shared" si="1"/>
        <v>0</v>
      </c>
      <c r="H10">
        <f t="shared" si="2"/>
        <v>0</v>
      </c>
      <c r="I10">
        <f t="shared" si="0"/>
        <v>0</v>
      </c>
      <c r="J10">
        <f t="shared" si="0"/>
        <v>1</v>
      </c>
    </row>
    <row r="11" spans="1:17" x14ac:dyDescent="0.25">
      <c r="A11" s="1" t="s">
        <v>14</v>
      </c>
      <c r="B11">
        <f t="shared" si="3"/>
        <v>278</v>
      </c>
      <c r="C11">
        <f t="shared" si="4"/>
        <v>247</v>
      </c>
      <c r="D11">
        <f t="shared" si="5"/>
        <v>265</v>
      </c>
      <c r="E11">
        <f t="shared" si="6"/>
        <v>368</v>
      </c>
      <c r="G11">
        <f t="shared" si="1"/>
        <v>0</v>
      </c>
      <c r="H11">
        <f t="shared" si="2"/>
        <v>0</v>
      </c>
      <c r="I11">
        <f t="shared" si="0"/>
        <v>0</v>
      </c>
      <c r="J11">
        <f t="shared" si="0"/>
        <v>1</v>
      </c>
    </row>
    <row r="12" spans="1:17" x14ac:dyDescent="0.25">
      <c r="A12" s="1" t="s">
        <v>15</v>
      </c>
      <c r="B12">
        <f t="shared" si="3"/>
        <v>283</v>
      </c>
      <c r="C12">
        <f t="shared" si="4"/>
        <v>253</v>
      </c>
      <c r="D12">
        <f t="shared" si="5"/>
        <v>272</v>
      </c>
      <c r="E12">
        <f t="shared" si="6"/>
        <v>375</v>
      </c>
      <c r="G12">
        <f t="shared" si="1"/>
        <v>0</v>
      </c>
      <c r="H12">
        <f t="shared" si="2"/>
        <v>0</v>
      </c>
      <c r="I12">
        <f t="shared" si="0"/>
        <v>0</v>
      </c>
      <c r="J12">
        <f t="shared" si="0"/>
        <v>1</v>
      </c>
    </row>
    <row r="13" spans="1:17" x14ac:dyDescent="0.25">
      <c r="A13" s="1" t="s">
        <v>16</v>
      </c>
      <c r="B13">
        <f t="shared" si="3"/>
        <v>288</v>
      </c>
      <c r="C13">
        <f t="shared" si="4"/>
        <v>259</v>
      </c>
      <c r="D13">
        <f t="shared" si="5"/>
        <v>280</v>
      </c>
      <c r="E13">
        <f t="shared" si="6"/>
        <v>382</v>
      </c>
      <c r="G13">
        <f t="shared" si="1"/>
        <v>0</v>
      </c>
      <c r="H13">
        <f t="shared" si="2"/>
        <v>0</v>
      </c>
      <c r="I13">
        <f t="shared" si="0"/>
        <v>0</v>
      </c>
      <c r="J13">
        <f t="shared" si="0"/>
        <v>1</v>
      </c>
    </row>
    <row r="14" spans="1:17" x14ac:dyDescent="0.25">
      <c r="A14" s="1" t="s">
        <v>17</v>
      </c>
      <c r="B14">
        <f t="shared" si="3"/>
        <v>293</v>
      </c>
      <c r="C14">
        <f t="shared" si="4"/>
        <v>265</v>
      </c>
      <c r="D14">
        <f t="shared" si="5"/>
        <v>288</v>
      </c>
      <c r="E14">
        <f t="shared" si="6"/>
        <v>389</v>
      </c>
      <c r="G14">
        <f t="shared" si="1"/>
        <v>0</v>
      </c>
      <c r="H14">
        <f t="shared" si="2"/>
        <v>0</v>
      </c>
      <c r="I14">
        <f t="shared" si="0"/>
        <v>0</v>
      </c>
      <c r="J14">
        <f t="shared" si="0"/>
        <v>1</v>
      </c>
    </row>
    <row r="15" spans="1:17" x14ac:dyDescent="0.25">
      <c r="A15" s="1" t="s">
        <v>18</v>
      </c>
      <c r="B15">
        <f t="shared" si="3"/>
        <v>298</v>
      </c>
      <c r="C15">
        <f t="shared" si="4"/>
        <v>272</v>
      </c>
      <c r="D15">
        <f t="shared" si="5"/>
        <v>296</v>
      </c>
      <c r="E15">
        <f t="shared" si="6"/>
        <v>396</v>
      </c>
      <c r="G15">
        <f t="shared" si="1"/>
        <v>0</v>
      </c>
      <c r="H15">
        <f t="shared" si="2"/>
        <v>0</v>
      </c>
      <c r="I15">
        <f t="shared" si="0"/>
        <v>0</v>
      </c>
      <c r="J15">
        <f t="shared" si="0"/>
        <v>1</v>
      </c>
    </row>
    <row r="16" spans="1:17" x14ac:dyDescent="0.25">
      <c r="A16" s="1" t="s">
        <v>19</v>
      </c>
      <c r="B16">
        <f t="shared" si="3"/>
        <v>303</v>
      </c>
      <c r="C16">
        <f t="shared" si="4"/>
        <v>279</v>
      </c>
      <c r="D16">
        <f t="shared" si="5"/>
        <v>304</v>
      </c>
      <c r="E16">
        <f t="shared" si="6"/>
        <v>403</v>
      </c>
      <c r="G16">
        <f>IF(B16&gt;300,1,0)</f>
        <v>1</v>
      </c>
      <c r="H16">
        <f t="shared" si="2"/>
        <v>0</v>
      </c>
      <c r="I16">
        <f t="shared" si="0"/>
        <v>1</v>
      </c>
      <c r="J16">
        <f t="shared" si="0"/>
        <v>1</v>
      </c>
    </row>
    <row r="17" spans="1:10" x14ac:dyDescent="0.25">
      <c r="A17" s="1" t="s">
        <v>20</v>
      </c>
      <c r="B17">
        <f t="shared" si="3"/>
        <v>309</v>
      </c>
      <c r="C17">
        <f t="shared" si="4"/>
        <v>286</v>
      </c>
      <c r="D17">
        <f t="shared" si="5"/>
        <v>313</v>
      </c>
      <c r="E17">
        <f t="shared" si="6"/>
        <v>411</v>
      </c>
      <c r="G17">
        <f t="shared" si="1"/>
        <v>1</v>
      </c>
      <c r="H17">
        <f t="shared" si="2"/>
        <v>0</v>
      </c>
      <c r="I17">
        <f t="shared" si="0"/>
        <v>1</v>
      </c>
      <c r="J17">
        <f t="shared" si="0"/>
        <v>1</v>
      </c>
    </row>
    <row r="18" spans="1:10" x14ac:dyDescent="0.25">
      <c r="A18" s="1" t="s">
        <v>21</v>
      </c>
      <c r="B18">
        <f t="shared" si="3"/>
        <v>315</v>
      </c>
      <c r="C18">
        <f t="shared" si="4"/>
        <v>293</v>
      </c>
      <c r="D18">
        <f t="shared" si="5"/>
        <v>322</v>
      </c>
      <c r="E18">
        <f t="shared" si="6"/>
        <v>419</v>
      </c>
      <c r="G18">
        <f t="shared" si="1"/>
        <v>1</v>
      </c>
      <c r="H18">
        <f t="shared" si="2"/>
        <v>0</v>
      </c>
      <c r="I18">
        <f t="shared" si="2"/>
        <v>1</v>
      </c>
      <c r="J18">
        <f t="shared" ref="J18:J33" si="8">IF(E18&gt;300,1,0)</f>
        <v>1</v>
      </c>
    </row>
    <row r="19" spans="1:10" x14ac:dyDescent="0.25">
      <c r="A19" s="1" t="s">
        <v>22</v>
      </c>
      <c r="B19">
        <f t="shared" si="3"/>
        <v>321</v>
      </c>
      <c r="C19">
        <f t="shared" si="4"/>
        <v>300</v>
      </c>
      <c r="D19">
        <f t="shared" si="5"/>
        <v>331</v>
      </c>
      <c r="E19">
        <f t="shared" si="6"/>
        <v>427</v>
      </c>
      <c r="G19">
        <f t="shared" si="1"/>
        <v>1</v>
      </c>
      <c r="H19">
        <f t="shared" si="2"/>
        <v>0</v>
      </c>
      <c r="I19">
        <f t="shared" si="2"/>
        <v>1</v>
      </c>
      <c r="J19">
        <f t="shared" si="8"/>
        <v>1</v>
      </c>
    </row>
    <row r="20" spans="1:10" x14ac:dyDescent="0.25">
      <c r="A20" s="1" t="s">
        <v>23</v>
      </c>
      <c r="B20">
        <f t="shared" si="3"/>
        <v>327</v>
      </c>
      <c r="C20">
        <f t="shared" si="4"/>
        <v>308</v>
      </c>
      <c r="D20">
        <f t="shared" si="5"/>
        <v>340</v>
      </c>
      <c r="E20">
        <f t="shared" si="6"/>
        <v>435</v>
      </c>
      <c r="G20">
        <f t="shared" si="1"/>
        <v>1</v>
      </c>
      <c r="H20">
        <f t="shared" si="2"/>
        <v>1</v>
      </c>
      <c r="I20">
        <f t="shared" si="2"/>
        <v>1</v>
      </c>
      <c r="J20">
        <f t="shared" si="8"/>
        <v>1</v>
      </c>
    </row>
    <row r="21" spans="1:10" x14ac:dyDescent="0.25">
      <c r="A21" s="2" t="s">
        <v>24</v>
      </c>
      <c r="B21">
        <f t="shared" si="3"/>
        <v>333</v>
      </c>
      <c r="C21">
        <f t="shared" si="4"/>
        <v>316</v>
      </c>
      <c r="D21">
        <f t="shared" si="5"/>
        <v>350</v>
      </c>
      <c r="E21">
        <f t="shared" si="6"/>
        <v>443</v>
      </c>
      <c r="G21">
        <f t="shared" si="1"/>
        <v>1</v>
      </c>
      <c r="H21">
        <f t="shared" si="2"/>
        <v>1</v>
      </c>
      <c r="I21">
        <f t="shared" si="2"/>
        <v>1</v>
      </c>
      <c r="J21">
        <f t="shared" si="8"/>
        <v>1</v>
      </c>
    </row>
    <row r="22" spans="1:10" x14ac:dyDescent="0.25">
      <c r="A22" s="3" t="s">
        <v>25</v>
      </c>
      <c r="B22">
        <v>333</v>
      </c>
      <c r="C22">
        <v>316</v>
      </c>
      <c r="D22">
        <v>350</v>
      </c>
      <c r="E22">
        <v>433</v>
      </c>
      <c r="G22">
        <f t="shared" si="1"/>
        <v>1</v>
      </c>
      <c r="H22">
        <f t="shared" si="2"/>
        <v>1</v>
      </c>
      <c r="I22">
        <f t="shared" si="2"/>
        <v>1</v>
      </c>
      <c r="J22">
        <f t="shared" si="8"/>
        <v>1</v>
      </c>
    </row>
    <row r="23" spans="1:10" x14ac:dyDescent="0.25">
      <c r="A23" s="3" t="s">
        <v>26</v>
      </c>
      <c r="B23">
        <v>333</v>
      </c>
      <c r="C23">
        <v>316</v>
      </c>
      <c r="D23">
        <v>350</v>
      </c>
      <c r="E23">
        <v>433</v>
      </c>
      <c r="G23">
        <f t="shared" si="1"/>
        <v>1</v>
      </c>
      <c r="H23">
        <f t="shared" si="2"/>
        <v>1</v>
      </c>
      <c r="I23">
        <f t="shared" si="2"/>
        <v>1</v>
      </c>
      <c r="J23">
        <f t="shared" si="8"/>
        <v>1</v>
      </c>
    </row>
    <row r="24" spans="1:10" x14ac:dyDescent="0.25">
      <c r="A24" s="3" t="s">
        <v>27</v>
      </c>
      <c r="B24">
        <v>333</v>
      </c>
      <c r="C24">
        <v>316</v>
      </c>
      <c r="D24">
        <v>350</v>
      </c>
      <c r="E24">
        <v>433</v>
      </c>
      <c r="G24">
        <f t="shared" si="1"/>
        <v>1</v>
      </c>
      <c r="H24">
        <f t="shared" si="2"/>
        <v>1</v>
      </c>
      <c r="I24">
        <f t="shared" si="2"/>
        <v>1</v>
      </c>
      <c r="J24">
        <f t="shared" si="8"/>
        <v>1</v>
      </c>
    </row>
    <row r="25" spans="1:10" x14ac:dyDescent="0.25">
      <c r="A25" s="3" t="s">
        <v>28</v>
      </c>
      <c r="B25">
        <v>333</v>
      </c>
      <c r="C25">
        <v>316</v>
      </c>
      <c r="D25">
        <v>350</v>
      </c>
      <c r="E25">
        <v>433</v>
      </c>
      <c r="G25">
        <f t="shared" si="1"/>
        <v>1</v>
      </c>
      <c r="H25">
        <f t="shared" si="2"/>
        <v>1</v>
      </c>
      <c r="I25">
        <f t="shared" si="2"/>
        <v>1</v>
      </c>
      <c r="J25">
        <f t="shared" si="8"/>
        <v>1</v>
      </c>
    </row>
    <row r="26" spans="1:10" x14ac:dyDescent="0.25">
      <c r="A26" s="1" t="s">
        <v>29</v>
      </c>
      <c r="B26">
        <f>INT( B25 * 99%)</f>
        <v>329</v>
      </c>
      <c r="C26">
        <f>INT( C25 * 98.8%)</f>
        <v>312</v>
      </c>
      <c r="D26">
        <f>INT( D25 * 98.1%)</f>
        <v>343</v>
      </c>
      <c r="E26">
        <f>INT( E25 * 97.5%)</f>
        <v>422</v>
      </c>
      <c r="G26">
        <f t="shared" si="1"/>
        <v>1</v>
      </c>
      <c r="H26">
        <f t="shared" si="2"/>
        <v>1</v>
      </c>
      <c r="I26">
        <f t="shared" si="2"/>
        <v>1</v>
      </c>
      <c r="J26">
        <f t="shared" si="8"/>
        <v>1</v>
      </c>
    </row>
    <row r="27" spans="1:10" x14ac:dyDescent="0.25">
      <c r="A27" s="1" t="s">
        <v>30</v>
      </c>
      <c r="B27">
        <f t="shared" ref="B27:B33" si="9">INT( B26 * 99%)</f>
        <v>325</v>
      </c>
      <c r="C27">
        <f t="shared" ref="C27:C33" si="10">INT( C26 * 98.8%)</f>
        <v>308</v>
      </c>
      <c r="D27">
        <f t="shared" ref="D27:D33" si="11">INT( D26 * 98.1%)</f>
        <v>336</v>
      </c>
      <c r="E27">
        <f t="shared" ref="E27:E33" si="12">INT( E26 * 97.5%)</f>
        <v>411</v>
      </c>
      <c r="G27">
        <f t="shared" si="1"/>
        <v>1</v>
      </c>
      <c r="H27">
        <f t="shared" si="2"/>
        <v>1</v>
      </c>
      <c r="I27">
        <f t="shared" si="2"/>
        <v>1</v>
      </c>
      <c r="J27">
        <f t="shared" si="8"/>
        <v>1</v>
      </c>
    </row>
    <row r="28" spans="1:10" x14ac:dyDescent="0.25">
      <c r="A28" s="1" t="s">
        <v>31</v>
      </c>
      <c r="B28">
        <f t="shared" si="9"/>
        <v>321</v>
      </c>
      <c r="C28">
        <f t="shared" si="10"/>
        <v>304</v>
      </c>
      <c r="D28">
        <f t="shared" si="11"/>
        <v>329</v>
      </c>
      <c r="E28">
        <f t="shared" si="12"/>
        <v>400</v>
      </c>
      <c r="G28">
        <f t="shared" si="1"/>
        <v>1</v>
      </c>
      <c r="H28">
        <f t="shared" si="2"/>
        <v>1</v>
      </c>
      <c r="I28">
        <f t="shared" si="2"/>
        <v>1</v>
      </c>
      <c r="J28">
        <f t="shared" si="8"/>
        <v>1</v>
      </c>
    </row>
    <row r="29" spans="1:10" x14ac:dyDescent="0.25">
      <c r="A29" s="4" t="s">
        <v>32</v>
      </c>
      <c r="B29" s="5">
        <f t="shared" si="9"/>
        <v>317</v>
      </c>
      <c r="C29" s="5">
        <f t="shared" si="10"/>
        <v>300</v>
      </c>
      <c r="D29" s="5">
        <f t="shared" si="11"/>
        <v>322</v>
      </c>
      <c r="E29" s="5">
        <f t="shared" si="12"/>
        <v>390</v>
      </c>
      <c r="G29">
        <f t="shared" si="1"/>
        <v>1</v>
      </c>
      <c r="H29">
        <f t="shared" si="2"/>
        <v>0</v>
      </c>
      <c r="I29">
        <f t="shared" si="2"/>
        <v>1</v>
      </c>
      <c r="J29">
        <f t="shared" si="8"/>
        <v>1</v>
      </c>
    </row>
    <row r="30" spans="1:10" x14ac:dyDescent="0.25">
      <c r="A30" s="1" t="s">
        <v>33</v>
      </c>
      <c r="B30">
        <f t="shared" si="9"/>
        <v>313</v>
      </c>
      <c r="C30">
        <f t="shared" si="10"/>
        <v>296</v>
      </c>
      <c r="D30">
        <f t="shared" si="11"/>
        <v>315</v>
      </c>
      <c r="E30">
        <f t="shared" si="12"/>
        <v>380</v>
      </c>
      <c r="G30">
        <f t="shared" si="1"/>
        <v>1</v>
      </c>
      <c r="H30">
        <f t="shared" si="2"/>
        <v>0</v>
      </c>
      <c r="I30">
        <f t="shared" si="2"/>
        <v>1</v>
      </c>
      <c r="J30">
        <f t="shared" si="8"/>
        <v>1</v>
      </c>
    </row>
    <row r="31" spans="1:10" x14ac:dyDescent="0.25">
      <c r="A31" s="1" t="s">
        <v>34</v>
      </c>
      <c r="B31">
        <f t="shared" si="9"/>
        <v>309</v>
      </c>
      <c r="C31">
        <f t="shared" si="10"/>
        <v>292</v>
      </c>
      <c r="D31">
        <f t="shared" si="11"/>
        <v>309</v>
      </c>
      <c r="E31">
        <f t="shared" si="12"/>
        <v>370</v>
      </c>
      <c r="G31">
        <f t="shared" si="1"/>
        <v>1</v>
      </c>
      <c r="H31">
        <f t="shared" si="2"/>
        <v>0</v>
      </c>
      <c r="I31">
        <f t="shared" si="2"/>
        <v>1</v>
      </c>
      <c r="J31">
        <f t="shared" si="8"/>
        <v>1</v>
      </c>
    </row>
    <row r="32" spans="1:10" x14ac:dyDescent="0.25">
      <c r="A32" s="1" t="s">
        <v>35</v>
      </c>
      <c r="B32">
        <f t="shared" si="9"/>
        <v>305</v>
      </c>
      <c r="C32">
        <f t="shared" si="10"/>
        <v>288</v>
      </c>
      <c r="D32">
        <f t="shared" si="11"/>
        <v>303</v>
      </c>
      <c r="E32">
        <f t="shared" si="12"/>
        <v>360</v>
      </c>
      <c r="G32">
        <f t="shared" si="1"/>
        <v>1</v>
      </c>
      <c r="H32">
        <f t="shared" si="2"/>
        <v>0</v>
      </c>
      <c r="I32">
        <f t="shared" si="2"/>
        <v>1</v>
      </c>
      <c r="J32">
        <f t="shared" si="8"/>
        <v>1</v>
      </c>
    </row>
    <row r="33" spans="1:10" x14ac:dyDescent="0.25">
      <c r="A33" s="1" t="s">
        <v>36</v>
      </c>
      <c r="B33">
        <f t="shared" si="9"/>
        <v>301</v>
      </c>
      <c r="C33">
        <f t="shared" si="10"/>
        <v>284</v>
      </c>
      <c r="D33">
        <f t="shared" si="11"/>
        <v>297</v>
      </c>
      <c r="E33">
        <f t="shared" si="12"/>
        <v>351</v>
      </c>
      <c r="G33">
        <f t="shared" si="1"/>
        <v>1</v>
      </c>
      <c r="H33">
        <f t="shared" si="2"/>
        <v>0</v>
      </c>
      <c r="I33">
        <f t="shared" si="2"/>
        <v>0</v>
      </c>
      <c r="J33">
        <f t="shared" si="8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D3EE-CE00-454C-B1BD-F7DD9BCE1500}">
  <dimension ref="A1:I33"/>
  <sheetViews>
    <sheetView workbookViewId="0">
      <selection activeCell="H4" sqref="H4:I4"/>
    </sheetView>
  </sheetViews>
  <sheetFormatPr defaultRowHeight="15" x14ac:dyDescent="0.25"/>
  <cols>
    <col min="1" max="1" width="13.5703125" bestFit="1" customWidth="1"/>
  </cols>
  <sheetData>
    <row r="1" spans="1:9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9" x14ac:dyDescent="0.25">
      <c r="A2" s="1" t="s">
        <v>5</v>
      </c>
      <c r="B2">
        <v>237</v>
      </c>
      <c r="C2">
        <v>198</v>
      </c>
      <c r="D2">
        <v>207</v>
      </c>
      <c r="E2">
        <v>312</v>
      </c>
    </row>
    <row r="3" spans="1:9" x14ac:dyDescent="0.25">
      <c r="A3" s="1" t="s">
        <v>6</v>
      </c>
      <c r="B3">
        <f>INT( B2 * 1.02)</f>
        <v>241</v>
      </c>
      <c r="C3">
        <f>INT(C2 * 1.027)</f>
        <v>203</v>
      </c>
      <c r="D3">
        <f>INT(D2 * 1.03)</f>
        <v>213</v>
      </c>
      <c r="E3">
        <f>INT(E2 * 1.02)</f>
        <v>318</v>
      </c>
    </row>
    <row r="4" spans="1:9" x14ac:dyDescent="0.25">
      <c r="A4" s="1" t="s">
        <v>7</v>
      </c>
      <c r="B4">
        <f t="shared" ref="B4:B21" si="0">INT( B3 * 1.02)</f>
        <v>245</v>
      </c>
      <c r="C4">
        <f t="shared" ref="C4:C21" si="1">INT(C3 * 1.027)</f>
        <v>208</v>
      </c>
      <c r="D4">
        <f t="shared" ref="D4:D21" si="2">INT(D3 * 1.03)</f>
        <v>219</v>
      </c>
      <c r="E4">
        <f t="shared" ref="E4:E21" si="3">INT(E3 * 1.02)</f>
        <v>324</v>
      </c>
      <c r="H4" s="9" t="s">
        <v>75</v>
      </c>
      <c r="I4">
        <f>SUM(B2:E25)</f>
        <v>29328</v>
      </c>
    </row>
    <row r="5" spans="1:9" x14ac:dyDescent="0.25">
      <c r="A5" s="1" t="s">
        <v>8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9" x14ac:dyDescent="0.25">
      <c r="A6" s="1" t="s">
        <v>9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9" x14ac:dyDescent="0.25">
      <c r="A7" s="1" t="s">
        <v>10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9" x14ac:dyDescent="0.25">
      <c r="A8" s="1" t="s">
        <v>11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9" x14ac:dyDescent="0.25">
      <c r="A9" s="1" t="s">
        <v>12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9" x14ac:dyDescent="0.25">
      <c r="A10" s="1" t="s">
        <v>13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9" x14ac:dyDescent="0.25">
      <c r="A11" s="1" t="s">
        <v>14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9" x14ac:dyDescent="0.25">
      <c r="A12" s="1" t="s">
        <v>15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9" x14ac:dyDescent="0.25">
      <c r="A13" s="1" t="s">
        <v>16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9" x14ac:dyDescent="0.25">
      <c r="A14" s="1" t="s">
        <v>17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9" x14ac:dyDescent="0.25">
      <c r="A15" s="1" t="s">
        <v>18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9" x14ac:dyDescent="0.25">
      <c r="A16" s="1" t="s">
        <v>19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s="1" t="s">
        <v>20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s="1" t="s">
        <v>21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s="1" t="s">
        <v>22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s="1" t="s">
        <v>23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s="2" t="s">
        <v>24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3" t="s">
        <v>25</v>
      </c>
      <c r="B22">
        <v>333</v>
      </c>
      <c r="C22">
        <v>316</v>
      </c>
      <c r="D22">
        <v>350</v>
      </c>
      <c r="E22">
        <v>433</v>
      </c>
    </row>
    <row r="23" spans="1:5" x14ac:dyDescent="0.25">
      <c r="A23" s="3" t="s">
        <v>26</v>
      </c>
      <c r="B23">
        <v>333</v>
      </c>
      <c r="C23">
        <v>316</v>
      </c>
      <c r="D23">
        <v>350</v>
      </c>
      <c r="E23">
        <v>433</v>
      </c>
    </row>
    <row r="24" spans="1:5" x14ac:dyDescent="0.25">
      <c r="A24" s="3" t="s">
        <v>27</v>
      </c>
      <c r="B24">
        <v>333</v>
      </c>
      <c r="C24">
        <v>316</v>
      </c>
      <c r="D24">
        <v>350</v>
      </c>
      <c r="E24">
        <v>433</v>
      </c>
    </row>
    <row r="25" spans="1:5" x14ac:dyDescent="0.25">
      <c r="A25" s="10" t="s">
        <v>28</v>
      </c>
      <c r="B25" s="11">
        <v>333</v>
      </c>
      <c r="C25" s="11">
        <v>316</v>
      </c>
      <c r="D25" s="11">
        <v>350</v>
      </c>
      <c r="E25" s="11">
        <v>433</v>
      </c>
    </row>
    <row r="26" spans="1:5" x14ac:dyDescent="0.25">
      <c r="A26" s="1" t="s">
        <v>29</v>
      </c>
      <c r="B26">
        <f>INT( B25 * 99%)</f>
        <v>329</v>
      </c>
      <c r="C26">
        <f>INT( C25 * 98.8%)</f>
        <v>312</v>
      </c>
      <c r="D26">
        <f>INT( D25 * 98.1%)</f>
        <v>343</v>
      </c>
      <c r="E26">
        <f>INT( E25 * 97.5%)</f>
        <v>422</v>
      </c>
    </row>
    <row r="27" spans="1:5" x14ac:dyDescent="0.25">
      <c r="A27" s="1" t="s">
        <v>30</v>
      </c>
      <c r="B27">
        <f t="shared" ref="B27:B33" si="4">INT( B26 * 99%)</f>
        <v>325</v>
      </c>
      <c r="C27">
        <f t="shared" ref="C27:C33" si="5">INT( C26 * 98.8%)</f>
        <v>308</v>
      </c>
      <c r="D27">
        <f t="shared" ref="D27:D33" si="6">INT( D26 * 98.1%)</f>
        <v>336</v>
      </c>
      <c r="E27">
        <f t="shared" ref="E27:E33" si="7">INT( E26 * 97.5%)</f>
        <v>411</v>
      </c>
    </row>
    <row r="28" spans="1:5" x14ac:dyDescent="0.25">
      <c r="A28" s="1" t="s">
        <v>31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400</v>
      </c>
    </row>
    <row r="29" spans="1:5" x14ac:dyDescent="0.25">
      <c r="A29" s="4" t="s">
        <v>32</v>
      </c>
      <c r="B29" s="5">
        <f t="shared" si="4"/>
        <v>317</v>
      </c>
      <c r="C29" s="5">
        <f t="shared" si="5"/>
        <v>300</v>
      </c>
      <c r="D29" s="5">
        <f t="shared" si="6"/>
        <v>322</v>
      </c>
      <c r="E29" s="5">
        <f t="shared" si="7"/>
        <v>390</v>
      </c>
    </row>
    <row r="30" spans="1:5" x14ac:dyDescent="0.25">
      <c r="A30" s="1" t="s">
        <v>33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380</v>
      </c>
    </row>
    <row r="31" spans="1:5" x14ac:dyDescent="0.25">
      <c r="A31" s="1" t="s">
        <v>34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370</v>
      </c>
    </row>
    <row r="32" spans="1:5" x14ac:dyDescent="0.25">
      <c r="A32" s="1" t="s">
        <v>35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360</v>
      </c>
    </row>
    <row r="33" spans="1:5" x14ac:dyDescent="0.25">
      <c r="A33" s="1" t="s">
        <v>36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ODP_4_4</vt:lpstr>
      <vt:lpstr>ODP_4_5</vt:lpstr>
      <vt:lpstr>ODP_4_2</vt:lpstr>
      <vt:lpstr>ODP_4_3</vt:lpstr>
      <vt:lpstr>ODP_4_1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2024-12-09T16:26:35Z</dcterms:modified>
</cp:coreProperties>
</file>