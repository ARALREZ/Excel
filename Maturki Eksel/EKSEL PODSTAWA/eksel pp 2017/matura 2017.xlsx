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mas\Desktop\Maturki Eksel\eksel pp 2017\"/>
    </mc:Choice>
  </mc:AlternateContent>
  <xr:revisionPtr revIDLastSave="0" documentId="13_ncr:1_{2E7C3991-98DD-49AD-88CF-F875244275FB}" xr6:coauthVersionLast="47" xr6:coauthVersionMax="47" xr10:uidLastSave="{00000000-0000-0000-0000-000000000000}"/>
  <bookViews>
    <workbookView xWindow="-105" yWindow="0" windowWidth="19410" windowHeight="15585" firstSheet="6" activeTab="6" xr2:uid="{00000000-000D-0000-FFFF-FFFF00000000}"/>
  </bookViews>
  <sheets>
    <sheet name="ODP_5_1" sheetId="2" r:id="rId1"/>
    <sheet name="ODP_5_1a" sheetId="5" r:id="rId2"/>
    <sheet name="ODP_5_2" sheetId="3" r:id="rId3"/>
    <sheet name="ODP_5_2a" sheetId="7" r:id="rId4"/>
    <sheet name="ODP_5_3" sheetId="4" r:id="rId5"/>
    <sheet name="ODP_5_3a" sheetId="11" r:id="rId6"/>
    <sheet name="ODP_5_4" sheetId="12" r:id="rId7"/>
    <sheet name="ODP_5_4a" sheetId="13" r:id="rId8"/>
  </sheets>
  <definedNames>
    <definedName name="ExternalData_1" localSheetId="0" hidden="1">ODP_5_1!$A$1:$E$1001</definedName>
    <definedName name="ExternalData_1" localSheetId="2" hidden="1">ODP_5_2!$A$1:$E$1001</definedName>
    <definedName name="ExternalData_1" localSheetId="4" hidden="1">ODP_5_3!$A$1:$E$1001</definedName>
    <definedName name="ExternalData_1" localSheetId="6" hidden="1">ODP_5_4!$A$1:$E$1001</definedName>
  </definedNames>
  <calcPr calcId="191029"/>
  <pivotCaches>
    <pivotCache cacheId="0" r:id="rId9"/>
    <pivotCache cacheId="1" r:id="rId10"/>
    <pivotCache cacheId="2" r:id="rId11"/>
    <pivotCache cacheId="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1" i="12" l="1"/>
  <c r="F1001" i="12"/>
  <c r="G1000" i="12"/>
  <c r="F1000" i="12"/>
  <c r="G999" i="12"/>
  <c r="F999" i="12"/>
  <c r="G998" i="12"/>
  <c r="F998" i="12"/>
  <c r="G997" i="12"/>
  <c r="F997" i="12"/>
  <c r="G996" i="12"/>
  <c r="F996" i="12"/>
  <c r="G995" i="12"/>
  <c r="F995" i="12"/>
  <c r="G994" i="12"/>
  <c r="F994" i="12"/>
  <c r="G993" i="12"/>
  <c r="F993" i="12"/>
  <c r="G992" i="12"/>
  <c r="F992" i="12"/>
  <c r="G991" i="12"/>
  <c r="F991" i="12"/>
  <c r="G990" i="12"/>
  <c r="F990" i="12"/>
  <c r="G989" i="12"/>
  <c r="F989" i="12"/>
  <c r="G988" i="12"/>
  <c r="F988" i="12"/>
  <c r="G987" i="12"/>
  <c r="F987" i="12"/>
  <c r="G986" i="12"/>
  <c r="F986" i="12"/>
  <c r="G985" i="12"/>
  <c r="F985" i="12"/>
  <c r="G984" i="12"/>
  <c r="F984" i="12"/>
  <c r="G983" i="12"/>
  <c r="F983" i="12"/>
  <c r="G982" i="12"/>
  <c r="F982" i="12"/>
  <c r="G981" i="12"/>
  <c r="F981" i="12"/>
  <c r="G980" i="12"/>
  <c r="F980" i="12"/>
  <c r="G979" i="12"/>
  <c r="F979" i="12"/>
  <c r="G978" i="12"/>
  <c r="F978" i="12"/>
  <c r="G977" i="12"/>
  <c r="F977" i="12"/>
  <c r="G976" i="12"/>
  <c r="F976" i="12"/>
  <c r="G975" i="12"/>
  <c r="F975" i="12"/>
  <c r="G974" i="12"/>
  <c r="F974" i="12"/>
  <c r="G973" i="12"/>
  <c r="F973" i="12"/>
  <c r="G972" i="12"/>
  <c r="F972" i="12"/>
  <c r="G971" i="12"/>
  <c r="F971" i="12"/>
  <c r="G970" i="12"/>
  <c r="F970" i="12"/>
  <c r="G969" i="12"/>
  <c r="F969" i="12"/>
  <c r="G968" i="12"/>
  <c r="F968" i="12"/>
  <c r="G967" i="12"/>
  <c r="F967" i="12"/>
  <c r="G966" i="12"/>
  <c r="F966" i="12"/>
  <c r="G965" i="12"/>
  <c r="F965" i="12"/>
  <c r="G964" i="12"/>
  <c r="F964" i="12"/>
  <c r="G963" i="12"/>
  <c r="F963" i="12"/>
  <c r="G962" i="12"/>
  <c r="F962" i="12"/>
  <c r="G961" i="12"/>
  <c r="F961" i="12"/>
  <c r="G960" i="12"/>
  <c r="F960" i="12"/>
  <c r="G959" i="12"/>
  <c r="F959" i="12"/>
  <c r="G958" i="12"/>
  <c r="F958" i="12"/>
  <c r="G957" i="12"/>
  <c r="F957" i="12"/>
  <c r="G956" i="12"/>
  <c r="F956" i="12"/>
  <c r="G955" i="12"/>
  <c r="F955" i="12"/>
  <c r="G954" i="12"/>
  <c r="F954" i="12"/>
  <c r="G953" i="12"/>
  <c r="F953" i="12"/>
  <c r="G952" i="12"/>
  <c r="F952" i="12"/>
  <c r="G951" i="12"/>
  <c r="F951" i="12"/>
  <c r="G950" i="12"/>
  <c r="F950" i="12"/>
  <c r="G949" i="12"/>
  <c r="F949" i="12"/>
  <c r="G948" i="12"/>
  <c r="F948" i="12"/>
  <c r="G947" i="12"/>
  <c r="F947" i="12"/>
  <c r="G946" i="12"/>
  <c r="F946" i="12"/>
  <c r="G945" i="12"/>
  <c r="F945" i="12"/>
  <c r="G944" i="12"/>
  <c r="F944" i="12"/>
  <c r="G943" i="12"/>
  <c r="F943" i="12"/>
  <c r="G942" i="12"/>
  <c r="F942" i="12"/>
  <c r="G941" i="12"/>
  <c r="F941" i="12"/>
  <c r="G940" i="12"/>
  <c r="F940" i="12"/>
  <c r="G939" i="12"/>
  <c r="F939" i="12"/>
  <c r="G938" i="12"/>
  <c r="F938" i="12"/>
  <c r="G937" i="12"/>
  <c r="F937" i="12"/>
  <c r="G936" i="12"/>
  <c r="F936" i="12"/>
  <c r="G935" i="12"/>
  <c r="F935" i="12"/>
  <c r="G934" i="12"/>
  <c r="F934" i="12"/>
  <c r="G933" i="12"/>
  <c r="F933" i="12"/>
  <c r="G932" i="12"/>
  <c r="F932" i="12"/>
  <c r="G931" i="12"/>
  <c r="F931" i="12"/>
  <c r="G930" i="12"/>
  <c r="F930" i="12"/>
  <c r="G929" i="12"/>
  <c r="F929" i="12"/>
  <c r="G928" i="12"/>
  <c r="F928" i="12"/>
  <c r="G927" i="12"/>
  <c r="F927" i="12"/>
  <c r="G926" i="12"/>
  <c r="F926" i="12"/>
  <c r="G925" i="12"/>
  <c r="F925" i="12"/>
  <c r="G924" i="12"/>
  <c r="F924" i="12"/>
  <c r="G923" i="12"/>
  <c r="F923" i="12"/>
  <c r="G922" i="12"/>
  <c r="F922" i="12"/>
  <c r="G921" i="12"/>
  <c r="F921" i="12"/>
  <c r="G920" i="12"/>
  <c r="F920" i="12"/>
  <c r="G919" i="12"/>
  <c r="F919" i="12"/>
  <c r="G918" i="12"/>
  <c r="F918" i="12"/>
  <c r="G917" i="12"/>
  <c r="F917" i="12"/>
  <c r="G916" i="12"/>
  <c r="F916" i="12"/>
  <c r="G915" i="12"/>
  <c r="F915" i="12"/>
  <c r="G914" i="12"/>
  <c r="F914" i="12"/>
  <c r="G913" i="12"/>
  <c r="F913" i="12"/>
  <c r="G912" i="12"/>
  <c r="F912" i="12"/>
  <c r="G911" i="12"/>
  <c r="F911" i="12"/>
  <c r="G910" i="12"/>
  <c r="F910" i="12"/>
  <c r="G909" i="12"/>
  <c r="F909" i="12"/>
  <c r="G908" i="12"/>
  <c r="F908" i="12"/>
  <c r="G907" i="12"/>
  <c r="F907" i="12"/>
  <c r="G906" i="12"/>
  <c r="F906" i="12"/>
  <c r="G905" i="12"/>
  <c r="F905" i="12"/>
  <c r="G904" i="12"/>
  <c r="F904" i="12"/>
  <c r="G903" i="12"/>
  <c r="F903" i="12"/>
  <c r="G902" i="12"/>
  <c r="F902" i="12"/>
  <c r="G901" i="12"/>
  <c r="F901" i="12"/>
  <c r="G900" i="12"/>
  <c r="F900" i="12"/>
  <c r="G899" i="12"/>
  <c r="F899" i="12"/>
  <c r="G898" i="12"/>
  <c r="F898" i="12"/>
  <c r="G897" i="12"/>
  <c r="F897" i="12"/>
  <c r="G896" i="12"/>
  <c r="F896" i="12"/>
  <c r="G895" i="12"/>
  <c r="F895" i="12"/>
  <c r="G894" i="12"/>
  <c r="F894" i="12"/>
  <c r="G893" i="12"/>
  <c r="F893" i="12"/>
  <c r="G892" i="12"/>
  <c r="F892" i="12"/>
  <c r="G891" i="12"/>
  <c r="F891" i="12"/>
  <c r="G890" i="12"/>
  <c r="F890" i="12"/>
  <c r="G889" i="12"/>
  <c r="F889" i="12"/>
  <c r="G888" i="12"/>
  <c r="F888" i="12"/>
  <c r="G887" i="12"/>
  <c r="F887" i="12"/>
  <c r="G886" i="12"/>
  <c r="F886" i="12"/>
  <c r="G885" i="12"/>
  <c r="F885" i="12"/>
  <c r="G884" i="12"/>
  <c r="F884" i="12"/>
  <c r="G883" i="12"/>
  <c r="F883" i="12"/>
  <c r="G882" i="12"/>
  <c r="F882" i="12"/>
  <c r="G881" i="12"/>
  <c r="F881" i="12"/>
  <c r="G880" i="12"/>
  <c r="F880" i="12"/>
  <c r="G879" i="12"/>
  <c r="F879" i="12"/>
  <c r="G878" i="12"/>
  <c r="F878" i="12"/>
  <c r="G877" i="12"/>
  <c r="F877" i="12"/>
  <c r="G876" i="12"/>
  <c r="F876" i="12"/>
  <c r="G875" i="12"/>
  <c r="F875" i="12"/>
  <c r="G874" i="12"/>
  <c r="F874" i="12"/>
  <c r="G873" i="12"/>
  <c r="F873" i="12"/>
  <c r="G872" i="12"/>
  <c r="F872" i="12"/>
  <c r="G871" i="12"/>
  <c r="F871" i="12"/>
  <c r="G870" i="12"/>
  <c r="F870" i="12"/>
  <c r="G869" i="12"/>
  <c r="F869" i="12"/>
  <c r="G868" i="12"/>
  <c r="F868" i="12"/>
  <c r="G867" i="12"/>
  <c r="F867" i="12"/>
  <c r="G866" i="12"/>
  <c r="F866" i="12"/>
  <c r="G865" i="12"/>
  <c r="F865" i="12"/>
  <c r="G864" i="12"/>
  <c r="F864" i="12"/>
  <c r="G863" i="12"/>
  <c r="F863" i="12"/>
  <c r="G862" i="12"/>
  <c r="F862" i="12"/>
  <c r="G861" i="12"/>
  <c r="F861" i="12"/>
  <c r="G860" i="12"/>
  <c r="F860" i="12"/>
  <c r="G859" i="12"/>
  <c r="F859" i="12"/>
  <c r="G858" i="12"/>
  <c r="F858" i="12"/>
  <c r="G857" i="12"/>
  <c r="F857" i="12"/>
  <c r="G856" i="12"/>
  <c r="F856" i="12"/>
  <c r="G855" i="12"/>
  <c r="F855" i="12"/>
  <c r="G854" i="12"/>
  <c r="F854" i="12"/>
  <c r="G853" i="12"/>
  <c r="F853" i="12"/>
  <c r="G852" i="12"/>
  <c r="F852" i="12"/>
  <c r="G851" i="12"/>
  <c r="F851" i="12"/>
  <c r="G850" i="12"/>
  <c r="F850" i="12"/>
  <c r="G849" i="12"/>
  <c r="F849" i="12"/>
  <c r="G848" i="12"/>
  <c r="F848" i="12"/>
  <c r="G847" i="12"/>
  <c r="F847" i="12"/>
  <c r="G846" i="12"/>
  <c r="F846" i="12"/>
  <c r="G845" i="12"/>
  <c r="F845" i="12"/>
  <c r="G844" i="12"/>
  <c r="F844" i="12"/>
  <c r="G843" i="12"/>
  <c r="F843" i="12"/>
  <c r="G842" i="12"/>
  <c r="F842" i="12"/>
  <c r="G841" i="12"/>
  <c r="F841" i="12"/>
  <c r="G840" i="12"/>
  <c r="F840" i="12"/>
  <c r="G839" i="12"/>
  <c r="F839" i="12"/>
  <c r="G838" i="12"/>
  <c r="F838" i="12"/>
  <c r="G837" i="12"/>
  <c r="F837" i="12"/>
  <c r="G836" i="12"/>
  <c r="F836" i="12"/>
  <c r="G835" i="12"/>
  <c r="F835" i="12"/>
  <c r="G834" i="12"/>
  <c r="F834" i="12"/>
  <c r="G833" i="12"/>
  <c r="F833" i="12"/>
  <c r="G832" i="12"/>
  <c r="F832" i="12"/>
  <c r="G831" i="12"/>
  <c r="F831" i="12"/>
  <c r="G830" i="12"/>
  <c r="F830" i="12"/>
  <c r="G829" i="12"/>
  <c r="F829" i="12"/>
  <c r="G828" i="12"/>
  <c r="F828" i="12"/>
  <c r="G827" i="12"/>
  <c r="F827" i="12"/>
  <c r="G826" i="12"/>
  <c r="F826" i="12"/>
  <c r="G825" i="12"/>
  <c r="F825" i="12"/>
  <c r="G824" i="12"/>
  <c r="F824" i="12"/>
  <c r="G823" i="12"/>
  <c r="F823" i="12"/>
  <c r="G822" i="12"/>
  <c r="F822" i="12"/>
  <c r="G821" i="12"/>
  <c r="F821" i="12"/>
  <c r="G820" i="12"/>
  <c r="F820" i="12"/>
  <c r="G819" i="12"/>
  <c r="F819" i="12"/>
  <c r="G818" i="12"/>
  <c r="F818" i="12"/>
  <c r="G817" i="12"/>
  <c r="F817" i="12"/>
  <c r="G816" i="12"/>
  <c r="F816" i="12"/>
  <c r="G815" i="12"/>
  <c r="F815" i="12"/>
  <c r="G814" i="12"/>
  <c r="F814" i="12"/>
  <c r="G813" i="12"/>
  <c r="F813" i="12"/>
  <c r="G812" i="12"/>
  <c r="F812" i="12"/>
  <c r="G811" i="12"/>
  <c r="F811" i="12"/>
  <c r="G810" i="12"/>
  <c r="F810" i="12"/>
  <c r="G809" i="12"/>
  <c r="F809" i="12"/>
  <c r="G808" i="12"/>
  <c r="F808" i="12"/>
  <c r="G807" i="12"/>
  <c r="F807" i="12"/>
  <c r="G806" i="12"/>
  <c r="F806" i="12"/>
  <c r="G805" i="12"/>
  <c r="F805" i="12"/>
  <c r="G804" i="12"/>
  <c r="F804" i="12"/>
  <c r="G803" i="12"/>
  <c r="F803" i="12"/>
  <c r="G802" i="12"/>
  <c r="F802" i="12"/>
  <c r="G801" i="12"/>
  <c r="F801" i="12"/>
  <c r="G800" i="12"/>
  <c r="F800" i="12"/>
  <c r="G799" i="12"/>
  <c r="F799" i="12"/>
  <c r="G798" i="12"/>
  <c r="F798" i="12"/>
  <c r="G797" i="12"/>
  <c r="F797" i="12"/>
  <c r="G796" i="12"/>
  <c r="F796" i="12"/>
  <c r="G795" i="12"/>
  <c r="F795" i="12"/>
  <c r="G794" i="12"/>
  <c r="F794" i="12"/>
  <c r="G793" i="12"/>
  <c r="F793" i="12"/>
  <c r="G792" i="12"/>
  <c r="F792" i="12"/>
  <c r="G791" i="12"/>
  <c r="F791" i="12"/>
  <c r="G790" i="12"/>
  <c r="F790" i="12"/>
  <c r="G789" i="12"/>
  <c r="F789" i="12"/>
  <c r="G788" i="12"/>
  <c r="F788" i="12"/>
  <c r="G787" i="12"/>
  <c r="F787" i="12"/>
  <c r="G786" i="12"/>
  <c r="F786" i="12"/>
  <c r="G785" i="12"/>
  <c r="F785" i="12"/>
  <c r="G784" i="12"/>
  <c r="F784" i="12"/>
  <c r="G783" i="12"/>
  <c r="F783" i="12"/>
  <c r="G782" i="12"/>
  <c r="F782" i="12"/>
  <c r="G781" i="12"/>
  <c r="F781" i="12"/>
  <c r="G780" i="12"/>
  <c r="F780" i="12"/>
  <c r="G779" i="12"/>
  <c r="F779" i="12"/>
  <c r="G778" i="12"/>
  <c r="F778" i="12"/>
  <c r="G777" i="12"/>
  <c r="F777" i="12"/>
  <c r="G776" i="12"/>
  <c r="F776" i="12"/>
  <c r="G775" i="12"/>
  <c r="F775" i="12"/>
  <c r="G774" i="12"/>
  <c r="F774" i="12"/>
  <c r="G773" i="12"/>
  <c r="F773" i="12"/>
  <c r="G772" i="12"/>
  <c r="F772" i="12"/>
  <c r="G771" i="12"/>
  <c r="F771" i="12"/>
  <c r="G770" i="12"/>
  <c r="F770" i="12"/>
  <c r="G769" i="12"/>
  <c r="F769" i="12"/>
  <c r="G768" i="12"/>
  <c r="F768" i="12"/>
  <c r="G767" i="12"/>
  <c r="F767" i="12"/>
  <c r="G766" i="12"/>
  <c r="F766" i="12"/>
  <c r="G765" i="12"/>
  <c r="F765" i="12"/>
  <c r="G764" i="12"/>
  <c r="F764" i="12"/>
  <c r="G763" i="12"/>
  <c r="F763" i="12"/>
  <c r="G762" i="12"/>
  <c r="F762" i="12"/>
  <c r="G761" i="12"/>
  <c r="F761" i="12"/>
  <c r="G760" i="12"/>
  <c r="F760" i="12"/>
  <c r="G759" i="12"/>
  <c r="F759" i="12"/>
  <c r="G758" i="12"/>
  <c r="F758" i="12"/>
  <c r="G757" i="12"/>
  <c r="F757" i="12"/>
  <c r="G756" i="12"/>
  <c r="F756" i="12"/>
  <c r="G755" i="12"/>
  <c r="F755" i="12"/>
  <c r="G754" i="12"/>
  <c r="F754" i="12"/>
  <c r="G753" i="12"/>
  <c r="F753" i="12"/>
  <c r="G752" i="12"/>
  <c r="F752" i="12"/>
  <c r="G751" i="12"/>
  <c r="F751" i="12"/>
  <c r="G750" i="12"/>
  <c r="F750" i="12"/>
  <c r="G749" i="12"/>
  <c r="F749" i="12"/>
  <c r="G748" i="12"/>
  <c r="F748" i="12"/>
  <c r="G747" i="12"/>
  <c r="F747" i="12"/>
  <c r="G746" i="12"/>
  <c r="F746" i="12"/>
  <c r="G745" i="12"/>
  <c r="F745" i="12"/>
  <c r="G744" i="12"/>
  <c r="F744" i="12"/>
  <c r="G743" i="12"/>
  <c r="F743" i="12"/>
  <c r="G742" i="12"/>
  <c r="F742" i="12"/>
  <c r="G741" i="12"/>
  <c r="F741" i="12"/>
  <c r="G740" i="12"/>
  <c r="F740" i="12"/>
  <c r="G739" i="12"/>
  <c r="F739" i="12"/>
  <c r="G738" i="12"/>
  <c r="F738" i="12"/>
  <c r="G737" i="12"/>
  <c r="F737" i="12"/>
  <c r="G736" i="12"/>
  <c r="F736" i="12"/>
  <c r="G735" i="12"/>
  <c r="F735" i="12"/>
  <c r="G734" i="12"/>
  <c r="F734" i="12"/>
  <c r="G733" i="12"/>
  <c r="F733" i="12"/>
  <c r="G732" i="12"/>
  <c r="F732" i="12"/>
  <c r="G731" i="12"/>
  <c r="F731" i="12"/>
  <c r="G730" i="12"/>
  <c r="F730" i="12"/>
  <c r="G729" i="12"/>
  <c r="F729" i="12"/>
  <c r="G728" i="12"/>
  <c r="F728" i="12"/>
  <c r="G727" i="12"/>
  <c r="F727" i="12"/>
  <c r="G726" i="12"/>
  <c r="F726" i="12"/>
  <c r="G725" i="12"/>
  <c r="F725" i="12"/>
  <c r="G724" i="12"/>
  <c r="F724" i="12"/>
  <c r="G723" i="12"/>
  <c r="F723" i="12"/>
  <c r="G722" i="12"/>
  <c r="F722" i="12"/>
  <c r="G721" i="12"/>
  <c r="F721" i="12"/>
  <c r="G720" i="12"/>
  <c r="F720" i="12"/>
  <c r="G719" i="12"/>
  <c r="F719" i="12"/>
  <c r="G718" i="12"/>
  <c r="F718" i="12"/>
  <c r="G717" i="12"/>
  <c r="F717" i="12"/>
  <c r="G716" i="12"/>
  <c r="F716" i="12"/>
  <c r="G715" i="12"/>
  <c r="F715" i="12"/>
  <c r="G714" i="12"/>
  <c r="F714" i="12"/>
  <c r="G713" i="12"/>
  <c r="F713" i="12"/>
  <c r="G712" i="12"/>
  <c r="F712" i="12"/>
  <c r="G711" i="12"/>
  <c r="F711" i="12"/>
  <c r="G710" i="12"/>
  <c r="F710" i="12"/>
  <c r="G709" i="12"/>
  <c r="F709" i="12"/>
  <c r="G708" i="12"/>
  <c r="F708" i="12"/>
  <c r="G707" i="12"/>
  <c r="F707" i="12"/>
  <c r="G706" i="12"/>
  <c r="F706" i="12"/>
  <c r="G705" i="12"/>
  <c r="F705" i="12"/>
  <c r="G704" i="12"/>
  <c r="F704" i="12"/>
  <c r="G703" i="12"/>
  <c r="F703" i="12"/>
  <c r="G702" i="12"/>
  <c r="F702" i="12"/>
  <c r="G701" i="12"/>
  <c r="F701" i="12"/>
  <c r="G700" i="12"/>
  <c r="F700" i="12"/>
  <c r="G699" i="12"/>
  <c r="F699" i="12"/>
  <c r="G698" i="12"/>
  <c r="F698" i="12"/>
  <c r="G697" i="12"/>
  <c r="F697" i="12"/>
  <c r="G696" i="12"/>
  <c r="F696" i="12"/>
  <c r="G695" i="12"/>
  <c r="F695" i="12"/>
  <c r="G694" i="12"/>
  <c r="F694" i="12"/>
  <c r="G693" i="12"/>
  <c r="F693" i="12"/>
  <c r="G692" i="12"/>
  <c r="F692" i="12"/>
  <c r="G691" i="12"/>
  <c r="F691" i="12"/>
  <c r="G690" i="12"/>
  <c r="F690" i="12"/>
  <c r="G689" i="12"/>
  <c r="F689" i="12"/>
  <c r="G688" i="12"/>
  <c r="F688" i="12"/>
  <c r="G687" i="12"/>
  <c r="F687" i="12"/>
  <c r="G686" i="12"/>
  <c r="F686" i="12"/>
  <c r="G685" i="12"/>
  <c r="F685" i="12"/>
  <c r="G684" i="12"/>
  <c r="F684" i="12"/>
  <c r="G683" i="12"/>
  <c r="F683" i="12"/>
  <c r="G682" i="12"/>
  <c r="F682" i="12"/>
  <c r="G681" i="12"/>
  <c r="F681" i="12"/>
  <c r="G680" i="12"/>
  <c r="F680" i="12"/>
  <c r="G679" i="12"/>
  <c r="F679" i="12"/>
  <c r="G678" i="12"/>
  <c r="F678" i="12"/>
  <c r="G677" i="12"/>
  <c r="F677" i="12"/>
  <c r="G676" i="12"/>
  <c r="F676" i="12"/>
  <c r="G675" i="12"/>
  <c r="F675" i="12"/>
  <c r="G674" i="12"/>
  <c r="F674" i="12"/>
  <c r="G673" i="12"/>
  <c r="F673" i="12"/>
  <c r="G672" i="12"/>
  <c r="F672" i="12"/>
  <c r="G671" i="12"/>
  <c r="F671" i="12"/>
  <c r="G670" i="12"/>
  <c r="F670" i="12"/>
  <c r="G669" i="12"/>
  <c r="F669" i="12"/>
  <c r="G668" i="12"/>
  <c r="F668" i="12"/>
  <c r="G667" i="12"/>
  <c r="F667" i="12"/>
  <c r="G666" i="12"/>
  <c r="F666" i="12"/>
  <c r="G665" i="12"/>
  <c r="F665" i="12"/>
  <c r="G664" i="12"/>
  <c r="F664" i="12"/>
  <c r="G663" i="12"/>
  <c r="F663" i="12"/>
  <c r="G662" i="12"/>
  <c r="F662" i="12"/>
  <c r="G661" i="12"/>
  <c r="F661" i="12"/>
  <c r="G660" i="12"/>
  <c r="F660" i="12"/>
  <c r="G659" i="12"/>
  <c r="F659" i="12"/>
  <c r="G658" i="12"/>
  <c r="F658" i="12"/>
  <c r="G657" i="12"/>
  <c r="F657" i="12"/>
  <c r="G656" i="12"/>
  <c r="F656" i="12"/>
  <c r="G655" i="12"/>
  <c r="F655" i="12"/>
  <c r="G654" i="12"/>
  <c r="F654" i="12"/>
  <c r="G653" i="12"/>
  <c r="F653" i="12"/>
  <c r="G652" i="12"/>
  <c r="F652" i="12"/>
  <c r="G651" i="12"/>
  <c r="F651" i="12"/>
  <c r="G650" i="12"/>
  <c r="F650" i="12"/>
  <c r="G649" i="12"/>
  <c r="F649" i="12"/>
  <c r="G648" i="12"/>
  <c r="F648" i="12"/>
  <c r="G647" i="12"/>
  <c r="F647" i="12"/>
  <c r="G646" i="12"/>
  <c r="F646" i="12"/>
  <c r="G645" i="12"/>
  <c r="F645" i="12"/>
  <c r="G644" i="12"/>
  <c r="F644" i="12"/>
  <c r="G643" i="12"/>
  <c r="F643" i="12"/>
  <c r="G642" i="12"/>
  <c r="F642" i="12"/>
  <c r="G641" i="12"/>
  <c r="F641" i="12"/>
  <c r="G640" i="12"/>
  <c r="F640" i="12"/>
  <c r="G639" i="12"/>
  <c r="F639" i="12"/>
  <c r="G638" i="12"/>
  <c r="F638" i="12"/>
  <c r="G637" i="12"/>
  <c r="F637" i="12"/>
  <c r="G636" i="12"/>
  <c r="F636" i="12"/>
  <c r="G635" i="12"/>
  <c r="F635" i="12"/>
  <c r="G634" i="12"/>
  <c r="F634" i="12"/>
  <c r="G633" i="12"/>
  <c r="F633" i="12"/>
  <c r="G632" i="12"/>
  <c r="F632" i="12"/>
  <c r="G631" i="12"/>
  <c r="F631" i="12"/>
  <c r="G630" i="12"/>
  <c r="F630" i="12"/>
  <c r="G629" i="12"/>
  <c r="F629" i="12"/>
  <c r="G628" i="12"/>
  <c r="F628" i="12"/>
  <c r="G627" i="12"/>
  <c r="F627" i="12"/>
  <c r="G626" i="12"/>
  <c r="F626" i="12"/>
  <c r="G625" i="12"/>
  <c r="F625" i="12"/>
  <c r="G624" i="12"/>
  <c r="F624" i="12"/>
  <c r="G623" i="12"/>
  <c r="F623" i="12"/>
  <c r="G622" i="12"/>
  <c r="F622" i="12"/>
  <c r="G621" i="12"/>
  <c r="F621" i="12"/>
  <c r="G620" i="12"/>
  <c r="F620" i="12"/>
  <c r="G619" i="12"/>
  <c r="F619" i="12"/>
  <c r="G618" i="12"/>
  <c r="F618" i="12"/>
  <c r="G617" i="12"/>
  <c r="F617" i="12"/>
  <c r="G616" i="12"/>
  <c r="F616" i="12"/>
  <c r="G615" i="12"/>
  <c r="F615" i="12"/>
  <c r="G614" i="12"/>
  <c r="F614" i="12"/>
  <c r="G613" i="12"/>
  <c r="F613" i="12"/>
  <c r="G612" i="12"/>
  <c r="F612" i="12"/>
  <c r="G611" i="12"/>
  <c r="F611" i="12"/>
  <c r="G610" i="12"/>
  <c r="F610" i="12"/>
  <c r="G609" i="12"/>
  <c r="F609" i="12"/>
  <c r="G608" i="12"/>
  <c r="F608" i="12"/>
  <c r="G607" i="12"/>
  <c r="F607" i="12"/>
  <c r="G606" i="12"/>
  <c r="F606" i="12"/>
  <c r="G605" i="12"/>
  <c r="F605" i="12"/>
  <c r="G604" i="12"/>
  <c r="F604" i="12"/>
  <c r="G603" i="12"/>
  <c r="F603" i="12"/>
  <c r="G602" i="12"/>
  <c r="F602" i="12"/>
  <c r="G601" i="12"/>
  <c r="F601" i="12"/>
  <c r="G600" i="12"/>
  <c r="F600" i="12"/>
  <c r="G599" i="12"/>
  <c r="F599" i="12"/>
  <c r="G598" i="12"/>
  <c r="F598" i="12"/>
  <c r="G597" i="12"/>
  <c r="F597" i="12"/>
  <c r="G596" i="12"/>
  <c r="F596" i="12"/>
  <c r="G595" i="12"/>
  <c r="F595" i="12"/>
  <c r="G594" i="12"/>
  <c r="F594" i="12"/>
  <c r="G593" i="12"/>
  <c r="F593" i="12"/>
  <c r="G592" i="12"/>
  <c r="F592" i="12"/>
  <c r="G591" i="12"/>
  <c r="F591" i="12"/>
  <c r="G590" i="12"/>
  <c r="F590" i="12"/>
  <c r="G589" i="12"/>
  <c r="F589" i="12"/>
  <c r="G588" i="12"/>
  <c r="F588" i="12"/>
  <c r="G587" i="12"/>
  <c r="F587" i="12"/>
  <c r="G586" i="12"/>
  <c r="F586" i="12"/>
  <c r="G585" i="12"/>
  <c r="F585" i="12"/>
  <c r="G584" i="12"/>
  <c r="F584" i="12"/>
  <c r="G583" i="12"/>
  <c r="F583" i="12"/>
  <c r="G582" i="12"/>
  <c r="F582" i="12"/>
  <c r="G581" i="12"/>
  <c r="F581" i="12"/>
  <c r="G580" i="12"/>
  <c r="F580" i="12"/>
  <c r="G579" i="12"/>
  <c r="F579" i="12"/>
  <c r="G578" i="12"/>
  <c r="F578" i="12"/>
  <c r="G577" i="12"/>
  <c r="F577" i="12"/>
  <c r="G576" i="12"/>
  <c r="F576" i="12"/>
  <c r="G575" i="12"/>
  <c r="F575" i="12"/>
  <c r="G574" i="12"/>
  <c r="F574" i="12"/>
  <c r="G573" i="12"/>
  <c r="F573" i="12"/>
  <c r="G572" i="12"/>
  <c r="F572" i="12"/>
  <c r="G571" i="12"/>
  <c r="F571" i="12"/>
  <c r="G570" i="12"/>
  <c r="F570" i="12"/>
  <c r="G569" i="12"/>
  <c r="F569" i="12"/>
  <c r="G568" i="12"/>
  <c r="F568" i="12"/>
  <c r="G567" i="12"/>
  <c r="F567" i="12"/>
  <c r="G566" i="12"/>
  <c r="F566" i="12"/>
  <c r="G565" i="12"/>
  <c r="F565" i="12"/>
  <c r="G564" i="12"/>
  <c r="F564" i="12"/>
  <c r="G563" i="12"/>
  <c r="F563" i="12"/>
  <c r="G562" i="12"/>
  <c r="F562" i="12"/>
  <c r="G561" i="12"/>
  <c r="F561" i="12"/>
  <c r="G560" i="12"/>
  <c r="F560" i="12"/>
  <c r="G559" i="12"/>
  <c r="F559" i="12"/>
  <c r="G558" i="12"/>
  <c r="F558" i="12"/>
  <c r="G557" i="12"/>
  <c r="F557" i="12"/>
  <c r="G556" i="12"/>
  <c r="F556" i="12"/>
  <c r="G555" i="12"/>
  <c r="F555" i="12"/>
  <c r="G554" i="12"/>
  <c r="F554" i="12"/>
  <c r="G553" i="12"/>
  <c r="F553" i="12"/>
  <c r="G552" i="12"/>
  <c r="F552" i="12"/>
  <c r="G551" i="12"/>
  <c r="F551" i="12"/>
  <c r="G550" i="12"/>
  <c r="F550" i="12"/>
  <c r="G549" i="12"/>
  <c r="F549" i="12"/>
  <c r="G548" i="12"/>
  <c r="F548" i="12"/>
  <c r="G547" i="12"/>
  <c r="F547" i="12"/>
  <c r="G546" i="12"/>
  <c r="F546" i="12"/>
  <c r="G545" i="12"/>
  <c r="F545" i="12"/>
  <c r="G544" i="12"/>
  <c r="F544" i="12"/>
  <c r="G543" i="12"/>
  <c r="F543" i="12"/>
  <c r="G542" i="12"/>
  <c r="F542" i="12"/>
  <c r="G541" i="12"/>
  <c r="F541" i="12"/>
  <c r="G540" i="12"/>
  <c r="F540" i="12"/>
  <c r="G539" i="12"/>
  <c r="F539" i="12"/>
  <c r="G538" i="12"/>
  <c r="F538" i="12"/>
  <c r="G537" i="12"/>
  <c r="F537" i="12"/>
  <c r="G536" i="12"/>
  <c r="F536" i="12"/>
  <c r="G535" i="12"/>
  <c r="F535" i="12"/>
  <c r="G534" i="12"/>
  <c r="F534" i="12"/>
  <c r="G533" i="12"/>
  <c r="F533" i="12"/>
  <c r="G532" i="12"/>
  <c r="F532" i="12"/>
  <c r="G531" i="12"/>
  <c r="F531" i="12"/>
  <c r="G530" i="12"/>
  <c r="F530" i="12"/>
  <c r="G529" i="12"/>
  <c r="F529" i="12"/>
  <c r="G528" i="12"/>
  <c r="F528" i="12"/>
  <c r="G527" i="12"/>
  <c r="F527" i="12"/>
  <c r="G526" i="12"/>
  <c r="F526" i="12"/>
  <c r="G525" i="12"/>
  <c r="F525" i="12"/>
  <c r="G524" i="12"/>
  <c r="F524" i="12"/>
  <c r="G523" i="12"/>
  <c r="F523" i="12"/>
  <c r="G522" i="12"/>
  <c r="F522" i="12"/>
  <c r="G521" i="12"/>
  <c r="F521" i="12"/>
  <c r="G520" i="12"/>
  <c r="F520" i="12"/>
  <c r="G519" i="12"/>
  <c r="F519" i="12"/>
  <c r="G518" i="12"/>
  <c r="F518" i="12"/>
  <c r="G517" i="12"/>
  <c r="F517" i="12"/>
  <c r="G516" i="12"/>
  <c r="F516" i="12"/>
  <c r="G515" i="12"/>
  <c r="F515" i="12"/>
  <c r="G514" i="12"/>
  <c r="F514" i="12"/>
  <c r="G513" i="12"/>
  <c r="F513" i="12"/>
  <c r="G512" i="12"/>
  <c r="F512" i="12"/>
  <c r="G511" i="12"/>
  <c r="F511" i="12"/>
  <c r="G510" i="12"/>
  <c r="F510" i="12"/>
  <c r="G509" i="12"/>
  <c r="F509" i="12"/>
  <c r="G508" i="12"/>
  <c r="F508" i="12"/>
  <c r="G507" i="12"/>
  <c r="F507" i="12"/>
  <c r="G506" i="12"/>
  <c r="F506" i="12"/>
  <c r="G505" i="12"/>
  <c r="F505" i="12"/>
  <c r="G504" i="12"/>
  <c r="F504" i="12"/>
  <c r="G503" i="12"/>
  <c r="F503" i="12"/>
  <c r="G502" i="12"/>
  <c r="F502" i="12"/>
  <c r="G501" i="12"/>
  <c r="F501" i="12"/>
  <c r="G500" i="12"/>
  <c r="F500" i="12"/>
  <c r="G499" i="12"/>
  <c r="F499" i="12"/>
  <c r="G498" i="12"/>
  <c r="F498" i="12"/>
  <c r="G497" i="12"/>
  <c r="F497" i="12"/>
  <c r="G496" i="12"/>
  <c r="F496" i="12"/>
  <c r="G495" i="12"/>
  <c r="F495" i="12"/>
  <c r="G494" i="12"/>
  <c r="F494" i="12"/>
  <c r="G493" i="12"/>
  <c r="F493" i="12"/>
  <c r="G492" i="12"/>
  <c r="F492" i="12"/>
  <c r="G491" i="12"/>
  <c r="F491" i="12"/>
  <c r="G490" i="12"/>
  <c r="F490" i="12"/>
  <c r="G489" i="12"/>
  <c r="F489" i="12"/>
  <c r="G488" i="12"/>
  <c r="F488" i="12"/>
  <c r="G487" i="12"/>
  <c r="F487" i="12"/>
  <c r="G486" i="12"/>
  <c r="F486" i="12"/>
  <c r="G485" i="12"/>
  <c r="F485" i="12"/>
  <c r="G484" i="12"/>
  <c r="F484" i="12"/>
  <c r="G483" i="12"/>
  <c r="F483" i="12"/>
  <c r="G482" i="12"/>
  <c r="F482" i="12"/>
  <c r="G481" i="12"/>
  <c r="F481" i="12"/>
  <c r="G480" i="12"/>
  <c r="F480" i="12"/>
  <c r="G479" i="12"/>
  <c r="F479" i="12"/>
  <c r="G478" i="12"/>
  <c r="F478" i="12"/>
  <c r="G477" i="12"/>
  <c r="F477" i="12"/>
  <c r="G476" i="12"/>
  <c r="F476" i="12"/>
  <c r="G475" i="12"/>
  <c r="F475" i="12"/>
  <c r="G474" i="12"/>
  <c r="F474" i="12"/>
  <c r="G473" i="12"/>
  <c r="F473" i="12"/>
  <c r="G472" i="12"/>
  <c r="F472" i="12"/>
  <c r="G471" i="12"/>
  <c r="F471" i="12"/>
  <c r="G470" i="12"/>
  <c r="F470" i="12"/>
  <c r="G469" i="12"/>
  <c r="F469" i="12"/>
  <c r="G468" i="12"/>
  <c r="F468" i="12"/>
  <c r="G467" i="12"/>
  <c r="F467" i="12"/>
  <c r="G466" i="12"/>
  <c r="F466" i="12"/>
  <c r="G465" i="12"/>
  <c r="F465" i="12"/>
  <c r="G464" i="12"/>
  <c r="F464" i="12"/>
  <c r="G463" i="12"/>
  <c r="F463" i="12"/>
  <c r="G462" i="12"/>
  <c r="F462" i="12"/>
  <c r="G461" i="12"/>
  <c r="F461" i="12"/>
  <c r="G460" i="12"/>
  <c r="F460" i="12"/>
  <c r="G459" i="12"/>
  <c r="F459" i="12"/>
  <c r="G458" i="12"/>
  <c r="F458" i="12"/>
  <c r="G457" i="12"/>
  <c r="F457" i="12"/>
  <c r="G456" i="12"/>
  <c r="F456" i="12"/>
  <c r="G455" i="12"/>
  <c r="F455" i="12"/>
  <c r="G454" i="12"/>
  <c r="F454" i="12"/>
  <c r="G453" i="12"/>
  <c r="F453" i="12"/>
  <c r="G452" i="12"/>
  <c r="F452" i="12"/>
  <c r="G451" i="12"/>
  <c r="F451" i="12"/>
  <c r="G450" i="12"/>
  <c r="F450" i="12"/>
  <c r="G449" i="12"/>
  <c r="F449" i="12"/>
  <c r="G448" i="12"/>
  <c r="F448" i="12"/>
  <c r="G447" i="12"/>
  <c r="F447" i="12"/>
  <c r="G446" i="12"/>
  <c r="F446" i="12"/>
  <c r="G445" i="12"/>
  <c r="F445" i="12"/>
  <c r="G444" i="12"/>
  <c r="F444" i="12"/>
  <c r="G443" i="12"/>
  <c r="F443" i="12"/>
  <c r="G442" i="12"/>
  <c r="F442" i="12"/>
  <c r="G441" i="12"/>
  <c r="F441" i="12"/>
  <c r="G440" i="12"/>
  <c r="F440" i="12"/>
  <c r="G439" i="12"/>
  <c r="F439" i="12"/>
  <c r="G438" i="12"/>
  <c r="F438" i="12"/>
  <c r="G437" i="12"/>
  <c r="F437" i="12"/>
  <c r="G436" i="12"/>
  <c r="F436" i="12"/>
  <c r="G435" i="12"/>
  <c r="F435" i="12"/>
  <c r="G434" i="12"/>
  <c r="F434" i="12"/>
  <c r="G433" i="12"/>
  <c r="F433" i="12"/>
  <c r="G432" i="12"/>
  <c r="F432" i="12"/>
  <c r="G431" i="12"/>
  <c r="F431" i="12"/>
  <c r="G430" i="12"/>
  <c r="F430" i="12"/>
  <c r="G429" i="12"/>
  <c r="F429" i="12"/>
  <c r="G428" i="12"/>
  <c r="F428" i="12"/>
  <c r="G427" i="12"/>
  <c r="F427" i="12"/>
  <c r="G426" i="12"/>
  <c r="F426" i="12"/>
  <c r="G425" i="12"/>
  <c r="F425" i="12"/>
  <c r="G424" i="12"/>
  <c r="F424" i="12"/>
  <c r="G423" i="12"/>
  <c r="F423" i="12"/>
  <c r="G422" i="12"/>
  <c r="F422" i="12"/>
  <c r="G421" i="12"/>
  <c r="F421" i="12"/>
  <c r="G420" i="12"/>
  <c r="F420" i="12"/>
  <c r="G419" i="12"/>
  <c r="F419" i="12"/>
  <c r="G418" i="12"/>
  <c r="F418" i="12"/>
  <c r="G417" i="12"/>
  <c r="F417" i="12"/>
  <c r="G416" i="12"/>
  <c r="F416" i="12"/>
  <c r="G415" i="12"/>
  <c r="F415" i="12"/>
  <c r="G414" i="12"/>
  <c r="F414" i="12"/>
  <c r="G413" i="12"/>
  <c r="F413" i="12"/>
  <c r="G412" i="12"/>
  <c r="F412" i="12"/>
  <c r="G411" i="12"/>
  <c r="F411" i="12"/>
  <c r="G410" i="12"/>
  <c r="F410" i="12"/>
  <c r="G409" i="12"/>
  <c r="F409" i="12"/>
  <c r="G408" i="12"/>
  <c r="F408" i="12"/>
  <c r="G407" i="12"/>
  <c r="F407" i="12"/>
  <c r="G406" i="12"/>
  <c r="F406" i="12"/>
  <c r="G405" i="12"/>
  <c r="F405" i="12"/>
  <c r="G404" i="12"/>
  <c r="F404" i="12"/>
  <c r="G403" i="12"/>
  <c r="F403" i="12"/>
  <c r="G402" i="12"/>
  <c r="F402" i="12"/>
  <c r="G401" i="12"/>
  <c r="F401" i="12"/>
  <c r="G400" i="12"/>
  <c r="F400" i="12"/>
  <c r="G399" i="12"/>
  <c r="F399" i="12"/>
  <c r="G398" i="12"/>
  <c r="F398" i="12"/>
  <c r="G397" i="12"/>
  <c r="F397" i="12"/>
  <c r="G396" i="12"/>
  <c r="F396" i="12"/>
  <c r="G395" i="12"/>
  <c r="F395" i="12"/>
  <c r="G394" i="12"/>
  <c r="F394" i="12"/>
  <c r="G393" i="12"/>
  <c r="F393" i="12"/>
  <c r="G392" i="12"/>
  <c r="F392" i="12"/>
  <c r="G391" i="12"/>
  <c r="F391" i="12"/>
  <c r="G390" i="12"/>
  <c r="F390" i="12"/>
  <c r="G389" i="12"/>
  <c r="F389" i="12"/>
  <c r="G388" i="12"/>
  <c r="F388" i="12"/>
  <c r="G387" i="12"/>
  <c r="F387" i="12"/>
  <c r="G386" i="12"/>
  <c r="F386" i="12"/>
  <c r="G385" i="12"/>
  <c r="F385" i="12"/>
  <c r="G384" i="12"/>
  <c r="F384" i="12"/>
  <c r="G383" i="12"/>
  <c r="F383" i="12"/>
  <c r="G382" i="12"/>
  <c r="F382" i="12"/>
  <c r="G381" i="12"/>
  <c r="F381" i="12"/>
  <c r="G380" i="12"/>
  <c r="F380" i="12"/>
  <c r="G379" i="12"/>
  <c r="F379" i="12"/>
  <c r="G378" i="12"/>
  <c r="F378" i="12"/>
  <c r="G377" i="12"/>
  <c r="F377" i="12"/>
  <c r="G376" i="12"/>
  <c r="F376" i="12"/>
  <c r="G375" i="12"/>
  <c r="F375" i="12"/>
  <c r="G374" i="12"/>
  <c r="F374" i="12"/>
  <c r="G373" i="12"/>
  <c r="F373" i="12"/>
  <c r="G372" i="12"/>
  <c r="F372" i="12"/>
  <c r="G371" i="12"/>
  <c r="F371" i="12"/>
  <c r="G370" i="12"/>
  <c r="F370" i="12"/>
  <c r="G369" i="12"/>
  <c r="F369" i="12"/>
  <c r="G368" i="12"/>
  <c r="F368" i="12"/>
  <c r="G367" i="12"/>
  <c r="F367" i="12"/>
  <c r="G366" i="12"/>
  <c r="F366" i="12"/>
  <c r="G365" i="12"/>
  <c r="F365" i="12"/>
  <c r="G364" i="12"/>
  <c r="F364" i="12"/>
  <c r="G363" i="12"/>
  <c r="F363" i="12"/>
  <c r="G362" i="12"/>
  <c r="F362" i="12"/>
  <c r="G361" i="12"/>
  <c r="F361" i="12"/>
  <c r="G360" i="12"/>
  <c r="F360" i="12"/>
  <c r="G359" i="12"/>
  <c r="F359" i="12"/>
  <c r="G358" i="12"/>
  <c r="F358" i="12"/>
  <c r="G357" i="12"/>
  <c r="F357" i="12"/>
  <c r="G356" i="12"/>
  <c r="F356" i="12"/>
  <c r="G355" i="12"/>
  <c r="F355" i="12"/>
  <c r="G354" i="12"/>
  <c r="F354" i="12"/>
  <c r="G353" i="12"/>
  <c r="F353" i="12"/>
  <c r="G352" i="12"/>
  <c r="F352" i="12"/>
  <c r="G351" i="12"/>
  <c r="F351" i="12"/>
  <c r="G350" i="12"/>
  <c r="F350" i="12"/>
  <c r="G349" i="12"/>
  <c r="F349" i="12"/>
  <c r="G348" i="12"/>
  <c r="F348" i="12"/>
  <c r="G347" i="12"/>
  <c r="F347" i="12"/>
  <c r="G346" i="12"/>
  <c r="F346" i="12"/>
  <c r="G345" i="12"/>
  <c r="F345" i="12"/>
  <c r="G344" i="12"/>
  <c r="F344" i="12"/>
  <c r="G343" i="12"/>
  <c r="F343" i="12"/>
  <c r="G342" i="12"/>
  <c r="F342" i="12"/>
  <c r="G341" i="12"/>
  <c r="F341" i="12"/>
  <c r="G340" i="12"/>
  <c r="F340" i="12"/>
  <c r="G339" i="12"/>
  <c r="F339" i="12"/>
  <c r="G338" i="12"/>
  <c r="F338" i="12"/>
  <c r="G337" i="12"/>
  <c r="F337" i="12"/>
  <c r="G336" i="12"/>
  <c r="F336" i="12"/>
  <c r="G335" i="12"/>
  <c r="F335" i="12"/>
  <c r="G334" i="12"/>
  <c r="F334" i="12"/>
  <c r="G333" i="12"/>
  <c r="F333" i="12"/>
  <c r="G332" i="12"/>
  <c r="F332" i="12"/>
  <c r="G331" i="12"/>
  <c r="F331" i="12"/>
  <c r="G330" i="12"/>
  <c r="F330" i="12"/>
  <c r="G329" i="12"/>
  <c r="F329" i="12"/>
  <c r="G328" i="12"/>
  <c r="F328" i="12"/>
  <c r="G327" i="12"/>
  <c r="F327" i="12"/>
  <c r="G326" i="12"/>
  <c r="F326" i="12"/>
  <c r="G325" i="12"/>
  <c r="F325" i="12"/>
  <c r="G324" i="12"/>
  <c r="F324" i="12"/>
  <c r="G323" i="12"/>
  <c r="F323" i="12"/>
  <c r="G322" i="12"/>
  <c r="F322" i="12"/>
  <c r="G321" i="12"/>
  <c r="F321" i="12"/>
  <c r="G320" i="12"/>
  <c r="F320" i="12"/>
  <c r="G319" i="12"/>
  <c r="F319" i="12"/>
  <c r="G318" i="12"/>
  <c r="F318" i="12"/>
  <c r="G317" i="12"/>
  <c r="F317" i="12"/>
  <c r="G316" i="12"/>
  <c r="F316" i="12"/>
  <c r="G315" i="12"/>
  <c r="F315" i="12"/>
  <c r="G314" i="12"/>
  <c r="F314" i="12"/>
  <c r="G313" i="12"/>
  <c r="F313" i="12"/>
  <c r="G312" i="12"/>
  <c r="F312" i="12"/>
  <c r="G311" i="12"/>
  <c r="F311" i="12"/>
  <c r="G310" i="12"/>
  <c r="F310" i="12"/>
  <c r="G309" i="12"/>
  <c r="F309" i="12"/>
  <c r="G308" i="12"/>
  <c r="F308" i="12"/>
  <c r="G307" i="12"/>
  <c r="F307" i="12"/>
  <c r="G306" i="12"/>
  <c r="F306" i="12"/>
  <c r="G305" i="12"/>
  <c r="F305" i="12"/>
  <c r="G304" i="12"/>
  <c r="F304" i="12"/>
  <c r="G303" i="12"/>
  <c r="F303" i="12"/>
  <c r="G302" i="12"/>
  <c r="F302" i="12"/>
  <c r="G301" i="12"/>
  <c r="F301" i="12"/>
  <c r="G300" i="12"/>
  <c r="F300" i="12"/>
  <c r="G299" i="12"/>
  <c r="F299" i="12"/>
  <c r="G298" i="12"/>
  <c r="F298" i="12"/>
  <c r="G297" i="12"/>
  <c r="F297" i="12"/>
  <c r="G296" i="12"/>
  <c r="F296" i="12"/>
  <c r="G295" i="12"/>
  <c r="F295" i="12"/>
  <c r="G294" i="12"/>
  <c r="F294" i="12"/>
  <c r="G293" i="12"/>
  <c r="F293" i="12"/>
  <c r="G292" i="12"/>
  <c r="F292" i="12"/>
  <c r="G291" i="12"/>
  <c r="F291" i="12"/>
  <c r="G290" i="12"/>
  <c r="F290" i="12"/>
  <c r="G289" i="12"/>
  <c r="F289" i="12"/>
  <c r="G288" i="12"/>
  <c r="F288" i="12"/>
  <c r="G287" i="12"/>
  <c r="F287" i="12"/>
  <c r="G286" i="12"/>
  <c r="F286" i="12"/>
  <c r="G285" i="12"/>
  <c r="F285" i="12"/>
  <c r="G284" i="12"/>
  <c r="F284" i="12"/>
  <c r="G283" i="12"/>
  <c r="F283" i="12"/>
  <c r="G282" i="12"/>
  <c r="F282" i="12"/>
  <c r="G281" i="12"/>
  <c r="F281" i="12"/>
  <c r="G280" i="12"/>
  <c r="F280" i="12"/>
  <c r="G279" i="12"/>
  <c r="F279" i="12"/>
  <c r="G278" i="12"/>
  <c r="F278" i="12"/>
  <c r="G277" i="12"/>
  <c r="F277" i="12"/>
  <c r="G276" i="12"/>
  <c r="F276" i="12"/>
  <c r="G275" i="12"/>
  <c r="F275" i="12"/>
  <c r="G274" i="12"/>
  <c r="F274" i="12"/>
  <c r="G273" i="12"/>
  <c r="F273" i="12"/>
  <c r="G272" i="12"/>
  <c r="F272" i="12"/>
  <c r="G271" i="12"/>
  <c r="F271" i="12"/>
  <c r="G270" i="12"/>
  <c r="F270" i="12"/>
  <c r="G269" i="12"/>
  <c r="F269" i="12"/>
  <c r="G268" i="12"/>
  <c r="F268" i="12"/>
  <c r="G267" i="12"/>
  <c r="F267" i="12"/>
  <c r="G266" i="12"/>
  <c r="F266" i="12"/>
  <c r="G265" i="12"/>
  <c r="F265" i="12"/>
  <c r="G264" i="12"/>
  <c r="F264" i="12"/>
  <c r="G263" i="12"/>
  <c r="F263" i="12"/>
  <c r="G262" i="12"/>
  <c r="F262" i="12"/>
  <c r="G261" i="12"/>
  <c r="F261" i="12"/>
  <c r="G260" i="12"/>
  <c r="F260" i="12"/>
  <c r="G259" i="12"/>
  <c r="F259" i="12"/>
  <c r="G258" i="12"/>
  <c r="F258" i="12"/>
  <c r="G257" i="12"/>
  <c r="F257" i="12"/>
  <c r="G256" i="12"/>
  <c r="F256" i="12"/>
  <c r="G255" i="12"/>
  <c r="F255" i="12"/>
  <c r="G254" i="12"/>
  <c r="F254" i="12"/>
  <c r="G253" i="12"/>
  <c r="F253" i="12"/>
  <c r="G252" i="12"/>
  <c r="F252" i="12"/>
  <c r="G251" i="12"/>
  <c r="F251" i="12"/>
  <c r="G250" i="12"/>
  <c r="F250" i="12"/>
  <c r="G249" i="12"/>
  <c r="F249" i="12"/>
  <c r="G248" i="12"/>
  <c r="F248" i="12"/>
  <c r="G247" i="12"/>
  <c r="F247" i="12"/>
  <c r="G246" i="12"/>
  <c r="F246" i="12"/>
  <c r="G245" i="12"/>
  <c r="F245" i="12"/>
  <c r="G244" i="12"/>
  <c r="F244" i="12"/>
  <c r="G243" i="12"/>
  <c r="F243" i="12"/>
  <c r="G242" i="12"/>
  <c r="F242" i="12"/>
  <c r="G241" i="12"/>
  <c r="F241" i="12"/>
  <c r="G240" i="12"/>
  <c r="F240" i="12"/>
  <c r="G239" i="12"/>
  <c r="F239" i="12"/>
  <c r="G238" i="12"/>
  <c r="F238" i="12"/>
  <c r="G237" i="12"/>
  <c r="F237" i="12"/>
  <c r="G236" i="12"/>
  <c r="F236" i="12"/>
  <c r="G235" i="12"/>
  <c r="F235" i="12"/>
  <c r="G234" i="12"/>
  <c r="F234" i="12"/>
  <c r="G233" i="12"/>
  <c r="F233" i="12"/>
  <c r="G232" i="12"/>
  <c r="F232" i="12"/>
  <c r="G231" i="12"/>
  <c r="F231" i="12"/>
  <c r="G230" i="12"/>
  <c r="F230" i="12"/>
  <c r="G229" i="12"/>
  <c r="F229" i="12"/>
  <c r="G228" i="12"/>
  <c r="F228" i="12"/>
  <c r="G227" i="12"/>
  <c r="F227" i="12"/>
  <c r="G226" i="12"/>
  <c r="F226" i="12"/>
  <c r="G225" i="12"/>
  <c r="F225" i="12"/>
  <c r="G224" i="12"/>
  <c r="F224" i="12"/>
  <c r="G223" i="12"/>
  <c r="F223" i="12"/>
  <c r="G222" i="12"/>
  <c r="F222" i="12"/>
  <c r="G221" i="12"/>
  <c r="F221" i="12"/>
  <c r="G220" i="12"/>
  <c r="F220" i="12"/>
  <c r="G219" i="12"/>
  <c r="F219" i="12"/>
  <c r="G218" i="12"/>
  <c r="F218" i="12"/>
  <c r="G217" i="12"/>
  <c r="F217" i="12"/>
  <c r="G216" i="12"/>
  <c r="F216" i="12"/>
  <c r="G215" i="12"/>
  <c r="F215" i="12"/>
  <c r="G214" i="12"/>
  <c r="F214" i="12"/>
  <c r="G213" i="12"/>
  <c r="F213" i="12"/>
  <c r="G212" i="12"/>
  <c r="F212" i="12"/>
  <c r="G211" i="12"/>
  <c r="F211" i="12"/>
  <c r="G210" i="12"/>
  <c r="F210" i="12"/>
  <c r="G209" i="12"/>
  <c r="F209" i="12"/>
  <c r="G208" i="12"/>
  <c r="F208" i="12"/>
  <c r="G207" i="12"/>
  <c r="F207" i="12"/>
  <c r="G206" i="12"/>
  <c r="F206" i="12"/>
  <c r="G205" i="12"/>
  <c r="F205" i="12"/>
  <c r="G204" i="12"/>
  <c r="F204" i="12"/>
  <c r="G203" i="12"/>
  <c r="F203" i="12"/>
  <c r="G202" i="12"/>
  <c r="F202" i="12"/>
  <c r="G201" i="12"/>
  <c r="F201" i="12"/>
  <c r="G200" i="12"/>
  <c r="F200" i="12"/>
  <c r="G199" i="12"/>
  <c r="F199" i="12"/>
  <c r="G198" i="12"/>
  <c r="F198" i="12"/>
  <c r="G197" i="12"/>
  <c r="F197" i="12"/>
  <c r="G196" i="12"/>
  <c r="F196" i="12"/>
  <c r="G195" i="12"/>
  <c r="F195" i="12"/>
  <c r="G194" i="12"/>
  <c r="F194" i="12"/>
  <c r="G193" i="12"/>
  <c r="F193" i="12"/>
  <c r="G192" i="12"/>
  <c r="F192" i="12"/>
  <c r="G191" i="12"/>
  <c r="F191" i="12"/>
  <c r="G190" i="12"/>
  <c r="F190" i="12"/>
  <c r="G189" i="12"/>
  <c r="F189" i="12"/>
  <c r="G188" i="12"/>
  <c r="F188" i="12"/>
  <c r="G187" i="12"/>
  <c r="F187" i="12"/>
  <c r="G186" i="12"/>
  <c r="F186" i="12"/>
  <c r="G185" i="12"/>
  <c r="F185" i="12"/>
  <c r="G184" i="12"/>
  <c r="F184" i="12"/>
  <c r="G183" i="12"/>
  <c r="F183" i="12"/>
  <c r="G182" i="12"/>
  <c r="F182" i="12"/>
  <c r="G181" i="12"/>
  <c r="F181" i="12"/>
  <c r="G180" i="12"/>
  <c r="F180" i="12"/>
  <c r="G179" i="12"/>
  <c r="F179" i="12"/>
  <c r="G178" i="12"/>
  <c r="F178" i="12"/>
  <c r="G177" i="12"/>
  <c r="F177" i="12"/>
  <c r="G176" i="12"/>
  <c r="F176" i="12"/>
  <c r="G175" i="12"/>
  <c r="F175" i="12"/>
  <c r="G174" i="12"/>
  <c r="F174" i="12"/>
  <c r="G173" i="12"/>
  <c r="F173" i="12"/>
  <c r="G172" i="12"/>
  <c r="F172" i="12"/>
  <c r="G171" i="12"/>
  <c r="F171" i="12"/>
  <c r="G170" i="12"/>
  <c r="F170" i="12"/>
  <c r="G169" i="12"/>
  <c r="F169" i="12"/>
  <c r="G168" i="12"/>
  <c r="F168" i="12"/>
  <c r="G167" i="12"/>
  <c r="F167" i="12"/>
  <c r="G166" i="12"/>
  <c r="F166" i="12"/>
  <c r="G165" i="12"/>
  <c r="F165" i="12"/>
  <c r="G164" i="12"/>
  <c r="F164" i="12"/>
  <c r="G163" i="12"/>
  <c r="F163" i="12"/>
  <c r="G162" i="12"/>
  <c r="F162" i="12"/>
  <c r="G161" i="12"/>
  <c r="F161" i="12"/>
  <c r="G160" i="12"/>
  <c r="F160" i="12"/>
  <c r="G159" i="12"/>
  <c r="F159" i="12"/>
  <c r="G158" i="12"/>
  <c r="F158" i="12"/>
  <c r="G157" i="12"/>
  <c r="F157" i="12"/>
  <c r="G156" i="12"/>
  <c r="F156" i="12"/>
  <c r="G155" i="12"/>
  <c r="F155" i="12"/>
  <c r="G154" i="12"/>
  <c r="F154" i="12"/>
  <c r="G153" i="12"/>
  <c r="F153" i="12"/>
  <c r="G152" i="12"/>
  <c r="F152" i="12"/>
  <c r="G151" i="12"/>
  <c r="F151" i="12"/>
  <c r="G150" i="12"/>
  <c r="F150" i="12"/>
  <c r="G149" i="12"/>
  <c r="F149" i="12"/>
  <c r="G148" i="12"/>
  <c r="F148" i="12"/>
  <c r="G147" i="12"/>
  <c r="F147" i="12"/>
  <c r="G146" i="12"/>
  <c r="F146" i="12"/>
  <c r="G145" i="12"/>
  <c r="F145" i="12"/>
  <c r="G144" i="12"/>
  <c r="F144" i="12"/>
  <c r="G143" i="12"/>
  <c r="F143" i="12"/>
  <c r="G142" i="12"/>
  <c r="F142" i="12"/>
  <c r="G141" i="12"/>
  <c r="F141" i="12"/>
  <c r="G140" i="12"/>
  <c r="F140" i="12"/>
  <c r="G139" i="12"/>
  <c r="F139" i="12"/>
  <c r="G138" i="12"/>
  <c r="F138" i="12"/>
  <c r="G137" i="12"/>
  <c r="F137" i="12"/>
  <c r="G136" i="12"/>
  <c r="F136" i="12"/>
  <c r="G135" i="12"/>
  <c r="F135" i="12"/>
  <c r="G134" i="12"/>
  <c r="F134" i="12"/>
  <c r="G133" i="12"/>
  <c r="F133" i="12"/>
  <c r="G132" i="12"/>
  <c r="F132" i="12"/>
  <c r="G131" i="12"/>
  <c r="F131" i="12"/>
  <c r="G130" i="12"/>
  <c r="F130" i="12"/>
  <c r="G129" i="12"/>
  <c r="F129" i="12"/>
  <c r="G128" i="12"/>
  <c r="F128" i="12"/>
  <c r="G127" i="12"/>
  <c r="F127" i="12"/>
  <c r="G126" i="12"/>
  <c r="F126" i="12"/>
  <c r="G125" i="12"/>
  <c r="F125" i="12"/>
  <c r="G124" i="12"/>
  <c r="F124" i="12"/>
  <c r="G123" i="12"/>
  <c r="F123" i="12"/>
  <c r="G122" i="12"/>
  <c r="F122" i="12"/>
  <c r="G121" i="12"/>
  <c r="F121" i="12"/>
  <c r="G120" i="12"/>
  <c r="F120" i="12"/>
  <c r="G119" i="12"/>
  <c r="F119" i="12"/>
  <c r="G118" i="12"/>
  <c r="F118" i="12"/>
  <c r="G117" i="12"/>
  <c r="F117" i="12"/>
  <c r="G116" i="12"/>
  <c r="F116" i="12"/>
  <c r="G115" i="12"/>
  <c r="F115" i="12"/>
  <c r="G114" i="12"/>
  <c r="F114" i="12"/>
  <c r="G113" i="12"/>
  <c r="F113" i="12"/>
  <c r="G112" i="12"/>
  <c r="F112" i="12"/>
  <c r="G111" i="12"/>
  <c r="F111" i="12"/>
  <c r="G110" i="12"/>
  <c r="F110" i="12"/>
  <c r="G109" i="12"/>
  <c r="F109" i="12"/>
  <c r="G108" i="12"/>
  <c r="F108" i="12"/>
  <c r="G107" i="12"/>
  <c r="F107" i="12"/>
  <c r="G106" i="12"/>
  <c r="F106" i="12"/>
  <c r="G105" i="12"/>
  <c r="F105" i="12"/>
  <c r="G104" i="12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G9" i="12"/>
  <c r="F9" i="12"/>
  <c r="G8" i="12"/>
  <c r="F8" i="12"/>
  <c r="G7" i="12"/>
  <c r="F7" i="12"/>
  <c r="G6" i="12"/>
  <c r="F6" i="12"/>
  <c r="G5" i="12"/>
  <c r="F5" i="12"/>
  <c r="G4" i="12"/>
  <c r="F4" i="12"/>
  <c r="G3" i="12"/>
  <c r="F3" i="12"/>
  <c r="G2" i="12"/>
  <c r="F2" i="12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H24" i="4"/>
  <c r="H25" i="4"/>
  <c r="H34" i="4"/>
  <c r="H36" i="4"/>
  <c r="H37" i="4"/>
  <c r="H38" i="4"/>
  <c r="H48" i="4"/>
  <c r="H49" i="4"/>
  <c r="H58" i="4"/>
  <c r="H60" i="4"/>
  <c r="H61" i="4"/>
  <c r="H62" i="4"/>
  <c r="H72" i="4"/>
  <c r="H73" i="4"/>
  <c r="H82" i="4"/>
  <c r="H84" i="4"/>
  <c r="H85" i="4"/>
  <c r="H86" i="4"/>
  <c r="H96" i="4"/>
  <c r="H97" i="4"/>
  <c r="H106" i="4"/>
  <c r="H108" i="4"/>
  <c r="H109" i="4"/>
  <c r="H110" i="4"/>
  <c r="H120" i="4"/>
  <c r="H121" i="4"/>
  <c r="H130" i="4"/>
  <c r="H132" i="4"/>
  <c r="H133" i="4"/>
  <c r="H134" i="4"/>
  <c r="H144" i="4"/>
  <c r="H145" i="4"/>
  <c r="H154" i="4"/>
  <c r="H156" i="4"/>
  <c r="H157" i="4"/>
  <c r="H158" i="4"/>
  <c r="H168" i="4"/>
  <c r="H169" i="4"/>
  <c r="H178" i="4"/>
  <c r="H180" i="4"/>
  <c r="H181" i="4"/>
  <c r="H182" i="4"/>
  <c r="H192" i="4"/>
  <c r="H193" i="4"/>
  <c r="H202" i="4"/>
  <c r="H204" i="4"/>
  <c r="H205" i="4"/>
  <c r="H206" i="4"/>
  <c r="H216" i="4"/>
  <c r="H217" i="4"/>
  <c r="H226" i="4"/>
  <c r="H228" i="4"/>
  <c r="H229" i="4"/>
  <c r="H230" i="4"/>
  <c r="H240" i="4"/>
  <c r="H241" i="4"/>
  <c r="H250" i="4"/>
  <c r="H252" i="4"/>
  <c r="H253" i="4"/>
  <c r="H254" i="4"/>
  <c r="H264" i="4"/>
  <c r="H265" i="4"/>
  <c r="H274" i="4"/>
  <c r="H276" i="4"/>
  <c r="H277" i="4"/>
  <c r="H278" i="4"/>
  <c r="H288" i="4"/>
  <c r="H289" i="4"/>
  <c r="H298" i="4"/>
  <c r="H300" i="4"/>
  <c r="H301" i="4"/>
  <c r="H302" i="4"/>
  <c r="H312" i="4"/>
  <c r="H313" i="4"/>
  <c r="H322" i="4"/>
  <c r="H324" i="4"/>
  <c r="H325" i="4"/>
  <c r="H326" i="4"/>
  <c r="H336" i="4"/>
  <c r="H337" i="4"/>
  <c r="H346" i="4"/>
  <c r="H348" i="4"/>
  <c r="H349" i="4"/>
  <c r="H350" i="4"/>
  <c r="H360" i="4"/>
  <c r="H361" i="4"/>
  <c r="H370" i="4"/>
  <c r="H372" i="4"/>
  <c r="H373" i="4"/>
  <c r="H374" i="4"/>
  <c r="H384" i="4"/>
  <c r="H385" i="4"/>
  <c r="H394" i="4"/>
  <c r="H396" i="4"/>
  <c r="H397" i="4"/>
  <c r="H398" i="4"/>
  <c r="H408" i="4"/>
  <c r="H409" i="4"/>
  <c r="H418" i="4"/>
  <c r="H420" i="4"/>
  <c r="H421" i="4"/>
  <c r="H422" i="4"/>
  <c r="H432" i="4"/>
  <c r="H442" i="4"/>
  <c r="H444" i="4"/>
  <c r="H445" i="4"/>
  <c r="H446" i="4"/>
  <c r="H456" i="4"/>
  <c r="H466" i="4"/>
  <c r="H468" i="4"/>
  <c r="H469" i="4"/>
  <c r="H470" i="4"/>
  <c r="H480" i="4"/>
  <c r="H490" i="4"/>
  <c r="H492" i="4"/>
  <c r="H493" i="4"/>
  <c r="H494" i="4"/>
  <c r="H504" i="4"/>
  <c r="H514" i="4"/>
  <c r="H516" i="4"/>
  <c r="H517" i="4"/>
  <c r="H518" i="4"/>
  <c r="H528" i="4"/>
  <c r="H538" i="4"/>
  <c r="H540" i="4"/>
  <c r="H541" i="4"/>
  <c r="H542" i="4"/>
  <c r="H552" i="4"/>
  <c r="H562" i="4"/>
  <c r="H564" i="4"/>
  <c r="H565" i="4"/>
  <c r="H566" i="4"/>
  <c r="H576" i="4"/>
  <c r="H586" i="4"/>
  <c r="H588" i="4"/>
  <c r="H589" i="4"/>
  <c r="H590" i="4"/>
  <c r="H600" i="4"/>
  <c r="H610" i="4"/>
  <c r="H612" i="4"/>
  <c r="H613" i="4"/>
  <c r="H614" i="4"/>
  <c r="H624" i="4"/>
  <c r="H634" i="4"/>
  <c r="H636" i="4"/>
  <c r="H637" i="4"/>
  <c r="H638" i="4"/>
  <c r="H648" i="4"/>
  <c r="H658" i="4"/>
  <c r="H660" i="4"/>
  <c r="H661" i="4"/>
  <c r="H662" i="4"/>
  <c r="H672" i="4"/>
  <c r="H682" i="4"/>
  <c r="H684" i="4"/>
  <c r="H685" i="4"/>
  <c r="H686" i="4"/>
  <c r="H696" i="4"/>
  <c r="H706" i="4"/>
  <c r="H708" i="4"/>
  <c r="H709" i="4"/>
  <c r="H710" i="4"/>
  <c r="H720" i="4"/>
  <c r="H730" i="4"/>
  <c r="H732" i="4"/>
  <c r="H733" i="4"/>
  <c r="H734" i="4"/>
  <c r="H744" i="4"/>
  <c r="H754" i="4"/>
  <c r="H756" i="4"/>
  <c r="H757" i="4"/>
  <c r="H758" i="4"/>
  <c r="H768" i="4"/>
  <c r="H778" i="4"/>
  <c r="H780" i="4"/>
  <c r="H781" i="4"/>
  <c r="H782" i="4"/>
  <c r="H802" i="4"/>
  <c r="H804" i="4"/>
  <c r="H805" i="4"/>
  <c r="H806" i="4"/>
  <c r="H826" i="4"/>
  <c r="H828" i="4"/>
  <c r="H829" i="4"/>
  <c r="H830" i="4"/>
  <c r="H850" i="4"/>
  <c r="H852" i="4"/>
  <c r="H853" i="4"/>
  <c r="H854" i="4"/>
  <c r="H874" i="4"/>
  <c r="H876" i="4"/>
  <c r="H877" i="4"/>
  <c r="H878" i="4"/>
  <c r="H898" i="4"/>
  <c r="H900" i="4"/>
  <c r="H901" i="4"/>
  <c r="H902" i="4"/>
  <c r="H922" i="4"/>
  <c r="H924" i="4"/>
  <c r="H925" i="4"/>
  <c r="H926" i="4"/>
  <c r="H946" i="4"/>
  <c r="H948" i="4"/>
  <c r="H949" i="4"/>
  <c r="H950" i="4"/>
  <c r="H970" i="4"/>
  <c r="H972" i="4"/>
  <c r="H973" i="4"/>
  <c r="H974" i="4"/>
  <c r="H994" i="4"/>
  <c r="H996" i="4"/>
  <c r="H997" i="4"/>
  <c r="H998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F2" i="4"/>
  <c r="H2" i="4" s="1"/>
  <c r="F3" i="4"/>
  <c r="H3" i="4" s="1"/>
  <c r="F4" i="4"/>
  <c r="H4" i="4" s="1"/>
  <c r="F5" i="4"/>
  <c r="H5" i="4" s="1"/>
  <c r="F6" i="4"/>
  <c r="H6" i="4" s="1"/>
  <c r="F7" i="4"/>
  <c r="H7" i="4" s="1"/>
  <c r="F8" i="4"/>
  <c r="H8" i="4" s="1"/>
  <c r="F9" i="4"/>
  <c r="H9" i="4" s="1"/>
  <c r="F10" i="4"/>
  <c r="H10" i="4" s="1"/>
  <c r="F11" i="4"/>
  <c r="H11" i="4" s="1"/>
  <c r="F12" i="4"/>
  <c r="H12" i="4" s="1"/>
  <c r="F13" i="4"/>
  <c r="H13" i="4" s="1"/>
  <c r="F14" i="4"/>
  <c r="H14" i="4" s="1"/>
  <c r="F15" i="4"/>
  <c r="H15" i="4" s="1"/>
  <c r="F16" i="4"/>
  <c r="H16" i="4" s="1"/>
  <c r="F17" i="4"/>
  <c r="H17" i="4" s="1"/>
  <c r="F18" i="4"/>
  <c r="H18" i="4" s="1"/>
  <c r="F19" i="4"/>
  <c r="H19" i="4" s="1"/>
  <c r="F20" i="4"/>
  <c r="H20" i="4" s="1"/>
  <c r="F21" i="4"/>
  <c r="H21" i="4" s="1"/>
  <c r="F22" i="4"/>
  <c r="H22" i="4" s="1"/>
  <c r="F23" i="4"/>
  <c r="H23" i="4" s="1"/>
  <c r="F24" i="4"/>
  <c r="F25" i="4"/>
  <c r="F26" i="4"/>
  <c r="H26" i="4" s="1"/>
  <c r="F27" i="4"/>
  <c r="H27" i="4" s="1"/>
  <c r="F28" i="4"/>
  <c r="H28" i="4" s="1"/>
  <c r="F29" i="4"/>
  <c r="H29" i="4" s="1"/>
  <c r="F30" i="4"/>
  <c r="H30" i="4" s="1"/>
  <c r="F31" i="4"/>
  <c r="H31" i="4" s="1"/>
  <c r="F32" i="4"/>
  <c r="H32" i="4" s="1"/>
  <c r="F33" i="4"/>
  <c r="H33" i="4" s="1"/>
  <c r="F34" i="4"/>
  <c r="F35" i="4"/>
  <c r="H35" i="4" s="1"/>
  <c r="F36" i="4"/>
  <c r="F37" i="4"/>
  <c r="F38" i="4"/>
  <c r="F39" i="4"/>
  <c r="H39" i="4" s="1"/>
  <c r="F40" i="4"/>
  <c r="H40" i="4" s="1"/>
  <c r="F41" i="4"/>
  <c r="H41" i="4" s="1"/>
  <c r="F42" i="4"/>
  <c r="H42" i="4" s="1"/>
  <c r="F43" i="4"/>
  <c r="H43" i="4" s="1"/>
  <c r="F44" i="4"/>
  <c r="H44" i="4" s="1"/>
  <c r="F45" i="4"/>
  <c r="H45" i="4" s="1"/>
  <c r="F46" i="4"/>
  <c r="H46" i="4" s="1"/>
  <c r="F47" i="4"/>
  <c r="H47" i="4" s="1"/>
  <c r="F48" i="4"/>
  <c r="F49" i="4"/>
  <c r="F50" i="4"/>
  <c r="H50" i="4" s="1"/>
  <c r="F51" i="4"/>
  <c r="H51" i="4" s="1"/>
  <c r="F52" i="4"/>
  <c r="H52" i="4" s="1"/>
  <c r="F53" i="4"/>
  <c r="H53" i="4" s="1"/>
  <c r="F54" i="4"/>
  <c r="H54" i="4" s="1"/>
  <c r="F55" i="4"/>
  <c r="H55" i="4" s="1"/>
  <c r="F56" i="4"/>
  <c r="H56" i="4" s="1"/>
  <c r="F57" i="4"/>
  <c r="H57" i="4" s="1"/>
  <c r="F58" i="4"/>
  <c r="F59" i="4"/>
  <c r="H59" i="4" s="1"/>
  <c r="F60" i="4"/>
  <c r="F61" i="4"/>
  <c r="F62" i="4"/>
  <c r="F63" i="4"/>
  <c r="H63" i="4" s="1"/>
  <c r="F64" i="4"/>
  <c r="H64" i="4" s="1"/>
  <c r="F65" i="4"/>
  <c r="H65" i="4" s="1"/>
  <c r="F66" i="4"/>
  <c r="H66" i="4" s="1"/>
  <c r="F67" i="4"/>
  <c r="H67" i="4" s="1"/>
  <c r="F68" i="4"/>
  <c r="H68" i="4" s="1"/>
  <c r="F69" i="4"/>
  <c r="H69" i="4" s="1"/>
  <c r="F70" i="4"/>
  <c r="H70" i="4" s="1"/>
  <c r="F71" i="4"/>
  <c r="H71" i="4" s="1"/>
  <c r="F72" i="4"/>
  <c r="F73" i="4"/>
  <c r="F74" i="4"/>
  <c r="H74" i="4" s="1"/>
  <c r="F75" i="4"/>
  <c r="H75" i="4" s="1"/>
  <c r="F76" i="4"/>
  <c r="H76" i="4" s="1"/>
  <c r="F77" i="4"/>
  <c r="H77" i="4" s="1"/>
  <c r="F78" i="4"/>
  <c r="H78" i="4" s="1"/>
  <c r="F79" i="4"/>
  <c r="H79" i="4" s="1"/>
  <c r="F80" i="4"/>
  <c r="H80" i="4" s="1"/>
  <c r="F81" i="4"/>
  <c r="H81" i="4" s="1"/>
  <c r="F82" i="4"/>
  <c r="F83" i="4"/>
  <c r="H83" i="4" s="1"/>
  <c r="F84" i="4"/>
  <c r="F85" i="4"/>
  <c r="F86" i="4"/>
  <c r="F87" i="4"/>
  <c r="H87" i="4" s="1"/>
  <c r="F88" i="4"/>
  <c r="H88" i="4" s="1"/>
  <c r="F89" i="4"/>
  <c r="H89" i="4" s="1"/>
  <c r="F90" i="4"/>
  <c r="H90" i="4" s="1"/>
  <c r="F91" i="4"/>
  <c r="H91" i="4" s="1"/>
  <c r="F92" i="4"/>
  <c r="H92" i="4" s="1"/>
  <c r="F93" i="4"/>
  <c r="H93" i="4" s="1"/>
  <c r="F94" i="4"/>
  <c r="H94" i="4" s="1"/>
  <c r="F95" i="4"/>
  <c r="H95" i="4" s="1"/>
  <c r="F96" i="4"/>
  <c r="F97" i="4"/>
  <c r="F98" i="4"/>
  <c r="H98" i="4" s="1"/>
  <c r="F99" i="4"/>
  <c r="H99" i="4" s="1"/>
  <c r="F100" i="4"/>
  <c r="H100" i="4" s="1"/>
  <c r="F101" i="4"/>
  <c r="H101" i="4" s="1"/>
  <c r="F102" i="4"/>
  <c r="H102" i="4" s="1"/>
  <c r="F103" i="4"/>
  <c r="H103" i="4" s="1"/>
  <c r="F104" i="4"/>
  <c r="H104" i="4" s="1"/>
  <c r="F105" i="4"/>
  <c r="H105" i="4" s="1"/>
  <c r="F106" i="4"/>
  <c r="F107" i="4"/>
  <c r="H107" i="4" s="1"/>
  <c r="F108" i="4"/>
  <c r="F109" i="4"/>
  <c r="F110" i="4"/>
  <c r="F111" i="4"/>
  <c r="H111" i="4" s="1"/>
  <c r="F112" i="4"/>
  <c r="H112" i="4" s="1"/>
  <c r="F113" i="4"/>
  <c r="H113" i="4" s="1"/>
  <c r="F114" i="4"/>
  <c r="H114" i="4" s="1"/>
  <c r="F115" i="4"/>
  <c r="H115" i="4" s="1"/>
  <c r="F116" i="4"/>
  <c r="H116" i="4" s="1"/>
  <c r="F117" i="4"/>
  <c r="H117" i="4" s="1"/>
  <c r="F118" i="4"/>
  <c r="H118" i="4" s="1"/>
  <c r="F119" i="4"/>
  <c r="H119" i="4" s="1"/>
  <c r="F120" i="4"/>
  <c r="F121" i="4"/>
  <c r="F122" i="4"/>
  <c r="H122" i="4" s="1"/>
  <c r="F123" i="4"/>
  <c r="H123" i="4" s="1"/>
  <c r="F124" i="4"/>
  <c r="H124" i="4" s="1"/>
  <c r="F125" i="4"/>
  <c r="H125" i="4" s="1"/>
  <c r="F126" i="4"/>
  <c r="H126" i="4" s="1"/>
  <c r="F127" i="4"/>
  <c r="H127" i="4" s="1"/>
  <c r="F128" i="4"/>
  <c r="H128" i="4" s="1"/>
  <c r="F129" i="4"/>
  <c r="H129" i="4" s="1"/>
  <c r="F130" i="4"/>
  <c r="F131" i="4"/>
  <c r="H131" i="4" s="1"/>
  <c r="F132" i="4"/>
  <c r="F133" i="4"/>
  <c r="F134" i="4"/>
  <c r="F135" i="4"/>
  <c r="H135" i="4" s="1"/>
  <c r="F136" i="4"/>
  <c r="H136" i="4" s="1"/>
  <c r="F137" i="4"/>
  <c r="H137" i="4" s="1"/>
  <c r="F138" i="4"/>
  <c r="H138" i="4" s="1"/>
  <c r="F139" i="4"/>
  <c r="H139" i="4" s="1"/>
  <c r="F140" i="4"/>
  <c r="H140" i="4" s="1"/>
  <c r="F141" i="4"/>
  <c r="H141" i="4" s="1"/>
  <c r="F142" i="4"/>
  <c r="H142" i="4" s="1"/>
  <c r="F143" i="4"/>
  <c r="H143" i="4" s="1"/>
  <c r="F144" i="4"/>
  <c r="F145" i="4"/>
  <c r="F146" i="4"/>
  <c r="H146" i="4" s="1"/>
  <c r="F147" i="4"/>
  <c r="H147" i="4" s="1"/>
  <c r="F148" i="4"/>
  <c r="H148" i="4" s="1"/>
  <c r="F149" i="4"/>
  <c r="H149" i="4" s="1"/>
  <c r="F150" i="4"/>
  <c r="H150" i="4" s="1"/>
  <c r="F151" i="4"/>
  <c r="H151" i="4" s="1"/>
  <c r="F152" i="4"/>
  <c r="H152" i="4" s="1"/>
  <c r="F153" i="4"/>
  <c r="H153" i="4" s="1"/>
  <c r="F154" i="4"/>
  <c r="F155" i="4"/>
  <c r="H155" i="4" s="1"/>
  <c r="F156" i="4"/>
  <c r="F157" i="4"/>
  <c r="F158" i="4"/>
  <c r="F159" i="4"/>
  <c r="H159" i="4" s="1"/>
  <c r="F160" i="4"/>
  <c r="H160" i="4" s="1"/>
  <c r="F161" i="4"/>
  <c r="H161" i="4" s="1"/>
  <c r="F162" i="4"/>
  <c r="H162" i="4" s="1"/>
  <c r="F163" i="4"/>
  <c r="H163" i="4" s="1"/>
  <c r="F164" i="4"/>
  <c r="H164" i="4" s="1"/>
  <c r="F165" i="4"/>
  <c r="H165" i="4" s="1"/>
  <c r="F166" i="4"/>
  <c r="H166" i="4" s="1"/>
  <c r="F167" i="4"/>
  <c r="H167" i="4" s="1"/>
  <c r="F168" i="4"/>
  <c r="F169" i="4"/>
  <c r="F170" i="4"/>
  <c r="H170" i="4" s="1"/>
  <c r="F171" i="4"/>
  <c r="H171" i="4" s="1"/>
  <c r="F172" i="4"/>
  <c r="H172" i="4" s="1"/>
  <c r="F173" i="4"/>
  <c r="H173" i="4" s="1"/>
  <c r="F174" i="4"/>
  <c r="H174" i="4" s="1"/>
  <c r="F175" i="4"/>
  <c r="H175" i="4" s="1"/>
  <c r="F176" i="4"/>
  <c r="H176" i="4" s="1"/>
  <c r="F177" i="4"/>
  <c r="H177" i="4" s="1"/>
  <c r="F178" i="4"/>
  <c r="F179" i="4"/>
  <c r="H179" i="4" s="1"/>
  <c r="F180" i="4"/>
  <c r="F181" i="4"/>
  <c r="F182" i="4"/>
  <c r="F183" i="4"/>
  <c r="H183" i="4" s="1"/>
  <c r="F184" i="4"/>
  <c r="H184" i="4" s="1"/>
  <c r="F185" i="4"/>
  <c r="H185" i="4" s="1"/>
  <c r="F186" i="4"/>
  <c r="H186" i="4" s="1"/>
  <c r="F187" i="4"/>
  <c r="H187" i="4" s="1"/>
  <c r="F188" i="4"/>
  <c r="H188" i="4" s="1"/>
  <c r="F189" i="4"/>
  <c r="H189" i="4" s="1"/>
  <c r="F190" i="4"/>
  <c r="H190" i="4" s="1"/>
  <c r="F191" i="4"/>
  <c r="H191" i="4" s="1"/>
  <c r="F192" i="4"/>
  <c r="F193" i="4"/>
  <c r="F194" i="4"/>
  <c r="H194" i="4" s="1"/>
  <c r="F195" i="4"/>
  <c r="H195" i="4" s="1"/>
  <c r="F196" i="4"/>
  <c r="H196" i="4" s="1"/>
  <c r="F197" i="4"/>
  <c r="H197" i="4" s="1"/>
  <c r="F198" i="4"/>
  <c r="H198" i="4" s="1"/>
  <c r="F199" i="4"/>
  <c r="H199" i="4" s="1"/>
  <c r="F200" i="4"/>
  <c r="H200" i="4" s="1"/>
  <c r="F201" i="4"/>
  <c r="H201" i="4" s="1"/>
  <c r="F202" i="4"/>
  <c r="F203" i="4"/>
  <c r="H203" i="4" s="1"/>
  <c r="F204" i="4"/>
  <c r="F205" i="4"/>
  <c r="F206" i="4"/>
  <c r="F207" i="4"/>
  <c r="H207" i="4" s="1"/>
  <c r="F208" i="4"/>
  <c r="H208" i="4" s="1"/>
  <c r="F209" i="4"/>
  <c r="H209" i="4" s="1"/>
  <c r="F210" i="4"/>
  <c r="H210" i="4" s="1"/>
  <c r="F211" i="4"/>
  <c r="H211" i="4" s="1"/>
  <c r="F212" i="4"/>
  <c r="H212" i="4" s="1"/>
  <c r="F213" i="4"/>
  <c r="H213" i="4" s="1"/>
  <c r="F214" i="4"/>
  <c r="H214" i="4" s="1"/>
  <c r="F215" i="4"/>
  <c r="H215" i="4" s="1"/>
  <c r="F216" i="4"/>
  <c r="F217" i="4"/>
  <c r="F218" i="4"/>
  <c r="H218" i="4" s="1"/>
  <c r="F219" i="4"/>
  <c r="H219" i="4" s="1"/>
  <c r="F220" i="4"/>
  <c r="H220" i="4" s="1"/>
  <c r="F221" i="4"/>
  <c r="H221" i="4" s="1"/>
  <c r="F222" i="4"/>
  <c r="H222" i="4" s="1"/>
  <c r="F223" i="4"/>
  <c r="H223" i="4" s="1"/>
  <c r="F224" i="4"/>
  <c r="H224" i="4" s="1"/>
  <c r="F225" i="4"/>
  <c r="H225" i="4" s="1"/>
  <c r="F226" i="4"/>
  <c r="F227" i="4"/>
  <c r="H227" i="4" s="1"/>
  <c r="F228" i="4"/>
  <c r="F229" i="4"/>
  <c r="F230" i="4"/>
  <c r="F231" i="4"/>
  <c r="H231" i="4" s="1"/>
  <c r="F232" i="4"/>
  <c r="H232" i="4" s="1"/>
  <c r="F233" i="4"/>
  <c r="H233" i="4" s="1"/>
  <c r="F234" i="4"/>
  <c r="H234" i="4" s="1"/>
  <c r="F235" i="4"/>
  <c r="H235" i="4" s="1"/>
  <c r="F236" i="4"/>
  <c r="H236" i="4" s="1"/>
  <c r="F237" i="4"/>
  <c r="H237" i="4" s="1"/>
  <c r="F238" i="4"/>
  <c r="H238" i="4" s="1"/>
  <c r="F239" i="4"/>
  <c r="H239" i="4" s="1"/>
  <c r="F240" i="4"/>
  <c r="F241" i="4"/>
  <c r="F242" i="4"/>
  <c r="H242" i="4" s="1"/>
  <c r="F243" i="4"/>
  <c r="H243" i="4" s="1"/>
  <c r="F244" i="4"/>
  <c r="H244" i="4" s="1"/>
  <c r="F245" i="4"/>
  <c r="H245" i="4" s="1"/>
  <c r="F246" i="4"/>
  <c r="H246" i="4" s="1"/>
  <c r="F247" i="4"/>
  <c r="H247" i="4" s="1"/>
  <c r="F248" i="4"/>
  <c r="H248" i="4" s="1"/>
  <c r="F249" i="4"/>
  <c r="H249" i="4" s="1"/>
  <c r="F250" i="4"/>
  <c r="F251" i="4"/>
  <c r="H251" i="4" s="1"/>
  <c r="F252" i="4"/>
  <c r="F253" i="4"/>
  <c r="F254" i="4"/>
  <c r="F255" i="4"/>
  <c r="H255" i="4" s="1"/>
  <c r="F256" i="4"/>
  <c r="H256" i="4" s="1"/>
  <c r="F257" i="4"/>
  <c r="H257" i="4" s="1"/>
  <c r="F258" i="4"/>
  <c r="H258" i="4" s="1"/>
  <c r="F259" i="4"/>
  <c r="H259" i="4" s="1"/>
  <c r="F260" i="4"/>
  <c r="H260" i="4" s="1"/>
  <c r="F261" i="4"/>
  <c r="H261" i="4" s="1"/>
  <c r="F262" i="4"/>
  <c r="H262" i="4" s="1"/>
  <c r="F263" i="4"/>
  <c r="H263" i="4" s="1"/>
  <c r="F264" i="4"/>
  <c r="F265" i="4"/>
  <c r="F266" i="4"/>
  <c r="H266" i="4" s="1"/>
  <c r="F267" i="4"/>
  <c r="H267" i="4" s="1"/>
  <c r="F268" i="4"/>
  <c r="H268" i="4" s="1"/>
  <c r="F269" i="4"/>
  <c r="H269" i="4" s="1"/>
  <c r="F270" i="4"/>
  <c r="H270" i="4" s="1"/>
  <c r="F271" i="4"/>
  <c r="H271" i="4" s="1"/>
  <c r="F272" i="4"/>
  <c r="H272" i="4" s="1"/>
  <c r="F273" i="4"/>
  <c r="H273" i="4" s="1"/>
  <c r="F274" i="4"/>
  <c r="F275" i="4"/>
  <c r="H275" i="4" s="1"/>
  <c r="F276" i="4"/>
  <c r="F277" i="4"/>
  <c r="F278" i="4"/>
  <c r="F279" i="4"/>
  <c r="H279" i="4" s="1"/>
  <c r="F280" i="4"/>
  <c r="H280" i="4" s="1"/>
  <c r="F281" i="4"/>
  <c r="H281" i="4" s="1"/>
  <c r="F282" i="4"/>
  <c r="H282" i="4" s="1"/>
  <c r="F283" i="4"/>
  <c r="H283" i="4" s="1"/>
  <c r="F284" i="4"/>
  <c r="H284" i="4" s="1"/>
  <c r="F285" i="4"/>
  <c r="H285" i="4" s="1"/>
  <c r="F286" i="4"/>
  <c r="H286" i="4" s="1"/>
  <c r="F287" i="4"/>
  <c r="H287" i="4" s="1"/>
  <c r="F288" i="4"/>
  <c r="F289" i="4"/>
  <c r="F290" i="4"/>
  <c r="H290" i="4" s="1"/>
  <c r="F291" i="4"/>
  <c r="H291" i="4" s="1"/>
  <c r="F292" i="4"/>
  <c r="H292" i="4" s="1"/>
  <c r="F293" i="4"/>
  <c r="H293" i="4" s="1"/>
  <c r="F294" i="4"/>
  <c r="H294" i="4" s="1"/>
  <c r="F295" i="4"/>
  <c r="H295" i="4" s="1"/>
  <c r="F296" i="4"/>
  <c r="H296" i="4" s="1"/>
  <c r="F297" i="4"/>
  <c r="H297" i="4" s="1"/>
  <c r="F298" i="4"/>
  <c r="F299" i="4"/>
  <c r="H299" i="4" s="1"/>
  <c r="F300" i="4"/>
  <c r="F301" i="4"/>
  <c r="F302" i="4"/>
  <c r="F303" i="4"/>
  <c r="H303" i="4" s="1"/>
  <c r="F304" i="4"/>
  <c r="H304" i="4" s="1"/>
  <c r="F305" i="4"/>
  <c r="H305" i="4" s="1"/>
  <c r="F306" i="4"/>
  <c r="H306" i="4" s="1"/>
  <c r="F307" i="4"/>
  <c r="H307" i="4" s="1"/>
  <c r="F308" i="4"/>
  <c r="H308" i="4" s="1"/>
  <c r="F309" i="4"/>
  <c r="H309" i="4" s="1"/>
  <c r="F310" i="4"/>
  <c r="H310" i="4" s="1"/>
  <c r="F311" i="4"/>
  <c r="H311" i="4" s="1"/>
  <c r="F312" i="4"/>
  <c r="F313" i="4"/>
  <c r="F314" i="4"/>
  <c r="H314" i="4" s="1"/>
  <c r="F315" i="4"/>
  <c r="H315" i="4" s="1"/>
  <c r="F316" i="4"/>
  <c r="H316" i="4" s="1"/>
  <c r="F317" i="4"/>
  <c r="H317" i="4" s="1"/>
  <c r="F318" i="4"/>
  <c r="H318" i="4" s="1"/>
  <c r="F319" i="4"/>
  <c r="H319" i="4" s="1"/>
  <c r="F320" i="4"/>
  <c r="H320" i="4" s="1"/>
  <c r="F321" i="4"/>
  <c r="H321" i="4" s="1"/>
  <c r="F322" i="4"/>
  <c r="F323" i="4"/>
  <c r="H323" i="4" s="1"/>
  <c r="F324" i="4"/>
  <c r="F325" i="4"/>
  <c r="F326" i="4"/>
  <c r="F327" i="4"/>
  <c r="H327" i="4" s="1"/>
  <c r="F328" i="4"/>
  <c r="H328" i="4" s="1"/>
  <c r="F329" i="4"/>
  <c r="H329" i="4" s="1"/>
  <c r="F330" i="4"/>
  <c r="H330" i="4" s="1"/>
  <c r="F331" i="4"/>
  <c r="H331" i="4" s="1"/>
  <c r="F332" i="4"/>
  <c r="H332" i="4" s="1"/>
  <c r="F333" i="4"/>
  <c r="H333" i="4" s="1"/>
  <c r="F334" i="4"/>
  <c r="H334" i="4" s="1"/>
  <c r="F335" i="4"/>
  <c r="H335" i="4" s="1"/>
  <c r="F336" i="4"/>
  <c r="F337" i="4"/>
  <c r="F338" i="4"/>
  <c r="H338" i="4" s="1"/>
  <c r="F339" i="4"/>
  <c r="H339" i="4" s="1"/>
  <c r="F340" i="4"/>
  <c r="H340" i="4" s="1"/>
  <c r="F341" i="4"/>
  <c r="H341" i="4" s="1"/>
  <c r="F342" i="4"/>
  <c r="H342" i="4" s="1"/>
  <c r="F343" i="4"/>
  <c r="H343" i="4" s="1"/>
  <c r="F344" i="4"/>
  <c r="H344" i="4" s="1"/>
  <c r="F345" i="4"/>
  <c r="H345" i="4" s="1"/>
  <c r="F346" i="4"/>
  <c r="F347" i="4"/>
  <c r="H347" i="4" s="1"/>
  <c r="F348" i="4"/>
  <c r="F349" i="4"/>
  <c r="F350" i="4"/>
  <c r="F351" i="4"/>
  <c r="H351" i="4" s="1"/>
  <c r="F352" i="4"/>
  <c r="H352" i="4" s="1"/>
  <c r="F353" i="4"/>
  <c r="H353" i="4" s="1"/>
  <c r="F354" i="4"/>
  <c r="H354" i="4" s="1"/>
  <c r="F355" i="4"/>
  <c r="H355" i="4" s="1"/>
  <c r="F356" i="4"/>
  <c r="H356" i="4" s="1"/>
  <c r="F357" i="4"/>
  <c r="H357" i="4" s="1"/>
  <c r="F358" i="4"/>
  <c r="H358" i="4" s="1"/>
  <c r="F359" i="4"/>
  <c r="H359" i="4" s="1"/>
  <c r="F360" i="4"/>
  <c r="F361" i="4"/>
  <c r="F362" i="4"/>
  <c r="H362" i="4" s="1"/>
  <c r="F363" i="4"/>
  <c r="H363" i="4" s="1"/>
  <c r="F364" i="4"/>
  <c r="H364" i="4" s="1"/>
  <c r="F365" i="4"/>
  <c r="H365" i="4" s="1"/>
  <c r="F366" i="4"/>
  <c r="H366" i="4" s="1"/>
  <c r="F367" i="4"/>
  <c r="H367" i="4" s="1"/>
  <c r="F368" i="4"/>
  <c r="H368" i="4" s="1"/>
  <c r="F369" i="4"/>
  <c r="H369" i="4" s="1"/>
  <c r="F370" i="4"/>
  <c r="F371" i="4"/>
  <c r="H371" i="4" s="1"/>
  <c r="F372" i="4"/>
  <c r="F373" i="4"/>
  <c r="F374" i="4"/>
  <c r="F375" i="4"/>
  <c r="H375" i="4" s="1"/>
  <c r="F376" i="4"/>
  <c r="H376" i="4" s="1"/>
  <c r="F377" i="4"/>
  <c r="H377" i="4" s="1"/>
  <c r="F378" i="4"/>
  <c r="H378" i="4" s="1"/>
  <c r="F379" i="4"/>
  <c r="H379" i="4" s="1"/>
  <c r="F380" i="4"/>
  <c r="H380" i="4" s="1"/>
  <c r="F381" i="4"/>
  <c r="H381" i="4" s="1"/>
  <c r="F382" i="4"/>
  <c r="H382" i="4" s="1"/>
  <c r="F383" i="4"/>
  <c r="H383" i="4" s="1"/>
  <c r="F384" i="4"/>
  <c r="F385" i="4"/>
  <c r="F386" i="4"/>
  <c r="H386" i="4" s="1"/>
  <c r="F387" i="4"/>
  <c r="H387" i="4" s="1"/>
  <c r="F388" i="4"/>
  <c r="H388" i="4" s="1"/>
  <c r="F389" i="4"/>
  <c r="H389" i="4" s="1"/>
  <c r="F390" i="4"/>
  <c r="H390" i="4" s="1"/>
  <c r="F391" i="4"/>
  <c r="H391" i="4" s="1"/>
  <c r="F392" i="4"/>
  <c r="H392" i="4" s="1"/>
  <c r="F393" i="4"/>
  <c r="H393" i="4" s="1"/>
  <c r="F394" i="4"/>
  <c r="F395" i="4"/>
  <c r="H395" i="4" s="1"/>
  <c r="F396" i="4"/>
  <c r="F397" i="4"/>
  <c r="F398" i="4"/>
  <c r="F399" i="4"/>
  <c r="H399" i="4" s="1"/>
  <c r="F400" i="4"/>
  <c r="H400" i="4" s="1"/>
  <c r="F401" i="4"/>
  <c r="H401" i="4" s="1"/>
  <c r="F402" i="4"/>
  <c r="H402" i="4" s="1"/>
  <c r="F403" i="4"/>
  <c r="H403" i="4" s="1"/>
  <c r="F404" i="4"/>
  <c r="H404" i="4" s="1"/>
  <c r="F405" i="4"/>
  <c r="H405" i="4" s="1"/>
  <c r="F406" i="4"/>
  <c r="H406" i="4" s="1"/>
  <c r="F407" i="4"/>
  <c r="H407" i="4" s="1"/>
  <c r="F408" i="4"/>
  <c r="F409" i="4"/>
  <c r="F410" i="4"/>
  <c r="H410" i="4" s="1"/>
  <c r="F411" i="4"/>
  <c r="H411" i="4" s="1"/>
  <c r="F412" i="4"/>
  <c r="H412" i="4" s="1"/>
  <c r="F413" i="4"/>
  <c r="H413" i="4" s="1"/>
  <c r="F414" i="4"/>
  <c r="H414" i="4" s="1"/>
  <c r="F415" i="4"/>
  <c r="H415" i="4" s="1"/>
  <c r="F416" i="4"/>
  <c r="H416" i="4" s="1"/>
  <c r="F417" i="4"/>
  <c r="H417" i="4" s="1"/>
  <c r="F418" i="4"/>
  <c r="F419" i="4"/>
  <c r="H419" i="4" s="1"/>
  <c r="F420" i="4"/>
  <c r="F421" i="4"/>
  <c r="F422" i="4"/>
  <c r="F423" i="4"/>
  <c r="H423" i="4" s="1"/>
  <c r="F424" i="4"/>
  <c r="H424" i="4" s="1"/>
  <c r="F425" i="4"/>
  <c r="H425" i="4" s="1"/>
  <c r="F426" i="4"/>
  <c r="H426" i="4" s="1"/>
  <c r="F427" i="4"/>
  <c r="H427" i="4" s="1"/>
  <c r="F428" i="4"/>
  <c r="H428" i="4" s="1"/>
  <c r="F429" i="4"/>
  <c r="H429" i="4" s="1"/>
  <c r="F430" i="4"/>
  <c r="H430" i="4" s="1"/>
  <c r="F431" i="4"/>
  <c r="H431" i="4" s="1"/>
  <c r="F432" i="4"/>
  <c r="F433" i="4"/>
  <c r="H433" i="4" s="1"/>
  <c r="F434" i="4"/>
  <c r="H434" i="4" s="1"/>
  <c r="F435" i="4"/>
  <c r="H435" i="4" s="1"/>
  <c r="F436" i="4"/>
  <c r="H436" i="4" s="1"/>
  <c r="F437" i="4"/>
  <c r="H437" i="4" s="1"/>
  <c r="F438" i="4"/>
  <c r="H438" i="4" s="1"/>
  <c r="F439" i="4"/>
  <c r="H439" i="4" s="1"/>
  <c r="F440" i="4"/>
  <c r="H440" i="4" s="1"/>
  <c r="F441" i="4"/>
  <c r="H441" i="4" s="1"/>
  <c r="F442" i="4"/>
  <c r="F443" i="4"/>
  <c r="H443" i="4" s="1"/>
  <c r="F444" i="4"/>
  <c r="F445" i="4"/>
  <c r="F446" i="4"/>
  <c r="F447" i="4"/>
  <c r="H447" i="4" s="1"/>
  <c r="F448" i="4"/>
  <c r="H448" i="4" s="1"/>
  <c r="F449" i="4"/>
  <c r="H449" i="4" s="1"/>
  <c r="F450" i="4"/>
  <c r="H450" i="4" s="1"/>
  <c r="F451" i="4"/>
  <c r="H451" i="4" s="1"/>
  <c r="F452" i="4"/>
  <c r="H452" i="4" s="1"/>
  <c r="F453" i="4"/>
  <c r="H453" i="4" s="1"/>
  <c r="F454" i="4"/>
  <c r="H454" i="4" s="1"/>
  <c r="F455" i="4"/>
  <c r="H455" i="4" s="1"/>
  <c r="F456" i="4"/>
  <c r="F457" i="4"/>
  <c r="H457" i="4" s="1"/>
  <c r="F458" i="4"/>
  <c r="H458" i="4" s="1"/>
  <c r="F459" i="4"/>
  <c r="H459" i="4" s="1"/>
  <c r="F460" i="4"/>
  <c r="H460" i="4" s="1"/>
  <c r="F461" i="4"/>
  <c r="H461" i="4" s="1"/>
  <c r="F462" i="4"/>
  <c r="H462" i="4" s="1"/>
  <c r="F463" i="4"/>
  <c r="H463" i="4" s="1"/>
  <c r="F464" i="4"/>
  <c r="H464" i="4" s="1"/>
  <c r="F465" i="4"/>
  <c r="H465" i="4" s="1"/>
  <c r="F466" i="4"/>
  <c r="F467" i="4"/>
  <c r="H467" i="4" s="1"/>
  <c r="F468" i="4"/>
  <c r="F469" i="4"/>
  <c r="F470" i="4"/>
  <c r="F471" i="4"/>
  <c r="H471" i="4" s="1"/>
  <c r="F472" i="4"/>
  <c r="H472" i="4" s="1"/>
  <c r="F473" i="4"/>
  <c r="H473" i="4" s="1"/>
  <c r="F474" i="4"/>
  <c r="H474" i="4" s="1"/>
  <c r="F475" i="4"/>
  <c r="H475" i="4" s="1"/>
  <c r="F476" i="4"/>
  <c r="H476" i="4" s="1"/>
  <c r="F477" i="4"/>
  <c r="H477" i="4" s="1"/>
  <c r="F478" i="4"/>
  <c r="H478" i="4" s="1"/>
  <c r="F479" i="4"/>
  <c r="H479" i="4" s="1"/>
  <c r="F480" i="4"/>
  <c r="F481" i="4"/>
  <c r="H481" i="4" s="1"/>
  <c r="F482" i="4"/>
  <c r="H482" i="4" s="1"/>
  <c r="F483" i="4"/>
  <c r="H483" i="4" s="1"/>
  <c r="F484" i="4"/>
  <c r="H484" i="4" s="1"/>
  <c r="F485" i="4"/>
  <c r="H485" i="4" s="1"/>
  <c r="F486" i="4"/>
  <c r="H486" i="4" s="1"/>
  <c r="F487" i="4"/>
  <c r="H487" i="4" s="1"/>
  <c r="F488" i="4"/>
  <c r="H488" i="4" s="1"/>
  <c r="F489" i="4"/>
  <c r="H489" i="4" s="1"/>
  <c r="F490" i="4"/>
  <c r="F491" i="4"/>
  <c r="H491" i="4" s="1"/>
  <c r="F492" i="4"/>
  <c r="F493" i="4"/>
  <c r="F494" i="4"/>
  <c r="F495" i="4"/>
  <c r="H495" i="4" s="1"/>
  <c r="F496" i="4"/>
  <c r="H496" i="4" s="1"/>
  <c r="F497" i="4"/>
  <c r="H497" i="4" s="1"/>
  <c r="F498" i="4"/>
  <c r="H498" i="4" s="1"/>
  <c r="F499" i="4"/>
  <c r="H499" i="4" s="1"/>
  <c r="F500" i="4"/>
  <c r="H500" i="4" s="1"/>
  <c r="F501" i="4"/>
  <c r="H501" i="4" s="1"/>
  <c r="F502" i="4"/>
  <c r="H502" i="4" s="1"/>
  <c r="F503" i="4"/>
  <c r="H503" i="4" s="1"/>
  <c r="F504" i="4"/>
  <c r="F505" i="4"/>
  <c r="H505" i="4" s="1"/>
  <c r="F506" i="4"/>
  <c r="H506" i="4" s="1"/>
  <c r="F507" i="4"/>
  <c r="H507" i="4" s="1"/>
  <c r="F508" i="4"/>
  <c r="H508" i="4" s="1"/>
  <c r="F509" i="4"/>
  <c r="H509" i="4" s="1"/>
  <c r="F510" i="4"/>
  <c r="H510" i="4" s="1"/>
  <c r="F511" i="4"/>
  <c r="H511" i="4" s="1"/>
  <c r="F512" i="4"/>
  <c r="H512" i="4" s="1"/>
  <c r="F513" i="4"/>
  <c r="H513" i="4" s="1"/>
  <c r="F514" i="4"/>
  <c r="F515" i="4"/>
  <c r="H515" i="4" s="1"/>
  <c r="F516" i="4"/>
  <c r="F517" i="4"/>
  <c r="F518" i="4"/>
  <c r="F519" i="4"/>
  <c r="H519" i="4" s="1"/>
  <c r="F520" i="4"/>
  <c r="H520" i="4" s="1"/>
  <c r="F521" i="4"/>
  <c r="H521" i="4" s="1"/>
  <c r="F522" i="4"/>
  <c r="H522" i="4" s="1"/>
  <c r="F523" i="4"/>
  <c r="H523" i="4" s="1"/>
  <c r="F524" i="4"/>
  <c r="H524" i="4" s="1"/>
  <c r="F525" i="4"/>
  <c r="H525" i="4" s="1"/>
  <c r="F526" i="4"/>
  <c r="H526" i="4" s="1"/>
  <c r="F527" i="4"/>
  <c r="H527" i="4" s="1"/>
  <c r="F528" i="4"/>
  <c r="F529" i="4"/>
  <c r="H529" i="4" s="1"/>
  <c r="F530" i="4"/>
  <c r="H530" i="4" s="1"/>
  <c r="F531" i="4"/>
  <c r="H531" i="4" s="1"/>
  <c r="F532" i="4"/>
  <c r="H532" i="4" s="1"/>
  <c r="F533" i="4"/>
  <c r="H533" i="4" s="1"/>
  <c r="F534" i="4"/>
  <c r="H534" i="4" s="1"/>
  <c r="F535" i="4"/>
  <c r="H535" i="4" s="1"/>
  <c r="F536" i="4"/>
  <c r="H536" i="4" s="1"/>
  <c r="F537" i="4"/>
  <c r="H537" i="4" s="1"/>
  <c r="F538" i="4"/>
  <c r="F539" i="4"/>
  <c r="H539" i="4" s="1"/>
  <c r="F540" i="4"/>
  <c r="F541" i="4"/>
  <c r="F542" i="4"/>
  <c r="F543" i="4"/>
  <c r="H543" i="4" s="1"/>
  <c r="F544" i="4"/>
  <c r="H544" i="4" s="1"/>
  <c r="F545" i="4"/>
  <c r="H545" i="4" s="1"/>
  <c r="F546" i="4"/>
  <c r="H546" i="4" s="1"/>
  <c r="F547" i="4"/>
  <c r="H547" i="4" s="1"/>
  <c r="F548" i="4"/>
  <c r="H548" i="4" s="1"/>
  <c r="F549" i="4"/>
  <c r="H549" i="4" s="1"/>
  <c r="F550" i="4"/>
  <c r="H550" i="4" s="1"/>
  <c r="F551" i="4"/>
  <c r="H551" i="4" s="1"/>
  <c r="F552" i="4"/>
  <c r="F553" i="4"/>
  <c r="H553" i="4" s="1"/>
  <c r="F554" i="4"/>
  <c r="H554" i="4" s="1"/>
  <c r="F555" i="4"/>
  <c r="H555" i="4" s="1"/>
  <c r="F556" i="4"/>
  <c r="H556" i="4" s="1"/>
  <c r="F557" i="4"/>
  <c r="H557" i="4" s="1"/>
  <c r="F558" i="4"/>
  <c r="H558" i="4" s="1"/>
  <c r="F559" i="4"/>
  <c r="H559" i="4" s="1"/>
  <c r="F560" i="4"/>
  <c r="H560" i="4" s="1"/>
  <c r="F561" i="4"/>
  <c r="H561" i="4" s="1"/>
  <c r="F562" i="4"/>
  <c r="F563" i="4"/>
  <c r="H563" i="4" s="1"/>
  <c r="F564" i="4"/>
  <c r="F565" i="4"/>
  <c r="F566" i="4"/>
  <c r="F567" i="4"/>
  <c r="H567" i="4" s="1"/>
  <c r="F568" i="4"/>
  <c r="H568" i="4" s="1"/>
  <c r="F569" i="4"/>
  <c r="H569" i="4" s="1"/>
  <c r="F570" i="4"/>
  <c r="H570" i="4" s="1"/>
  <c r="F571" i="4"/>
  <c r="H571" i="4" s="1"/>
  <c r="F572" i="4"/>
  <c r="H572" i="4" s="1"/>
  <c r="F573" i="4"/>
  <c r="H573" i="4" s="1"/>
  <c r="F574" i="4"/>
  <c r="H574" i="4" s="1"/>
  <c r="F575" i="4"/>
  <c r="H575" i="4" s="1"/>
  <c r="F576" i="4"/>
  <c r="F577" i="4"/>
  <c r="H577" i="4" s="1"/>
  <c r="F578" i="4"/>
  <c r="H578" i="4" s="1"/>
  <c r="F579" i="4"/>
  <c r="H579" i="4" s="1"/>
  <c r="F580" i="4"/>
  <c r="H580" i="4" s="1"/>
  <c r="F581" i="4"/>
  <c r="H581" i="4" s="1"/>
  <c r="F582" i="4"/>
  <c r="H582" i="4" s="1"/>
  <c r="F583" i="4"/>
  <c r="H583" i="4" s="1"/>
  <c r="F584" i="4"/>
  <c r="H584" i="4" s="1"/>
  <c r="F585" i="4"/>
  <c r="H585" i="4" s="1"/>
  <c r="F586" i="4"/>
  <c r="F587" i="4"/>
  <c r="H587" i="4" s="1"/>
  <c r="F588" i="4"/>
  <c r="F589" i="4"/>
  <c r="F590" i="4"/>
  <c r="F591" i="4"/>
  <c r="H591" i="4" s="1"/>
  <c r="F592" i="4"/>
  <c r="H592" i="4" s="1"/>
  <c r="F593" i="4"/>
  <c r="H593" i="4" s="1"/>
  <c r="F594" i="4"/>
  <c r="H594" i="4" s="1"/>
  <c r="F595" i="4"/>
  <c r="H595" i="4" s="1"/>
  <c r="F596" i="4"/>
  <c r="H596" i="4" s="1"/>
  <c r="F597" i="4"/>
  <c r="H597" i="4" s="1"/>
  <c r="F598" i="4"/>
  <c r="H598" i="4" s="1"/>
  <c r="F599" i="4"/>
  <c r="H599" i="4" s="1"/>
  <c r="F600" i="4"/>
  <c r="F601" i="4"/>
  <c r="H601" i="4" s="1"/>
  <c r="F602" i="4"/>
  <c r="H602" i="4" s="1"/>
  <c r="F603" i="4"/>
  <c r="H603" i="4" s="1"/>
  <c r="F604" i="4"/>
  <c r="H604" i="4" s="1"/>
  <c r="F605" i="4"/>
  <c r="H605" i="4" s="1"/>
  <c r="F606" i="4"/>
  <c r="H606" i="4" s="1"/>
  <c r="F607" i="4"/>
  <c r="H607" i="4" s="1"/>
  <c r="F608" i="4"/>
  <c r="H608" i="4" s="1"/>
  <c r="F609" i="4"/>
  <c r="H609" i="4" s="1"/>
  <c r="F610" i="4"/>
  <c r="F611" i="4"/>
  <c r="H611" i="4" s="1"/>
  <c r="F612" i="4"/>
  <c r="F613" i="4"/>
  <c r="F614" i="4"/>
  <c r="F615" i="4"/>
  <c r="H615" i="4" s="1"/>
  <c r="F616" i="4"/>
  <c r="H616" i="4" s="1"/>
  <c r="F617" i="4"/>
  <c r="H617" i="4" s="1"/>
  <c r="F618" i="4"/>
  <c r="H618" i="4" s="1"/>
  <c r="F619" i="4"/>
  <c r="H619" i="4" s="1"/>
  <c r="F620" i="4"/>
  <c r="H620" i="4" s="1"/>
  <c r="F621" i="4"/>
  <c r="H621" i="4" s="1"/>
  <c r="F622" i="4"/>
  <c r="H622" i="4" s="1"/>
  <c r="F623" i="4"/>
  <c r="H623" i="4" s="1"/>
  <c r="F624" i="4"/>
  <c r="F625" i="4"/>
  <c r="H625" i="4" s="1"/>
  <c r="F626" i="4"/>
  <c r="H626" i="4" s="1"/>
  <c r="F627" i="4"/>
  <c r="H627" i="4" s="1"/>
  <c r="F628" i="4"/>
  <c r="H628" i="4" s="1"/>
  <c r="F629" i="4"/>
  <c r="H629" i="4" s="1"/>
  <c r="F630" i="4"/>
  <c r="H630" i="4" s="1"/>
  <c r="F631" i="4"/>
  <c r="H631" i="4" s="1"/>
  <c r="F632" i="4"/>
  <c r="H632" i="4" s="1"/>
  <c r="F633" i="4"/>
  <c r="H633" i="4" s="1"/>
  <c r="F634" i="4"/>
  <c r="F635" i="4"/>
  <c r="H635" i="4" s="1"/>
  <c r="F636" i="4"/>
  <c r="F637" i="4"/>
  <c r="F638" i="4"/>
  <c r="F639" i="4"/>
  <c r="H639" i="4" s="1"/>
  <c r="F640" i="4"/>
  <c r="H640" i="4" s="1"/>
  <c r="F641" i="4"/>
  <c r="H641" i="4" s="1"/>
  <c r="F642" i="4"/>
  <c r="H642" i="4" s="1"/>
  <c r="F643" i="4"/>
  <c r="H643" i="4" s="1"/>
  <c r="F644" i="4"/>
  <c r="H644" i="4" s="1"/>
  <c r="F645" i="4"/>
  <c r="H645" i="4" s="1"/>
  <c r="F646" i="4"/>
  <c r="H646" i="4" s="1"/>
  <c r="F647" i="4"/>
  <c r="H647" i="4" s="1"/>
  <c r="F648" i="4"/>
  <c r="F649" i="4"/>
  <c r="H649" i="4" s="1"/>
  <c r="F650" i="4"/>
  <c r="H650" i="4" s="1"/>
  <c r="F651" i="4"/>
  <c r="H651" i="4" s="1"/>
  <c r="F652" i="4"/>
  <c r="H652" i="4" s="1"/>
  <c r="F653" i="4"/>
  <c r="H653" i="4" s="1"/>
  <c r="F654" i="4"/>
  <c r="H654" i="4" s="1"/>
  <c r="F655" i="4"/>
  <c r="H655" i="4" s="1"/>
  <c r="F656" i="4"/>
  <c r="H656" i="4" s="1"/>
  <c r="F657" i="4"/>
  <c r="H657" i="4" s="1"/>
  <c r="F658" i="4"/>
  <c r="F659" i="4"/>
  <c r="H659" i="4" s="1"/>
  <c r="F660" i="4"/>
  <c r="F661" i="4"/>
  <c r="F662" i="4"/>
  <c r="F663" i="4"/>
  <c r="H663" i="4" s="1"/>
  <c r="F664" i="4"/>
  <c r="H664" i="4" s="1"/>
  <c r="F665" i="4"/>
  <c r="H665" i="4" s="1"/>
  <c r="F666" i="4"/>
  <c r="H666" i="4" s="1"/>
  <c r="F667" i="4"/>
  <c r="H667" i="4" s="1"/>
  <c r="F668" i="4"/>
  <c r="H668" i="4" s="1"/>
  <c r="F669" i="4"/>
  <c r="H669" i="4" s="1"/>
  <c r="F670" i="4"/>
  <c r="H670" i="4" s="1"/>
  <c r="F671" i="4"/>
  <c r="H671" i="4" s="1"/>
  <c r="F672" i="4"/>
  <c r="F673" i="4"/>
  <c r="H673" i="4" s="1"/>
  <c r="F674" i="4"/>
  <c r="H674" i="4" s="1"/>
  <c r="F675" i="4"/>
  <c r="H675" i="4" s="1"/>
  <c r="F676" i="4"/>
  <c r="H676" i="4" s="1"/>
  <c r="F677" i="4"/>
  <c r="H677" i="4" s="1"/>
  <c r="F678" i="4"/>
  <c r="H678" i="4" s="1"/>
  <c r="F679" i="4"/>
  <c r="H679" i="4" s="1"/>
  <c r="F680" i="4"/>
  <c r="H680" i="4" s="1"/>
  <c r="F681" i="4"/>
  <c r="H681" i="4" s="1"/>
  <c r="F682" i="4"/>
  <c r="F683" i="4"/>
  <c r="H683" i="4" s="1"/>
  <c r="F684" i="4"/>
  <c r="F685" i="4"/>
  <c r="F686" i="4"/>
  <c r="F687" i="4"/>
  <c r="H687" i="4" s="1"/>
  <c r="F688" i="4"/>
  <c r="H688" i="4" s="1"/>
  <c r="F689" i="4"/>
  <c r="H689" i="4" s="1"/>
  <c r="F690" i="4"/>
  <c r="H690" i="4" s="1"/>
  <c r="F691" i="4"/>
  <c r="H691" i="4" s="1"/>
  <c r="F692" i="4"/>
  <c r="H692" i="4" s="1"/>
  <c r="F693" i="4"/>
  <c r="H693" i="4" s="1"/>
  <c r="F694" i="4"/>
  <c r="H694" i="4" s="1"/>
  <c r="F695" i="4"/>
  <c r="H695" i="4" s="1"/>
  <c r="F696" i="4"/>
  <c r="F697" i="4"/>
  <c r="H697" i="4" s="1"/>
  <c r="F698" i="4"/>
  <c r="H698" i="4" s="1"/>
  <c r="F699" i="4"/>
  <c r="H699" i="4" s="1"/>
  <c r="F700" i="4"/>
  <c r="H700" i="4" s="1"/>
  <c r="F701" i="4"/>
  <c r="H701" i="4" s="1"/>
  <c r="F702" i="4"/>
  <c r="H702" i="4" s="1"/>
  <c r="F703" i="4"/>
  <c r="H703" i="4" s="1"/>
  <c r="F704" i="4"/>
  <c r="H704" i="4" s="1"/>
  <c r="F705" i="4"/>
  <c r="H705" i="4" s="1"/>
  <c r="F706" i="4"/>
  <c r="F707" i="4"/>
  <c r="H707" i="4" s="1"/>
  <c r="F708" i="4"/>
  <c r="F709" i="4"/>
  <c r="F710" i="4"/>
  <c r="F711" i="4"/>
  <c r="H711" i="4" s="1"/>
  <c r="F712" i="4"/>
  <c r="H712" i="4" s="1"/>
  <c r="F713" i="4"/>
  <c r="H713" i="4" s="1"/>
  <c r="F714" i="4"/>
  <c r="H714" i="4" s="1"/>
  <c r="F715" i="4"/>
  <c r="H715" i="4" s="1"/>
  <c r="F716" i="4"/>
  <c r="H716" i="4" s="1"/>
  <c r="F717" i="4"/>
  <c r="H717" i="4" s="1"/>
  <c r="F718" i="4"/>
  <c r="H718" i="4" s="1"/>
  <c r="F719" i="4"/>
  <c r="H719" i="4" s="1"/>
  <c r="F720" i="4"/>
  <c r="F721" i="4"/>
  <c r="H721" i="4" s="1"/>
  <c r="F722" i="4"/>
  <c r="H722" i="4" s="1"/>
  <c r="F723" i="4"/>
  <c r="H723" i="4" s="1"/>
  <c r="F724" i="4"/>
  <c r="H724" i="4" s="1"/>
  <c r="F725" i="4"/>
  <c r="H725" i="4" s="1"/>
  <c r="F726" i="4"/>
  <c r="H726" i="4" s="1"/>
  <c r="F727" i="4"/>
  <c r="H727" i="4" s="1"/>
  <c r="F728" i="4"/>
  <c r="H728" i="4" s="1"/>
  <c r="F729" i="4"/>
  <c r="H729" i="4" s="1"/>
  <c r="F730" i="4"/>
  <c r="F731" i="4"/>
  <c r="H731" i="4" s="1"/>
  <c r="F732" i="4"/>
  <c r="F733" i="4"/>
  <c r="F734" i="4"/>
  <c r="F735" i="4"/>
  <c r="H735" i="4" s="1"/>
  <c r="F736" i="4"/>
  <c r="H736" i="4" s="1"/>
  <c r="F737" i="4"/>
  <c r="H737" i="4" s="1"/>
  <c r="F738" i="4"/>
  <c r="H738" i="4" s="1"/>
  <c r="F739" i="4"/>
  <c r="H739" i="4" s="1"/>
  <c r="F740" i="4"/>
  <c r="H740" i="4" s="1"/>
  <c r="F741" i="4"/>
  <c r="H741" i="4" s="1"/>
  <c r="F742" i="4"/>
  <c r="H742" i="4" s="1"/>
  <c r="F743" i="4"/>
  <c r="H743" i="4" s="1"/>
  <c r="F744" i="4"/>
  <c r="F745" i="4"/>
  <c r="H745" i="4" s="1"/>
  <c r="F746" i="4"/>
  <c r="H746" i="4" s="1"/>
  <c r="F747" i="4"/>
  <c r="H747" i="4" s="1"/>
  <c r="F748" i="4"/>
  <c r="H748" i="4" s="1"/>
  <c r="F749" i="4"/>
  <c r="H749" i="4" s="1"/>
  <c r="F750" i="4"/>
  <c r="H750" i="4" s="1"/>
  <c r="F751" i="4"/>
  <c r="H751" i="4" s="1"/>
  <c r="F752" i="4"/>
  <c r="H752" i="4" s="1"/>
  <c r="F753" i="4"/>
  <c r="H753" i="4" s="1"/>
  <c r="F754" i="4"/>
  <c r="F755" i="4"/>
  <c r="H755" i="4" s="1"/>
  <c r="F756" i="4"/>
  <c r="F757" i="4"/>
  <c r="F758" i="4"/>
  <c r="F759" i="4"/>
  <c r="H759" i="4" s="1"/>
  <c r="F760" i="4"/>
  <c r="H760" i="4" s="1"/>
  <c r="F761" i="4"/>
  <c r="H761" i="4" s="1"/>
  <c r="F762" i="4"/>
  <c r="H762" i="4" s="1"/>
  <c r="F763" i="4"/>
  <c r="H763" i="4" s="1"/>
  <c r="F764" i="4"/>
  <c r="H764" i="4" s="1"/>
  <c r="F765" i="4"/>
  <c r="H765" i="4" s="1"/>
  <c r="F766" i="4"/>
  <c r="H766" i="4" s="1"/>
  <c r="F767" i="4"/>
  <c r="H767" i="4" s="1"/>
  <c r="F768" i="4"/>
  <c r="F769" i="4"/>
  <c r="H769" i="4" s="1"/>
  <c r="F770" i="4"/>
  <c r="H770" i="4" s="1"/>
  <c r="F771" i="4"/>
  <c r="H771" i="4" s="1"/>
  <c r="F772" i="4"/>
  <c r="H772" i="4" s="1"/>
  <c r="F773" i="4"/>
  <c r="H773" i="4" s="1"/>
  <c r="F774" i="4"/>
  <c r="H774" i="4" s="1"/>
  <c r="F775" i="4"/>
  <c r="H775" i="4" s="1"/>
  <c r="F776" i="4"/>
  <c r="H776" i="4" s="1"/>
  <c r="F777" i="4"/>
  <c r="H777" i="4" s="1"/>
  <c r="F778" i="4"/>
  <c r="F779" i="4"/>
  <c r="H779" i="4" s="1"/>
  <c r="F780" i="4"/>
  <c r="F781" i="4"/>
  <c r="F782" i="4"/>
  <c r="F783" i="4"/>
  <c r="H783" i="4" s="1"/>
  <c r="F784" i="4"/>
  <c r="H784" i="4" s="1"/>
  <c r="F785" i="4"/>
  <c r="H785" i="4" s="1"/>
  <c r="F786" i="4"/>
  <c r="H786" i="4" s="1"/>
  <c r="F787" i="4"/>
  <c r="H787" i="4" s="1"/>
  <c r="F788" i="4"/>
  <c r="H788" i="4" s="1"/>
  <c r="F789" i="4"/>
  <c r="H789" i="4" s="1"/>
  <c r="F790" i="4"/>
  <c r="H790" i="4" s="1"/>
  <c r="F791" i="4"/>
  <c r="H791" i="4" s="1"/>
  <c r="F792" i="4"/>
  <c r="H792" i="4" s="1"/>
  <c r="F793" i="4"/>
  <c r="H793" i="4" s="1"/>
  <c r="F794" i="4"/>
  <c r="H794" i="4" s="1"/>
  <c r="F795" i="4"/>
  <c r="H795" i="4" s="1"/>
  <c r="F796" i="4"/>
  <c r="H796" i="4" s="1"/>
  <c r="F797" i="4"/>
  <c r="H797" i="4" s="1"/>
  <c r="F798" i="4"/>
  <c r="H798" i="4" s="1"/>
  <c r="F799" i="4"/>
  <c r="H799" i="4" s="1"/>
  <c r="F800" i="4"/>
  <c r="H800" i="4" s="1"/>
  <c r="F801" i="4"/>
  <c r="H801" i="4" s="1"/>
  <c r="F802" i="4"/>
  <c r="F803" i="4"/>
  <c r="H803" i="4" s="1"/>
  <c r="F804" i="4"/>
  <c r="F805" i="4"/>
  <c r="F806" i="4"/>
  <c r="F807" i="4"/>
  <c r="H807" i="4" s="1"/>
  <c r="F808" i="4"/>
  <c r="H808" i="4" s="1"/>
  <c r="F809" i="4"/>
  <c r="H809" i="4" s="1"/>
  <c r="F810" i="4"/>
  <c r="H810" i="4" s="1"/>
  <c r="F811" i="4"/>
  <c r="H811" i="4" s="1"/>
  <c r="F812" i="4"/>
  <c r="H812" i="4" s="1"/>
  <c r="F813" i="4"/>
  <c r="H813" i="4" s="1"/>
  <c r="F814" i="4"/>
  <c r="H814" i="4" s="1"/>
  <c r="F815" i="4"/>
  <c r="H815" i="4" s="1"/>
  <c r="F816" i="4"/>
  <c r="H816" i="4" s="1"/>
  <c r="F817" i="4"/>
  <c r="H817" i="4" s="1"/>
  <c r="F818" i="4"/>
  <c r="H818" i="4" s="1"/>
  <c r="F819" i="4"/>
  <c r="H819" i="4" s="1"/>
  <c r="F820" i="4"/>
  <c r="H820" i="4" s="1"/>
  <c r="F821" i="4"/>
  <c r="H821" i="4" s="1"/>
  <c r="F822" i="4"/>
  <c r="H822" i="4" s="1"/>
  <c r="F823" i="4"/>
  <c r="H823" i="4" s="1"/>
  <c r="F824" i="4"/>
  <c r="H824" i="4" s="1"/>
  <c r="F825" i="4"/>
  <c r="H825" i="4" s="1"/>
  <c r="F826" i="4"/>
  <c r="F827" i="4"/>
  <c r="H827" i="4" s="1"/>
  <c r="F828" i="4"/>
  <c r="F829" i="4"/>
  <c r="F830" i="4"/>
  <c r="F831" i="4"/>
  <c r="H831" i="4" s="1"/>
  <c r="F832" i="4"/>
  <c r="H832" i="4" s="1"/>
  <c r="F833" i="4"/>
  <c r="H833" i="4" s="1"/>
  <c r="F834" i="4"/>
  <c r="H834" i="4" s="1"/>
  <c r="F835" i="4"/>
  <c r="H835" i="4" s="1"/>
  <c r="F836" i="4"/>
  <c r="H836" i="4" s="1"/>
  <c r="F837" i="4"/>
  <c r="H837" i="4" s="1"/>
  <c r="F838" i="4"/>
  <c r="H838" i="4" s="1"/>
  <c r="F839" i="4"/>
  <c r="H839" i="4" s="1"/>
  <c r="F840" i="4"/>
  <c r="H840" i="4" s="1"/>
  <c r="F841" i="4"/>
  <c r="H841" i="4" s="1"/>
  <c r="F842" i="4"/>
  <c r="H842" i="4" s="1"/>
  <c r="F843" i="4"/>
  <c r="H843" i="4" s="1"/>
  <c r="F844" i="4"/>
  <c r="H844" i="4" s="1"/>
  <c r="F845" i="4"/>
  <c r="H845" i="4" s="1"/>
  <c r="F846" i="4"/>
  <c r="H846" i="4" s="1"/>
  <c r="F847" i="4"/>
  <c r="H847" i="4" s="1"/>
  <c r="F848" i="4"/>
  <c r="H848" i="4" s="1"/>
  <c r="F849" i="4"/>
  <c r="H849" i="4" s="1"/>
  <c r="F850" i="4"/>
  <c r="F851" i="4"/>
  <c r="H851" i="4" s="1"/>
  <c r="F852" i="4"/>
  <c r="F853" i="4"/>
  <c r="F854" i="4"/>
  <c r="F855" i="4"/>
  <c r="H855" i="4" s="1"/>
  <c r="F856" i="4"/>
  <c r="H856" i="4" s="1"/>
  <c r="F857" i="4"/>
  <c r="H857" i="4" s="1"/>
  <c r="F858" i="4"/>
  <c r="H858" i="4" s="1"/>
  <c r="F859" i="4"/>
  <c r="H859" i="4" s="1"/>
  <c r="F860" i="4"/>
  <c r="H860" i="4" s="1"/>
  <c r="F861" i="4"/>
  <c r="H861" i="4" s="1"/>
  <c r="F862" i="4"/>
  <c r="H862" i="4" s="1"/>
  <c r="F863" i="4"/>
  <c r="H863" i="4" s="1"/>
  <c r="F864" i="4"/>
  <c r="H864" i="4" s="1"/>
  <c r="F865" i="4"/>
  <c r="H865" i="4" s="1"/>
  <c r="F866" i="4"/>
  <c r="H866" i="4" s="1"/>
  <c r="F867" i="4"/>
  <c r="H867" i="4" s="1"/>
  <c r="F868" i="4"/>
  <c r="H868" i="4" s="1"/>
  <c r="F869" i="4"/>
  <c r="H869" i="4" s="1"/>
  <c r="F870" i="4"/>
  <c r="H870" i="4" s="1"/>
  <c r="F871" i="4"/>
  <c r="H871" i="4" s="1"/>
  <c r="F872" i="4"/>
  <c r="H872" i="4" s="1"/>
  <c r="F873" i="4"/>
  <c r="H873" i="4" s="1"/>
  <c r="F874" i="4"/>
  <c r="F875" i="4"/>
  <c r="H875" i="4" s="1"/>
  <c r="F876" i="4"/>
  <c r="F877" i="4"/>
  <c r="F878" i="4"/>
  <c r="F879" i="4"/>
  <c r="H879" i="4" s="1"/>
  <c r="F880" i="4"/>
  <c r="H880" i="4" s="1"/>
  <c r="F881" i="4"/>
  <c r="H881" i="4" s="1"/>
  <c r="F882" i="4"/>
  <c r="H882" i="4" s="1"/>
  <c r="F883" i="4"/>
  <c r="H883" i="4" s="1"/>
  <c r="F884" i="4"/>
  <c r="H884" i="4" s="1"/>
  <c r="F885" i="4"/>
  <c r="H885" i="4" s="1"/>
  <c r="F886" i="4"/>
  <c r="H886" i="4" s="1"/>
  <c r="F887" i="4"/>
  <c r="H887" i="4" s="1"/>
  <c r="F888" i="4"/>
  <c r="H888" i="4" s="1"/>
  <c r="F889" i="4"/>
  <c r="H889" i="4" s="1"/>
  <c r="F890" i="4"/>
  <c r="H890" i="4" s="1"/>
  <c r="F891" i="4"/>
  <c r="H891" i="4" s="1"/>
  <c r="F892" i="4"/>
  <c r="H892" i="4" s="1"/>
  <c r="F893" i="4"/>
  <c r="H893" i="4" s="1"/>
  <c r="F894" i="4"/>
  <c r="H894" i="4" s="1"/>
  <c r="F895" i="4"/>
  <c r="H895" i="4" s="1"/>
  <c r="F896" i="4"/>
  <c r="H896" i="4" s="1"/>
  <c r="F897" i="4"/>
  <c r="H897" i="4" s="1"/>
  <c r="F898" i="4"/>
  <c r="F899" i="4"/>
  <c r="H899" i="4" s="1"/>
  <c r="F900" i="4"/>
  <c r="F901" i="4"/>
  <c r="F902" i="4"/>
  <c r="F903" i="4"/>
  <c r="H903" i="4" s="1"/>
  <c r="F904" i="4"/>
  <c r="H904" i="4" s="1"/>
  <c r="F905" i="4"/>
  <c r="H905" i="4" s="1"/>
  <c r="F906" i="4"/>
  <c r="H906" i="4" s="1"/>
  <c r="F907" i="4"/>
  <c r="H907" i="4" s="1"/>
  <c r="F908" i="4"/>
  <c r="H908" i="4" s="1"/>
  <c r="F909" i="4"/>
  <c r="H909" i="4" s="1"/>
  <c r="F910" i="4"/>
  <c r="H910" i="4" s="1"/>
  <c r="F911" i="4"/>
  <c r="H911" i="4" s="1"/>
  <c r="F912" i="4"/>
  <c r="H912" i="4" s="1"/>
  <c r="F913" i="4"/>
  <c r="H913" i="4" s="1"/>
  <c r="F914" i="4"/>
  <c r="H914" i="4" s="1"/>
  <c r="F915" i="4"/>
  <c r="H915" i="4" s="1"/>
  <c r="F916" i="4"/>
  <c r="H916" i="4" s="1"/>
  <c r="F917" i="4"/>
  <c r="H917" i="4" s="1"/>
  <c r="F918" i="4"/>
  <c r="H918" i="4" s="1"/>
  <c r="F919" i="4"/>
  <c r="H919" i="4" s="1"/>
  <c r="F920" i="4"/>
  <c r="H920" i="4" s="1"/>
  <c r="F921" i="4"/>
  <c r="H921" i="4" s="1"/>
  <c r="F922" i="4"/>
  <c r="F923" i="4"/>
  <c r="H923" i="4" s="1"/>
  <c r="F924" i="4"/>
  <c r="F925" i="4"/>
  <c r="F926" i="4"/>
  <c r="F927" i="4"/>
  <c r="H927" i="4" s="1"/>
  <c r="F928" i="4"/>
  <c r="H928" i="4" s="1"/>
  <c r="F929" i="4"/>
  <c r="H929" i="4" s="1"/>
  <c r="F930" i="4"/>
  <c r="H930" i="4" s="1"/>
  <c r="F931" i="4"/>
  <c r="H931" i="4" s="1"/>
  <c r="F932" i="4"/>
  <c r="H932" i="4" s="1"/>
  <c r="F933" i="4"/>
  <c r="H933" i="4" s="1"/>
  <c r="F934" i="4"/>
  <c r="H934" i="4" s="1"/>
  <c r="F935" i="4"/>
  <c r="H935" i="4" s="1"/>
  <c r="F936" i="4"/>
  <c r="H936" i="4" s="1"/>
  <c r="F937" i="4"/>
  <c r="H937" i="4" s="1"/>
  <c r="F938" i="4"/>
  <c r="H938" i="4" s="1"/>
  <c r="F939" i="4"/>
  <c r="H939" i="4" s="1"/>
  <c r="F940" i="4"/>
  <c r="H940" i="4" s="1"/>
  <c r="F941" i="4"/>
  <c r="H941" i="4" s="1"/>
  <c r="F942" i="4"/>
  <c r="H942" i="4" s="1"/>
  <c r="F943" i="4"/>
  <c r="H943" i="4" s="1"/>
  <c r="F944" i="4"/>
  <c r="H944" i="4" s="1"/>
  <c r="F945" i="4"/>
  <c r="H945" i="4" s="1"/>
  <c r="F946" i="4"/>
  <c r="F947" i="4"/>
  <c r="H947" i="4" s="1"/>
  <c r="F948" i="4"/>
  <c r="F949" i="4"/>
  <c r="F950" i="4"/>
  <c r="F951" i="4"/>
  <c r="H951" i="4" s="1"/>
  <c r="F952" i="4"/>
  <c r="H952" i="4" s="1"/>
  <c r="F953" i="4"/>
  <c r="H953" i="4" s="1"/>
  <c r="F954" i="4"/>
  <c r="H954" i="4" s="1"/>
  <c r="F955" i="4"/>
  <c r="H955" i="4" s="1"/>
  <c r="F956" i="4"/>
  <c r="H956" i="4" s="1"/>
  <c r="F957" i="4"/>
  <c r="H957" i="4" s="1"/>
  <c r="F958" i="4"/>
  <c r="H958" i="4" s="1"/>
  <c r="F959" i="4"/>
  <c r="H959" i="4" s="1"/>
  <c r="F960" i="4"/>
  <c r="H960" i="4" s="1"/>
  <c r="F961" i="4"/>
  <c r="H961" i="4" s="1"/>
  <c r="F962" i="4"/>
  <c r="H962" i="4" s="1"/>
  <c r="F963" i="4"/>
  <c r="H963" i="4" s="1"/>
  <c r="F964" i="4"/>
  <c r="H964" i="4" s="1"/>
  <c r="F965" i="4"/>
  <c r="H965" i="4" s="1"/>
  <c r="F966" i="4"/>
  <c r="H966" i="4" s="1"/>
  <c r="F967" i="4"/>
  <c r="H967" i="4" s="1"/>
  <c r="F968" i="4"/>
  <c r="H968" i="4" s="1"/>
  <c r="F969" i="4"/>
  <c r="H969" i="4" s="1"/>
  <c r="F970" i="4"/>
  <c r="F971" i="4"/>
  <c r="H971" i="4" s="1"/>
  <c r="F972" i="4"/>
  <c r="F973" i="4"/>
  <c r="F974" i="4"/>
  <c r="F975" i="4"/>
  <c r="H975" i="4" s="1"/>
  <c r="F976" i="4"/>
  <c r="H976" i="4" s="1"/>
  <c r="F977" i="4"/>
  <c r="H977" i="4" s="1"/>
  <c r="F978" i="4"/>
  <c r="H978" i="4" s="1"/>
  <c r="F979" i="4"/>
  <c r="H979" i="4" s="1"/>
  <c r="F980" i="4"/>
  <c r="H980" i="4" s="1"/>
  <c r="F981" i="4"/>
  <c r="H981" i="4" s="1"/>
  <c r="F982" i="4"/>
  <c r="H982" i="4" s="1"/>
  <c r="F983" i="4"/>
  <c r="H983" i="4" s="1"/>
  <c r="F984" i="4"/>
  <c r="H984" i="4" s="1"/>
  <c r="F985" i="4"/>
  <c r="H985" i="4" s="1"/>
  <c r="F986" i="4"/>
  <c r="H986" i="4" s="1"/>
  <c r="F987" i="4"/>
  <c r="H987" i="4" s="1"/>
  <c r="F988" i="4"/>
  <c r="H988" i="4" s="1"/>
  <c r="F989" i="4"/>
  <c r="H989" i="4" s="1"/>
  <c r="F990" i="4"/>
  <c r="H990" i="4" s="1"/>
  <c r="F991" i="4"/>
  <c r="H991" i="4" s="1"/>
  <c r="F992" i="4"/>
  <c r="H992" i="4" s="1"/>
  <c r="F993" i="4"/>
  <c r="H993" i="4" s="1"/>
  <c r="F994" i="4"/>
  <c r="F995" i="4"/>
  <c r="H995" i="4" s="1"/>
  <c r="F996" i="4"/>
  <c r="F997" i="4"/>
  <c r="F998" i="4"/>
  <c r="F999" i="4"/>
  <c r="H999" i="4" s="1"/>
  <c r="F1000" i="4"/>
  <c r="H1000" i="4" s="1"/>
  <c r="F1001" i="4"/>
  <c r="H1001" i="4" s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E40B83-4C27-4AD3-BFBB-B72E3B3563D8}" keepAlive="1" name="Zapytanie — WYNAJEM" description="Połączenie z zapytaniem „WYNAJEM” w skoroszycie." type="5" refreshedVersion="8" background="1" saveData="1">
    <dbPr connection="Provider=Microsoft.Mashup.OleDb.1;Data Source=$Workbook$;Location=WYNAJEM;Extended Properties=&quot;&quot;" command="SELECT * FROM [WYNAJEM]"/>
  </connection>
  <connection id="2" xr16:uid="{911731DA-5564-46BE-92C4-CF65248C36AE}" keepAlive="1" name="Zapytanie — WYNAJEM (2)" description="Połączenie z zapytaniem „WYNAJEM (2)” w skoroszycie." type="5" refreshedVersion="8" background="1" saveData="1">
    <dbPr connection="Provider=Microsoft.Mashup.OleDb.1;Data Source=$Workbook$;Location=&quot;WYNAJEM (2)&quot;;Extended Properties=&quot;&quot;" command="SELECT * FROM [WYNAJEM (2)]"/>
  </connection>
  <connection id="3" xr16:uid="{A6A7AB2F-63F3-4516-85F0-9BA6105DCE58}" keepAlive="1" name="Zapytanie — WYNAJEM (3)" description="Połączenie z zapytaniem „WYNAJEM (3)” w skoroszycie." type="5" refreshedVersion="8" background="1" saveData="1">
    <dbPr connection="Provider=Microsoft.Mashup.OleDb.1;Data Source=$Workbook$;Location=&quot;WYNAJEM (3)&quot;;Extended Properties=&quot;&quot;" command="SELECT * FROM [WYNAJEM (3)]"/>
  </connection>
  <connection id="4" xr16:uid="{EAEC5FC5-219A-4EA4-8E45-20CF529D34F0}" keepAlive="1" name="Zapytanie — WYNAJEM (4)" description="Połączenie z zapytaniem „WYNAJEM (4)” w skoroszycie." type="5" refreshedVersion="8" background="1" saveData="1">
    <dbPr connection="Provider=Microsoft.Mashup.OleDb.1;Data Source=$Workbook$;Location=&quot;WYNAJEM (4)&quot;;Extended Properties=&quot;&quot;" command="SELECT * FROM [WYNAJEM (4)]"/>
  </connection>
  <connection id="5" xr16:uid="{D418D8E0-0045-4192-AA7F-8046F90C4E2B}" keepAlive="1" name="Zapytanie — WYNAJEM (5)" description="Połączenie z zapytaniem „WYNAJEM (5)” w skoroszycie." type="5" refreshedVersion="8" background="1" saveData="1">
    <dbPr connection="Provider=Microsoft.Mashup.OleDb.1;Data Source=$Workbook$;Location=&quot;WYNAJEM (5)&quot;;Extended Properties=&quot;&quot;" command="SELECT * FROM [WYNAJEM (5)]"/>
  </connection>
</connections>
</file>

<file path=xl/sharedStrings.xml><?xml version="1.0" encoding="utf-8"?>
<sst xmlns="http://schemas.openxmlformats.org/spreadsheetml/2006/main" count="76" uniqueCount="39">
  <si>
    <t>data_przyjazdu</t>
  </si>
  <si>
    <t>data_wyjazdu</t>
  </si>
  <si>
    <t>energia</t>
  </si>
  <si>
    <t>woda</t>
  </si>
  <si>
    <t>typ</t>
  </si>
  <si>
    <t>Etykiety wierszy</t>
  </si>
  <si>
    <t>Suma końcowa</t>
  </si>
  <si>
    <t>Liczba z data_przyjazdu</t>
  </si>
  <si>
    <t>5_1)</t>
  </si>
  <si>
    <t>roznica dni</t>
  </si>
  <si>
    <t>Suma z roznica dni</t>
  </si>
  <si>
    <t>5_2)</t>
  </si>
  <si>
    <t>ilosc dni</t>
  </si>
  <si>
    <t>suma opłat</t>
  </si>
  <si>
    <t>czas wynajecia domku</t>
  </si>
  <si>
    <t>suma energia i woda</t>
  </si>
  <si>
    <t>czynsz</t>
  </si>
  <si>
    <t>ogólne koszty</t>
  </si>
  <si>
    <t>Suma z ogólne koszty</t>
  </si>
  <si>
    <t xml:space="preserve">typ </t>
  </si>
  <si>
    <t>5_3)</t>
  </si>
  <si>
    <t>Kolumna1</t>
  </si>
  <si>
    <t>Kolumna2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</si>
  <si>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</si>
  <si>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</si>
  <si>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</si>
  <si>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</si>
  <si>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</si>
  <si>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</si>
  <si>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</si>
  <si>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</si>
  <si>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</si>
  <si>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</si>
  <si>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</si>
  <si>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</si>
  <si>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Suma z suma energia i woda</t>
  </si>
  <si>
    <t>5_4)</t>
  </si>
  <si>
    <t>miesiąc</t>
  </si>
  <si>
    <t>koszt mediów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</si>
</sst>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44" fontId="0" fillId="0" borderId="0" xfId="1" applyFont="1"/>
    <xf numFmtId="44" fontId="0" fillId="0" borderId="0" xfId="0" applyNumberFormat="1"/>
    <xf numFmtId="0" fontId="0" fillId="0" borderId="0" xfId="1" applyNumberFormat="1" applyFont="1"/>
    <xf numFmtId="0" fontId="3" fillId="0" borderId="1" xfId="0" applyFont="1" applyBorder="1" applyAlignment="1">
      <alignment horizontal="left"/>
    </xf>
    <xf numFmtId="44" fontId="3" fillId="0" borderId="1" xfId="0" applyNumberFormat="1" applyFont="1" applyBorder="1"/>
  </cellXfs>
  <cellStyles count="2">
    <cellStyle name="Normalny" xfId="0" builtinId="0"/>
    <cellStyle name="Walutowy" xfId="1" builtinId="4"/>
  </cellStyles>
  <dxfs count="25"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0" formatCode="General"/>
    </dxf>
    <dxf>
      <numFmt numFmtId="19" formatCode="dd/mm/yyyy"/>
    </dxf>
    <dxf>
      <numFmt numFmtId="19" formatCode="dd/mm/yyyy"/>
    </dxf>
    <dxf>
      <numFmt numFmtId="34" formatCode="_-* #,##0.00\ &quot;zł&quot;_-;\-* #,##0.00\ &quot;zł&quot;_-;_-* &quot;-&quot;??\ &quot;zł&quot;_-;_-@_-"/>
    </dxf>
    <dxf>
      <alignment horizontal="left" vertical="bottom" textRotation="0" wrapText="0" indent="0" justifyLastLine="0" shrinkToFit="0" readingOrder="0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[matura 2017.xlsx]ODP_5_4a!Tabela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Koszt</a:t>
            </a:r>
            <a:r>
              <a:rPr lang="pl-PL" baseline="0"/>
              <a:t> mediów w poszczególnych miesiącach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ODP_5_4a!$B$3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ODP_5_4a!$A$4:$A$16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ODP_5_4a!$B$4:$B$16</c:f>
              <c:numCache>
                <c:formatCode>_("zł"* #,##0.00_);_("zł"* \(#,##0.00\);_("zł"* "-"??_);_(@_)</c:formatCode>
                <c:ptCount val="12"/>
                <c:pt idx="0">
                  <c:v>1078.3200000000002</c:v>
                </c:pt>
                <c:pt idx="1">
                  <c:v>611.15000000000009</c:v>
                </c:pt>
                <c:pt idx="2">
                  <c:v>565.22000000000014</c:v>
                </c:pt>
                <c:pt idx="3">
                  <c:v>322.95999999999998</c:v>
                </c:pt>
                <c:pt idx="4">
                  <c:v>299.65999999999997</c:v>
                </c:pt>
                <c:pt idx="5">
                  <c:v>568.59</c:v>
                </c:pt>
                <c:pt idx="6">
                  <c:v>628.5999999999998</c:v>
                </c:pt>
                <c:pt idx="7">
                  <c:v>531.33000000000015</c:v>
                </c:pt>
                <c:pt idx="8">
                  <c:v>1045.1200000000001</c:v>
                </c:pt>
                <c:pt idx="9">
                  <c:v>813.25</c:v>
                </c:pt>
                <c:pt idx="10">
                  <c:v>1107.8000000000002</c:v>
                </c:pt>
                <c:pt idx="11">
                  <c:v>893.16000000000008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4-4CA3-99DC-FE583B2F1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497680"/>
        <c:axId val="862452800"/>
      </c:barChart>
      <c:catAx>
        <c:axId val="86049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2452800"/>
        <c:crosses val="autoZero"/>
        <c:auto val="1"/>
        <c:lblAlgn val="ctr"/>
        <c:lblOffset val="100"/>
        <c:noMultiLvlLbl val="0"/>
      </c:catAx>
      <c:valAx>
        <c:axId val="86245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zł&quot;* #,##0.00_);_(&quot;zł&quot;* \(#,##0.00\);_(&quot;zł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049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7</xdr:row>
      <xdr:rowOff>119062</xdr:rowOff>
    </xdr:from>
    <xdr:to>
      <xdr:col>9</xdr:col>
      <xdr:colOff>476250</xdr:colOff>
      <xdr:row>22</xdr:row>
      <xdr:rowOff>4762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B259805-EF31-207F-8B47-D8F6E6E9F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Tomaszewski" refreshedDate="45639.908616550929" createdVersion="8" refreshedVersion="8" minRefreshableVersion="3" recordCount="1000" xr:uid="{07C0C1E3-E890-4CE2-BAB1-82BAD561B649}">
  <cacheSource type="worksheet">
    <worksheetSource name="WYNAJEM"/>
  </cacheSource>
  <cacheFields count="5">
    <cacheField name="data_przyjazdu" numFmtId="14">
      <sharedItems containsSemiMixedTypes="0" containsNonDate="0" containsDate="1" containsString="0" minDate="2014-01-02T00:00:00" maxDate="2014-12-30T00:00:00"/>
    </cacheField>
    <cacheField name="data_wyjazdu" numFmtId="14">
      <sharedItems containsSemiMixedTypes="0" containsNonDate="0" containsDate="1" containsString="0" minDate="2014-01-06T00:00:00" maxDate="2015-01-25T00:00:00" count="337">
        <d v="2014-01-11T00:00:00"/>
        <d v="2014-01-23T00:00:00"/>
        <d v="2014-01-14T00:00:00"/>
        <d v="2014-01-22T00:00:00"/>
        <d v="2014-01-27T00:00:00"/>
        <d v="2014-01-30T00:00:00"/>
        <d v="2014-01-31T00:00:00"/>
        <d v="2014-01-06T00:00:00"/>
        <d v="2014-01-21T00:00:00"/>
        <d v="2014-01-26T00:00:00"/>
        <d v="2014-01-10T00:00:00"/>
        <d v="2014-01-15T00:00:00"/>
        <d v="2014-01-24T00:00:00"/>
        <d v="2014-01-12T00:00:00"/>
        <d v="2014-01-25T00:00:00"/>
        <d v="2014-01-19T00:00:00"/>
        <d v="2014-02-04T00:00:00"/>
        <d v="2014-02-05T00:00:00"/>
        <d v="2014-01-20T00:00:00"/>
        <d v="2014-01-13T00:00:00"/>
        <d v="2014-01-28T00:00:00"/>
        <d v="2014-02-01T00:00:00"/>
        <d v="2014-01-17T00:00:00"/>
        <d v="2014-01-29T00:00:00"/>
        <d v="2014-02-10T00:00:00"/>
        <d v="2014-01-16T00:00:00"/>
        <d v="2014-02-07T00:00:00"/>
        <d v="2014-02-02T00:00:00"/>
        <d v="2014-01-18T00:00:00"/>
        <d v="2014-02-09T00:00:00"/>
        <d v="2014-02-06T00:00:00"/>
        <d v="2014-02-08T00:00:00"/>
        <d v="2014-02-12T00:00:00"/>
        <d v="2014-02-15T00:00:00"/>
        <d v="2014-02-17T00:00:00"/>
        <d v="2014-02-16T00:00:00"/>
        <d v="2014-02-14T00:00:00"/>
        <d v="2014-02-11T00:00:00"/>
        <d v="2014-02-19T00:00:00"/>
        <d v="2014-02-18T00:00:00"/>
        <d v="2014-02-22T00:00:00"/>
        <d v="2014-02-21T00:00:00"/>
        <d v="2014-02-03T00:00:00"/>
        <d v="2014-02-13T00:00:00"/>
        <d v="2014-02-20T00:00:00"/>
        <d v="2014-02-23T00:00:00"/>
        <d v="2014-02-24T00:00:00"/>
        <d v="2014-02-27T00:00:00"/>
        <d v="2014-03-03T00:00:00"/>
        <d v="2014-02-28T00:00:00"/>
        <d v="2014-03-02T00:00:00"/>
        <d v="2014-02-25T00:00:00"/>
        <d v="2014-03-04T00:00:00"/>
        <d v="2014-03-07T00:00:00"/>
        <d v="2014-03-06T00:00:00"/>
        <d v="2014-03-01T00:00:00"/>
        <d v="2014-03-09T00:00:00"/>
        <d v="2014-03-14T00:00:00"/>
        <d v="2014-03-10T00:00:00"/>
        <d v="2014-02-26T00:00:00"/>
        <d v="2014-03-17T00:00:00"/>
        <d v="2014-03-19T00:00:00"/>
        <d v="2014-03-08T00:00:00"/>
        <d v="2014-03-13T00:00:00"/>
        <d v="2014-03-12T00:00:00"/>
        <d v="2014-03-05T00:00:00"/>
        <d v="2014-03-18T00:00:00"/>
        <d v="2014-03-23T00:00:00"/>
        <d v="2014-03-16T00:00:00"/>
        <d v="2014-03-28T00:00:00"/>
        <d v="2014-03-24T00:00:00"/>
        <d v="2014-03-21T00:00:00"/>
        <d v="2014-03-20T00:00:00"/>
        <d v="2014-03-22T00:00:00"/>
        <d v="2014-03-31T00:00:00"/>
        <d v="2014-03-15T00:00:00"/>
        <d v="2014-04-04T00:00:00"/>
        <d v="2014-04-07T00:00:00"/>
        <d v="2014-04-02T00:00:00"/>
        <d v="2014-03-26T00:00:00"/>
        <d v="2014-04-06T00:00:00"/>
        <d v="2014-04-10T00:00:00"/>
        <d v="2014-03-30T00:00:00"/>
        <d v="2014-03-25T00:00:00"/>
        <d v="2014-04-14T00:00:00"/>
        <d v="2014-04-05T00:00:00"/>
        <d v="2014-04-12T00:00:00"/>
        <d v="2014-04-13T00:00:00"/>
        <d v="2014-04-16T00:00:00"/>
        <d v="2014-03-27T00:00:00"/>
        <d v="2014-04-18T00:00:00"/>
        <d v="2014-04-23T00:00:00"/>
        <d v="2014-04-19T00:00:00"/>
        <d v="2014-04-11T00:00:00"/>
        <d v="2014-04-21T00:00:00"/>
        <d v="2014-04-22T00:00:00"/>
        <d v="2014-04-29T00:00:00"/>
        <d v="2014-04-30T00:00:00"/>
        <d v="2014-05-03T00:00:00"/>
        <d v="2014-05-05T00:00:00"/>
        <d v="2014-05-07T00:00:00"/>
        <d v="2014-05-02T00:00:00"/>
        <d v="2014-05-09T00:00:00"/>
        <d v="2014-04-26T00:00:00"/>
        <d v="2014-05-13T00:00:00"/>
        <d v="2014-05-04T00:00:00"/>
        <d v="2014-05-12T00:00:00"/>
        <d v="2014-04-25T00:00:00"/>
        <d v="2014-05-23T00:00:00"/>
        <d v="2014-05-20T00:00:00"/>
        <d v="2014-05-08T00:00:00"/>
        <d v="2014-05-27T00:00:00"/>
        <d v="2014-05-18T00:00:00"/>
        <d v="2014-05-21T00:00:00"/>
        <d v="2014-05-17T00:00:00"/>
        <d v="2014-05-14T00:00:00"/>
        <d v="2014-06-04T00:00:00"/>
        <d v="2014-05-10T00:00:00"/>
        <d v="2014-05-16T00:00:00"/>
        <d v="2014-05-30T00:00:00"/>
        <d v="2014-05-19T00:00:00"/>
        <d v="2014-05-28T00:00:00"/>
        <d v="2014-06-01T00:00:00"/>
        <d v="2014-06-02T00:00:00"/>
        <d v="2014-06-13T00:00:00"/>
        <d v="2014-05-29T00:00:00"/>
        <d v="2014-06-11T00:00:00"/>
        <d v="2014-06-03T00:00:00"/>
        <d v="2014-06-06T00:00:00"/>
        <d v="2014-06-12T00:00:00"/>
        <d v="2014-06-28T00:00:00"/>
        <d v="2014-06-08T00:00:00"/>
        <d v="2014-06-05T00:00:00"/>
        <d v="2014-06-17T00:00:00"/>
        <d v="2014-06-22T00:00:00"/>
        <d v="2014-06-25T00:00:00"/>
        <d v="2014-06-23T00:00:00"/>
        <d v="2014-06-27T00:00:00"/>
        <d v="2014-06-14T00:00:00"/>
        <d v="2014-06-10T00:00:00"/>
        <d v="2014-06-09T00:00:00"/>
        <d v="2014-06-18T00:00:00"/>
        <d v="2014-06-26T00:00:00"/>
        <d v="2014-07-03T00:00:00"/>
        <d v="2014-07-07T00:00:00"/>
        <d v="2014-06-21T00:00:00"/>
        <d v="2014-07-05T00:00:00"/>
        <d v="2014-07-09T00:00:00"/>
        <d v="2014-06-15T00:00:00"/>
        <d v="2014-06-24T00:00:00"/>
        <d v="2014-07-02T00:00:00"/>
        <d v="2014-07-01T00:00:00"/>
        <d v="2014-07-14T00:00:00"/>
        <d v="2014-07-17T00:00:00"/>
        <d v="2014-07-10T00:00:00"/>
        <d v="2014-07-20T00:00:00"/>
        <d v="2014-07-12T00:00:00"/>
        <d v="2014-07-19T00:00:00"/>
        <d v="2014-07-11T00:00:00"/>
        <d v="2014-07-13T00:00:00"/>
        <d v="2014-07-06T00:00:00"/>
        <d v="2014-07-23T00:00:00"/>
        <d v="2014-07-21T00:00:00"/>
        <d v="2014-07-15T00:00:00"/>
        <d v="2014-07-08T00:00:00"/>
        <d v="2014-07-16T00:00:00"/>
        <d v="2014-07-27T00:00:00"/>
        <d v="2014-08-01T00:00:00"/>
        <d v="2014-07-18T00:00:00"/>
        <d v="2014-07-24T00:00:00"/>
        <d v="2014-07-28T00:00:00"/>
        <d v="2014-08-04T00:00:00"/>
        <d v="2014-08-02T00:00:00"/>
        <d v="2014-08-12T00:00:00"/>
        <d v="2014-08-05T00:00:00"/>
        <d v="2014-08-06T00:00:00"/>
        <d v="2014-08-09T00:00:00"/>
        <d v="2014-08-10T00:00:00"/>
        <d v="2014-08-08T00:00:00"/>
        <d v="2014-08-15T00:00:00"/>
        <d v="2014-08-07T00:00:00"/>
        <d v="2014-08-11T00:00:00"/>
        <d v="2014-08-17T00:00:00"/>
        <d v="2014-08-03T00:00:00"/>
        <d v="2014-08-20T00:00:00"/>
        <d v="2014-08-19T00:00:00"/>
        <d v="2014-08-22T00:00:00"/>
        <d v="2014-08-21T00:00:00"/>
        <d v="2014-08-18T00:00:00"/>
        <d v="2014-08-16T00:00:00"/>
        <d v="2014-08-13T00:00:00"/>
        <d v="2014-08-14T00:00:00"/>
        <d v="2014-09-03T00:00:00"/>
        <d v="2014-08-30T00:00:00"/>
        <d v="2014-08-25T00:00:00"/>
        <d v="2014-08-23T00:00:00"/>
        <d v="2014-09-06T00:00:00"/>
        <d v="2014-09-04T00:00:00"/>
        <d v="2014-08-27T00:00:00"/>
        <d v="2014-08-24T00:00:00"/>
        <d v="2014-08-29T00:00:00"/>
        <d v="2014-09-05T00:00:00"/>
        <d v="2014-09-08T00:00:00"/>
        <d v="2014-09-02T00:00:00"/>
        <d v="2014-09-10T00:00:00"/>
        <d v="2014-08-28T00:00:00"/>
        <d v="2014-08-26T00:00:00"/>
        <d v="2014-09-09T00:00:00"/>
        <d v="2014-09-12T00:00:00"/>
        <d v="2014-09-13T00:00:00"/>
        <d v="2014-09-20T00:00:00"/>
        <d v="2014-09-21T00:00:00"/>
        <d v="2014-09-14T00:00:00"/>
        <d v="2014-09-26T00:00:00"/>
        <d v="2014-09-01T00:00:00"/>
        <d v="2014-09-25T00:00:00"/>
        <d v="2014-09-19T00:00:00"/>
        <d v="2014-09-17T00:00:00"/>
        <d v="2014-09-16T00:00:00"/>
        <d v="2014-09-07T00:00:00"/>
        <d v="2014-10-02T00:00:00"/>
        <d v="2014-09-15T00:00:00"/>
        <d v="2014-09-18T00:00:00"/>
        <d v="2014-10-01T00:00:00"/>
        <d v="2014-09-24T00:00:00"/>
        <d v="2014-09-23T00:00:00"/>
        <d v="2014-09-30T00:00:00"/>
        <d v="2014-09-29T00:00:00"/>
        <d v="2014-10-04T00:00:00"/>
        <d v="2014-10-06T00:00:00"/>
        <d v="2014-10-07T00:00:00"/>
        <d v="2014-10-09T00:00:00"/>
        <d v="2014-10-12T00:00:00"/>
        <d v="2014-10-11T00:00:00"/>
        <d v="2014-09-22T00:00:00"/>
        <d v="2014-10-05T00:00:00"/>
        <d v="2014-10-08T00:00:00"/>
        <d v="2014-09-28T00:00:00"/>
        <d v="2014-10-13T00:00:00"/>
        <d v="2014-10-10T00:00:00"/>
        <d v="2014-10-15T00:00:00"/>
        <d v="2014-10-17T00:00:00"/>
        <d v="2014-10-16T00:00:00"/>
        <d v="2014-10-24T00:00:00"/>
        <d v="2014-10-14T00:00:00"/>
        <d v="2014-10-18T00:00:00"/>
        <d v="2014-10-21T00:00:00"/>
        <d v="2014-10-20T00:00:00"/>
        <d v="2014-10-26T00:00:00"/>
        <d v="2014-10-19T00:00:00"/>
        <d v="2014-10-27T00:00:00"/>
        <d v="2014-10-30T00:00:00"/>
        <d v="2014-10-25T00:00:00"/>
        <d v="2014-10-28T00:00:00"/>
        <d v="2014-11-04T00:00:00"/>
        <d v="2014-11-07T00:00:00"/>
        <d v="2014-11-01T00:00:00"/>
        <d v="2014-11-02T00:00:00"/>
        <d v="2014-11-06T00:00:00"/>
        <d v="2014-10-23T00:00:00"/>
        <d v="2014-10-31T00:00:00"/>
        <d v="2014-11-08T00:00:00"/>
        <d v="2014-10-22T00:00:00"/>
        <d v="2014-10-29T00:00:00"/>
        <d v="2014-11-11T00:00:00"/>
        <d v="2014-11-10T00:00:00"/>
        <d v="2014-11-12T00:00:00"/>
        <d v="2014-11-16T00:00:00"/>
        <d v="2014-11-17T00:00:00"/>
        <d v="2014-11-18T00:00:00"/>
        <d v="2014-11-15T00:00:00"/>
        <d v="2014-11-14T00:00:00"/>
        <d v="2014-11-13T00:00:00"/>
        <d v="2014-11-03T00:00:00"/>
        <d v="2014-11-21T00:00:00"/>
        <d v="2014-11-20T00:00:00"/>
        <d v="2014-11-19T00:00:00"/>
        <d v="2014-11-26T00:00:00"/>
        <d v="2014-11-28T00:00:00"/>
        <d v="2014-11-05T00:00:00"/>
        <d v="2014-11-23T00:00:00"/>
        <d v="2014-11-25T00:00:00"/>
        <d v="2014-11-29T00:00:00"/>
        <d v="2014-11-27T00:00:00"/>
        <d v="2014-12-02T00:00:00"/>
        <d v="2014-12-01T00:00:00"/>
        <d v="2014-11-09T00:00:00"/>
        <d v="2014-12-04T00:00:00"/>
        <d v="2014-11-24T00:00:00"/>
        <d v="2014-12-05T00:00:00"/>
        <d v="2014-12-12T00:00:00"/>
        <d v="2014-12-07T00:00:00"/>
        <d v="2014-12-13T00:00:00"/>
        <d v="2014-12-09T00:00:00"/>
        <d v="2014-12-03T00:00:00"/>
        <d v="2014-11-30T00:00:00"/>
        <d v="2014-12-11T00:00:00"/>
        <d v="2014-12-10T00:00:00"/>
        <d v="2014-12-06T00:00:00"/>
        <d v="2014-12-14T00:00:00"/>
        <d v="2014-11-22T00:00:00"/>
        <d v="2014-12-17T00:00:00"/>
        <d v="2014-12-18T00:00:00"/>
        <d v="2014-12-15T00:00:00"/>
        <d v="2014-12-20T00:00:00"/>
        <d v="2014-12-21T00:00:00"/>
        <d v="2014-12-19T00:00:00"/>
        <d v="2014-12-22T00:00:00"/>
        <d v="2014-12-08T00:00:00"/>
        <d v="2014-12-26T00:00:00"/>
        <d v="2014-12-25T00:00:00"/>
        <d v="2014-12-16T00:00:00"/>
        <d v="2015-01-01T00:00:00"/>
        <d v="2014-12-27T00:00:00"/>
        <d v="2014-12-28T00:00:00"/>
        <d v="2014-12-31T00:00:00"/>
        <d v="2015-01-03T00:00:00"/>
        <d v="2014-12-30T00:00:00"/>
        <d v="2014-12-24T00:00:00"/>
        <d v="2015-01-02T00:00:00"/>
        <d v="2014-12-29T00:00:00"/>
        <d v="2015-01-06T00:00:00"/>
        <d v="2015-01-07T00:00:00"/>
        <d v="2014-12-23T00:00:00"/>
        <d v="2015-01-05T00:00:00"/>
        <d v="2015-01-04T00:00:00"/>
        <d v="2015-01-08T00:00:00"/>
        <d v="2015-01-09T00:00:00"/>
        <d v="2015-01-10T00:00:00"/>
        <d v="2015-01-11T00:00:00"/>
        <d v="2015-01-12T00:00:00"/>
        <d v="2015-01-17T00:00:00"/>
        <d v="2015-01-18T00:00:00"/>
        <d v="2015-01-14T00:00:00"/>
        <d v="2015-01-13T00:00:00"/>
        <d v="2015-01-24T00:00:00"/>
        <d v="2015-01-15T00:00:00"/>
      </sharedItems>
    </cacheField>
    <cacheField name="energia" numFmtId="0">
      <sharedItems containsSemiMixedTypes="0" containsString="0" containsNumber="1" minValue="2.0099999999999998" maxValue="39.35"/>
    </cacheField>
    <cacheField name="woda" numFmtId="0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 count="5">
        <n v="5"/>
        <n v="6"/>
        <n v="2"/>
        <n v="4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Tomaszewski" refreshedDate="45640.518299537034" createdVersion="8" refreshedVersion="8" minRefreshableVersion="3" recordCount="1000" xr:uid="{ECB3E4BB-02A2-4D03-B5A4-2B0B45855664}">
  <cacheSource type="worksheet">
    <worksheetSource name="WYNAJEM3"/>
  </cacheSource>
  <cacheFields count="6">
    <cacheField name="data_przyjazdu" numFmtId="14">
      <sharedItems containsSemiMixedTypes="0" containsNonDate="0" containsDate="1" containsString="0" minDate="2014-01-02T00:00:00" maxDate="2014-12-30T00:00:00"/>
    </cacheField>
    <cacheField name="data_wyjazdu" numFmtId="14">
      <sharedItems containsSemiMixedTypes="0" containsNonDate="0" containsDate="1" containsString="0" minDate="2014-01-06T00:00:00" maxDate="2015-01-25T00:00:00"/>
    </cacheField>
    <cacheField name="energia" numFmtId="0">
      <sharedItems containsSemiMixedTypes="0" containsString="0" containsNumber="1" minValue="2.0099999999999998" maxValue="39.35"/>
    </cacheField>
    <cacheField name="woda" numFmtId="0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 count="5">
        <n v="5"/>
        <n v="6"/>
        <n v="2"/>
        <n v="4"/>
        <n v="3"/>
      </sharedItems>
    </cacheField>
    <cacheField name="roznica dni" numFmtId="0">
      <sharedItems containsSemiMixedTypes="0" containsString="0" containsNumber="1" containsInteger="1" minValue="2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Tomaszewski" refreshedDate="45640.525088541668" createdVersion="8" refreshedVersion="8" minRefreshableVersion="3" recordCount="1000" xr:uid="{5145C374-F970-486E-A5EF-E98AB5430EA5}">
  <cacheSource type="worksheet">
    <worksheetSource name="WYNAJEM4"/>
  </cacheSource>
  <cacheFields count="9">
    <cacheField name="data_przyjazdu" numFmtId="14">
      <sharedItems containsSemiMixedTypes="0" containsNonDate="0" containsDate="1" containsString="0" minDate="2014-01-02T00:00:00" maxDate="2014-12-30T00:00:00"/>
    </cacheField>
    <cacheField name="data_wyjazdu" numFmtId="14">
      <sharedItems containsSemiMixedTypes="0" containsNonDate="0" containsDate="1" containsString="0" minDate="2014-01-06T00:00:00" maxDate="2015-01-25T00:00:00"/>
    </cacheField>
    <cacheField name="energia" numFmtId="44">
      <sharedItems containsSemiMixedTypes="0" containsString="0" containsNumber="1" minValue="2.0099999999999998" maxValue="39.35"/>
    </cacheField>
    <cacheField name="woda" numFmtId="44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 count="5">
        <n v="5"/>
        <n v="6"/>
        <n v="2"/>
        <n v="4"/>
        <n v="3"/>
      </sharedItems>
    </cacheField>
    <cacheField name="czas wynajecia domku" numFmtId="0">
      <sharedItems containsSemiMixedTypes="0" containsString="0" containsNumber="1" containsInteger="1" minValue="2" maxValue="28"/>
    </cacheField>
    <cacheField name="suma energia i woda" numFmtId="44">
      <sharedItems containsSemiMixedTypes="0" containsString="0" containsNumber="1" minValue="2.0599999999999996" maxValue="40.39"/>
    </cacheField>
    <cacheField name="czynsz" numFmtId="44">
      <sharedItems containsSemiMixedTypes="0" containsString="0" containsNumber="1" containsInteger="1" minValue="40" maxValue="1680"/>
    </cacheField>
    <cacheField name="ogólne koszty" numFmtId="44">
      <sharedItems containsSemiMixedTypes="0" containsString="0" containsNumber="1" minValue="42.79" maxValue="1694.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Tomaszewski" refreshedDate="45640.529630092591" createdVersion="8" refreshedVersion="8" minRefreshableVersion="3" recordCount="1000" xr:uid="{EA0646EF-4A07-480E-8C39-3E8A5E61E9FE}">
  <cacheSource type="worksheet">
    <worksheetSource name="WYNAJEM47"/>
  </cacheSource>
  <cacheFields count="11">
    <cacheField name="data_przyjazdu" numFmtId="14">
      <sharedItems containsSemiMixedTypes="0" containsNonDate="0" containsDate="1" containsString="0" minDate="2014-01-02T00:00:00" maxDate="2014-12-30T00:00:00" count="179"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2T00:00:00"/>
        <d v="2014-01-13T00:00:00"/>
        <d v="2014-01-14T00:00:00"/>
        <d v="2014-01-15T00:00:00"/>
        <d v="2014-01-17T00:00:00"/>
        <d v="2014-01-18T00:00:00"/>
        <d v="2014-01-19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2-02T00:00:00"/>
        <d v="2014-02-03T00:00:00"/>
        <d v="2014-02-07T00:00:00"/>
        <d v="2014-02-10T00:00:00"/>
        <d v="2014-02-12T00:00:00"/>
        <d v="2014-02-14T00:00:00"/>
        <d v="2014-02-15T00:00:00"/>
        <d v="2014-02-19T00:00:00"/>
        <d v="2014-02-22T00:00:00"/>
        <d v="2014-02-26T00:00:00"/>
        <d v="2014-02-28T00:00:00"/>
        <d v="2014-03-03T00:00:00"/>
        <d v="2014-03-06T00:00:00"/>
        <d v="2014-03-07T00:00:00"/>
        <d v="2014-03-09T00:00:00"/>
        <d v="2014-03-10T00:00:00"/>
        <d v="2014-03-11T00:00:00"/>
        <d v="2014-03-12T00:00:00"/>
        <d v="2014-03-15T00:00:00"/>
        <d v="2014-03-17T00:00:00"/>
        <d v="2014-03-18T00:00:00"/>
        <d v="2014-03-21T00:00:00"/>
        <d v="2014-03-27T00:00:00"/>
        <d v="2014-04-02T00:00:00"/>
        <d v="2014-04-03T00:00:00"/>
        <d v="2014-04-08T00:00:00"/>
        <d v="2014-04-14T00:00:00"/>
        <d v="2014-04-18T00:00:00"/>
        <d v="2014-04-20T00:00:00"/>
        <d v="2014-04-23T00:00:00"/>
        <d v="2014-04-24T00:00:00"/>
        <d v="2014-04-26T00:00:00"/>
        <d v="2014-04-28T00:00:00"/>
        <d v="2014-05-02T00:00:00"/>
        <d v="2014-05-05T00:00:00"/>
        <d v="2014-05-06T00:00:00"/>
        <d v="2014-05-08T00:00:00"/>
        <d v="2014-05-14T00:00:00"/>
        <d v="2014-05-20T00:00:00"/>
        <d v="2014-05-26T00:00:00"/>
        <d v="2014-06-01T00:00:00"/>
        <d v="2014-06-02T00:00:00"/>
        <d v="2014-06-03T00:00:00"/>
        <d v="2014-06-04T00:00:00"/>
        <d v="2014-06-05T00:00:00"/>
        <d v="2014-06-07T00:00:00"/>
        <d v="2014-06-09T00:00:00"/>
        <d v="2014-06-13T00:00:00"/>
        <d v="2014-06-16T00:00:00"/>
        <d v="2014-06-19T00:00:00"/>
        <d v="2014-06-25T00:00:00"/>
        <d v="2014-06-28T00:00:00"/>
        <d v="2014-07-01T00:00:00"/>
        <d v="2014-07-07T00:00:00"/>
        <d v="2014-07-10T00:00:00"/>
        <d v="2014-07-11T00:00:00"/>
        <d v="2014-07-13T00:00:00"/>
        <d v="2014-07-14T00:00:00"/>
        <d v="2014-07-15T00:00:00"/>
        <d v="2014-07-17T00:00:00"/>
        <d v="2014-07-19T00:00:00"/>
        <d v="2014-07-21T00:00:00"/>
        <d v="2014-07-25T00:00:00"/>
        <d v="2014-07-31T00:00:00"/>
        <d v="2014-08-06T00:00:00"/>
        <d v="2014-08-09T00:00:00"/>
        <d v="2014-08-12T00:00:00"/>
        <d v="2014-08-14T00:00:00"/>
        <d v="2014-08-18T00:00:00"/>
        <d v="2014-08-24T00:00:00"/>
        <d v="2014-08-25T00:00:00"/>
        <d v="2014-08-26T00:00:00"/>
        <d v="2014-08-27T00:00:00"/>
        <d v="2014-08-30T00:00:00"/>
        <d v="2014-09-03T00:00:00"/>
        <d v="2014-09-04T00:00:00"/>
        <d v="2014-09-05T00:00:00"/>
        <d v="2014-09-07T00:00:00"/>
        <d v="2014-09-08T00:00:00"/>
        <d v="2014-09-11T00:00:00"/>
        <d v="2014-09-15T00:00:00"/>
        <d v="2014-09-16T00:00:00"/>
        <d v="2014-09-17T00:00:00"/>
        <d v="2014-09-18T00:00:00"/>
        <d v="2014-09-19T00:00:00"/>
        <d v="2014-09-20T00:00:00"/>
        <d v="2014-09-22T00:00:00"/>
        <d v="2014-09-23T00:00:00"/>
        <d v="2014-09-24T00:00:00"/>
        <d v="2014-09-26T00:00:00"/>
        <d v="2014-09-28T00:00:00"/>
        <d v="2014-09-29T00:00:00"/>
        <d v="2014-09-30T00:00:00"/>
        <d v="2014-10-01T00:00:00"/>
        <d v="2014-10-02T00:00:00"/>
        <d v="2014-10-03T00:00:00"/>
        <d v="2014-10-05T00:00:00"/>
        <d v="2014-10-06T00:00:00"/>
        <d v="2014-10-10T00:00:00"/>
        <d v="2014-10-11T00:00:00"/>
        <d v="2014-10-13T00:00:00"/>
        <d v="2014-10-14T00:00:00"/>
        <d v="2014-10-15T00:00:00"/>
        <d v="2014-10-16T00:00:00"/>
        <d v="2014-10-17T00:00:00"/>
        <d v="2014-10-18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1-03T00:00:00"/>
        <d v="2014-11-04T00:00:00"/>
        <d v="2014-11-06T00:00:00"/>
        <d v="2014-11-07T00:00:00"/>
        <d v="2014-11-10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7T00:00:00"/>
        <d v="2014-11-28T00:00:00"/>
        <d v="2014-11-29T00:00:00"/>
        <d v="2014-12-01T00:00:00"/>
        <d v="2014-12-02T00:00:00"/>
        <d v="2014-12-03T00:00:00"/>
        <d v="2014-12-04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8T00:00:00"/>
        <d v="2014-12-29T00:00:00"/>
      </sharedItems>
      <fieldGroup par="10"/>
    </cacheField>
    <cacheField name="data_wyjazdu" numFmtId="14">
      <sharedItems containsSemiMixedTypes="0" containsNonDate="0" containsDate="1" containsString="0" minDate="2014-01-06T00:00:00" maxDate="2015-01-25T00:00:00"/>
    </cacheField>
    <cacheField name="energia" numFmtId="44">
      <sharedItems containsSemiMixedTypes="0" containsString="0" containsNumber="1" minValue="2.0099999999999998" maxValue="39.35"/>
    </cacheField>
    <cacheField name="woda" numFmtId="44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/>
    </cacheField>
    <cacheField name="czas wynajecia domku" numFmtId="0">
      <sharedItems containsSemiMixedTypes="0" containsString="0" containsNumber="1" containsInteger="1" minValue="2" maxValue="28"/>
    </cacheField>
    <cacheField name="suma energia i woda" numFmtId="44">
      <sharedItems containsSemiMixedTypes="0" containsString="0" containsNumber="1" minValue="2.0599999999999996" maxValue="40.39"/>
    </cacheField>
    <cacheField name="czynsz" numFmtId="44">
      <sharedItems containsSemiMixedTypes="0" containsString="0" containsNumber="1" containsInteger="1" minValue="40" maxValue="1680"/>
    </cacheField>
    <cacheField name="ogólne koszty" numFmtId="44">
      <sharedItems containsSemiMixedTypes="0" containsString="0" containsNumber="1" minValue="42.79" maxValue="1694.37"/>
    </cacheField>
    <cacheField name="Dni (data_przyjazdu)" numFmtId="0" databaseField="0">
      <fieldGroup base="0">
        <rangePr groupBy="days" startDate="2014-01-02T00:00:00" endDate="2014-12-30T00:00:00"/>
        <groupItems count="368">
          <s v="&lt;02.01.2014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30.12.2014"/>
        </groupItems>
      </fieldGroup>
    </cacheField>
    <cacheField name="Miesiące (data_przyjazdu)" numFmtId="0" databaseField="0">
      <fieldGroup base="0">
        <rangePr groupBy="months" startDate="2014-01-02T00:00:00" endDate="2014-12-30T00:00:00"/>
        <groupItems count="14">
          <s v="&lt;02.01.2014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0.12.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14-01-02T00:00:00"/>
    <x v="0"/>
    <n v="39.35"/>
    <n v="1.04"/>
    <x v="0"/>
  </r>
  <r>
    <d v="2014-01-02T00:00:00"/>
    <x v="1"/>
    <n v="3.79"/>
    <n v="0.1"/>
    <x v="1"/>
  </r>
  <r>
    <d v="2014-01-02T00:00:00"/>
    <x v="2"/>
    <n v="3.88"/>
    <n v="0.1"/>
    <x v="1"/>
  </r>
  <r>
    <d v="2014-01-02T00:00:00"/>
    <x v="3"/>
    <n v="6.43"/>
    <n v="0.17"/>
    <x v="0"/>
  </r>
  <r>
    <d v="2014-01-02T00:00:00"/>
    <x v="4"/>
    <n v="8.39"/>
    <n v="0.22"/>
    <x v="2"/>
  </r>
  <r>
    <d v="2014-01-02T00:00:00"/>
    <x v="5"/>
    <n v="11.42"/>
    <n v="0.3"/>
    <x v="2"/>
  </r>
  <r>
    <d v="2014-01-03T00:00:00"/>
    <x v="6"/>
    <n v="5.64"/>
    <n v="0.15"/>
    <x v="0"/>
  </r>
  <r>
    <d v="2014-01-03T00:00:00"/>
    <x v="7"/>
    <n v="10.59"/>
    <n v="0.28000000000000003"/>
    <x v="0"/>
  </r>
  <r>
    <d v="2014-01-03T00:00:00"/>
    <x v="5"/>
    <n v="4.25"/>
    <n v="0.11"/>
    <x v="2"/>
  </r>
  <r>
    <d v="2014-01-03T00:00:00"/>
    <x v="8"/>
    <n v="5.64"/>
    <n v="0.15"/>
    <x v="3"/>
  </r>
  <r>
    <d v="2014-01-03T00:00:00"/>
    <x v="5"/>
    <n v="5.78"/>
    <n v="0.15"/>
    <x v="0"/>
  </r>
  <r>
    <d v="2014-01-03T00:00:00"/>
    <x v="5"/>
    <n v="2.29"/>
    <n v="0.06"/>
    <x v="3"/>
  </r>
  <r>
    <d v="2014-01-03T00:00:00"/>
    <x v="9"/>
    <n v="5.23"/>
    <n v="0.14000000000000001"/>
    <x v="2"/>
  </r>
  <r>
    <d v="2014-01-03T00:00:00"/>
    <x v="10"/>
    <n v="5.67"/>
    <n v="0.15"/>
    <x v="2"/>
  </r>
  <r>
    <d v="2014-01-04T00:00:00"/>
    <x v="10"/>
    <n v="5.64"/>
    <n v="0.15"/>
    <x v="2"/>
  </r>
  <r>
    <d v="2014-01-04T00:00:00"/>
    <x v="0"/>
    <n v="4.25"/>
    <n v="0.11"/>
    <x v="3"/>
  </r>
  <r>
    <d v="2014-01-04T00:00:00"/>
    <x v="8"/>
    <n v="6.58"/>
    <n v="0.17"/>
    <x v="1"/>
  </r>
  <r>
    <d v="2014-01-05T00:00:00"/>
    <x v="3"/>
    <n v="6.43"/>
    <n v="0.17"/>
    <x v="4"/>
  </r>
  <r>
    <d v="2014-01-05T00:00:00"/>
    <x v="1"/>
    <n v="5.67"/>
    <n v="0.15"/>
    <x v="0"/>
  </r>
  <r>
    <d v="2014-01-06T00:00:00"/>
    <x v="11"/>
    <n v="4.66"/>
    <n v="0.12"/>
    <x v="2"/>
  </r>
  <r>
    <d v="2014-01-07T00:00:00"/>
    <x v="12"/>
    <n v="2.0099999999999998"/>
    <n v="0.05"/>
    <x v="3"/>
  </r>
  <r>
    <d v="2014-01-07T00:00:00"/>
    <x v="6"/>
    <n v="3.57"/>
    <n v="0.09"/>
    <x v="4"/>
  </r>
  <r>
    <d v="2014-01-07T00:00:00"/>
    <x v="10"/>
    <n v="2.29"/>
    <n v="0.06"/>
    <x v="0"/>
  </r>
  <r>
    <d v="2014-01-07T00:00:00"/>
    <x v="10"/>
    <n v="2.72"/>
    <n v="7.0000000000000007E-2"/>
    <x v="3"/>
  </r>
  <r>
    <d v="2014-01-07T00:00:00"/>
    <x v="13"/>
    <n v="3.73"/>
    <n v="0.1"/>
    <x v="4"/>
  </r>
  <r>
    <d v="2014-01-08T00:00:00"/>
    <x v="9"/>
    <n v="6.58"/>
    <n v="0.17"/>
    <x v="4"/>
  </r>
  <r>
    <d v="2014-01-08T00:00:00"/>
    <x v="14"/>
    <n v="6.58"/>
    <n v="0.17"/>
    <x v="2"/>
  </r>
  <r>
    <d v="2014-01-08T00:00:00"/>
    <x v="15"/>
    <n v="5.67"/>
    <n v="0.15"/>
    <x v="0"/>
  </r>
  <r>
    <d v="2014-01-09T00:00:00"/>
    <x v="16"/>
    <n v="9.1300000000000008"/>
    <n v="0.24"/>
    <x v="2"/>
  </r>
  <r>
    <d v="2014-01-09T00:00:00"/>
    <x v="15"/>
    <n v="14.31"/>
    <n v="0.38"/>
    <x v="1"/>
  </r>
  <r>
    <d v="2014-01-09T00:00:00"/>
    <x v="17"/>
    <n v="3.79"/>
    <n v="0.1"/>
    <x v="0"/>
  </r>
  <r>
    <d v="2014-01-09T00:00:00"/>
    <x v="4"/>
    <n v="6.23"/>
    <n v="0.16"/>
    <x v="0"/>
  </r>
  <r>
    <d v="2014-01-10T00:00:00"/>
    <x v="18"/>
    <n v="3.57"/>
    <n v="0.09"/>
    <x v="1"/>
  </r>
  <r>
    <d v="2014-01-10T00:00:00"/>
    <x v="19"/>
    <n v="5.67"/>
    <n v="0.15"/>
    <x v="1"/>
  </r>
  <r>
    <d v="2014-01-10T00:00:00"/>
    <x v="20"/>
    <n v="8.7200000000000006"/>
    <n v="0.23"/>
    <x v="0"/>
  </r>
  <r>
    <d v="2014-01-10T00:00:00"/>
    <x v="11"/>
    <n v="4.66"/>
    <n v="0.12"/>
    <x v="4"/>
  </r>
  <r>
    <d v="2014-01-12T00:00:00"/>
    <x v="18"/>
    <n v="5.67"/>
    <n v="0.15"/>
    <x v="4"/>
  </r>
  <r>
    <d v="2014-01-13T00:00:00"/>
    <x v="11"/>
    <n v="7.06"/>
    <n v="0.19"/>
    <x v="2"/>
  </r>
  <r>
    <d v="2014-01-13T00:00:00"/>
    <x v="3"/>
    <n v="5.67"/>
    <n v="0.15"/>
    <x v="0"/>
  </r>
  <r>
    <d v="2014-01-13T00:00:00"/>
    <x v="21"/>
    <n v="6.34"/>
    <n v="0.17"/>
    <x v="4"/>
  </r>
  <r>
    <d v="2014-01-13T00:00:00"/>
    <x v="22"/>
    <n v="7.31"/>
    <n v="0.19"/>
    <x v="4"/>
  </r>
  <r>
    <d v="2014-01-13T00:00:00"/>
    <x v="23"/>
    <n v="6.75"/>
    <n v="0.18"/>
    <x v="4"/>
  </r>
  <r>
    <d v="2014-01-13T00:00:00"/>
    <x v="24"/>
    <n v="3.57"/>
    <n v="0.09"/>
    <x v="2"/>
  </r>
  <r>
    <d v="2014-01-14T00:00:00"/>
    <x v="14"/>
    <n v="8.5399999999999991"/>
    <n v="0.22"/>
    <x v="2"/>
  </r>
  <r>
    <d v="2014-01-14T00:00:00"/>
    <x v="25"/>
    <n v="8.9499999999999993"/>
    <n v="0.24"/>
    <x v="3"/>
  </r>
  <r>
    <d v="2014-01-14T00:00:00"/>
    <x v="26"/>
    <n v="6.34"/>
    <n v="0.17"/>
    <x v="1"/>
  </r>
  <r>
    <d v="2014-01-14T00:00:00"/>
    <x v="27"/>
    <n v="12.23"/>
    <n v="0.32"/>
    <x v="4"/>
  </r>
  <r>
    <d v="2014-01-14T00:00:00"/>
    <x v="23"/>
    <n v="8.7200000000000006"/>
    <n v="0.23"/>
    <x v="0"/>
  </r>
  <r>
    <d v="2014-01-14T00:00:00"/>
    <x v="21"/>
    <n v="16.55"/>
    <n v="0.44"/>
    <x v="1"/>
  </r>
  <r>
    <d v="2014-01-14T00:00:00"/>
    <x v="22"/>
    <n v="7.55"/>
    <n v="0.2"/>
    <x v="2"/>
  </r>
  <r>
    <d v="2014-01-14T00:00:00"/>
    <x v="23"/>
    <n v="5.78"/>
    <n v="0.15"/>
    <x v="2"/>
  </r>
  <r>
    <d v="2014-01-14T00:00:00"/>
    <x v="15"/>
    <n v="8.83"/>
    <n v="0.23"/>
    <x v="4"/>
  </r>
  <r>
    <d v="2014-01-14T00:00:00"/>
    <x v="25"/>
    <n v="8.89"/>
    <n v="0.23"/>
    <x v="3"/>
  </r>
  <r>
    <d v="2014-01-14T00:00:00"/>
    <x v="28"/>
    <n v="2.72"/>
    <n v="7.0000000000000007E-2"/>
    <x v="1"/>
  </r>
  <r>
    <d v="2014-01-14T00:00:00"/>
    <x v="17"/>
    <n v="11.42"/>
    <n v="0.3"/>
    <x v="2"/>
  </r>
  <r>
    <d v="2014-01-14T00:00:00"/>
    <x v="17"/>
    <n v="5.23"/>
    <n v="0.14000000000000001"/>
    <x v="2"/>
  </r>
  <r>
    <d v="2014-01-14T00:00:00"/>
    <x v="28"/>
    <n v="6.58"/>
    <n v="0.17"/>
    <x v="3"/>
  </r>
  <r>
    <d v="2014-01-14T00:00:00"/>
    <x v="29"/>
    <n v="9.74"/>
    <n v="0.26"/>
    <x v="3"/>
  </r>
  <r>
    <d v="2014-01-14T00:00:00"/>
    <x v="18"/>
    <n v="6.75"/>
    <n v="0.18"/>
    <x v="1"/>
  </r>
  <r>
    <d v="2014-01-14T00:00:00"/>
    <x v="21"/>
    <n v="16.829999999999998"/>
    <n v="0.44"/>
    <x v="3"/>
  </r>
  <r>
    <d v="2014-01-14T00:00:00"/>
    <x v="30"/>
    <n v="10.79"/>
    <n v="0.28000000000000003"/>
    <x v="4"/>
  </r>
  <r>
    <d v="2014-01-14T00:00:00"/>
    <x v="5"/>
    <n v="10.19"/>
    <n v="0.27"/>
    <x v="0"/>
  </r>
  <r>
    <d v="2014-01-14T00:00:00"/>
    <x v="31"/>
    <n v="10.93"/>
    <n v="0.28999999999999998"/>
    <x v="1"/>
  </r>
  <r>
    <d v="2014-01-15T00:00:00"/>
    <x v="3"/>
    <n v="9.74"/>
    <n v="0.26"/>
    <x v="0"/>
  </r>
  <r>
    <d v="2014-01-15T00:00:00"/>
    <x v="5"/>
    <n v="14.31"/>
    <n v="0.38"/>
    <x v="1"/>
  </r>
  <r>
    <d v="2014-01-15T00:00:00"/>
    <x v="12"/>
    <n v="7.35"/>
    <n v="0.19"/>
    <x v="3"/>
  </r>
  <r>
    <d v="2014-01-15T00:00:00"/>
    <x v="6"/>
    <n v="9.74"/>
    <n v="0.26"/>
    <x v="0"/>
  </r>
  <r>
    <d v="2014-01-15T00:00:00"/>
    <x v="4"/>
    <n v="14.13"/>
    <n v="0.37"/>
    <x v="2"/>
  </r>
  <r>
    <d v="2014-01-15T00:00:00"/>
    <x v="15"/>
    <n v="12.01"/>
    <n v="0.32"/>
    <x v="4"/>
  </r>
  <r>
    <d v="2014-01-15T00:00:00"/>
    <x v="5"/>
    <n v="13.07"/>
    <n v="0.34"/>
    <x v="1"/>
  </r>
  <r>
    <d v="2014-01-15T00:00:00"/>
    <x v="18"/>
    <n v="14"/>
    <n v="0.37"/>
    <x v="0"/>
  </r>
  <r>
    <d v="2014-01-15T00:00:00"/>
    <x v="21"/>
    <n v="13.02"/>
    <n v="0.34"/>
    <x v="2"/>
  </r>
  <r>
    <d v="2014-01-15T00:00:00"/>
    <x v="15"/>
    <n v="6.75"/>
    <n v="0.18"/>
    <x v="0"/>
  </r>
  <r>
    <d v="2014-01-15T00:00:00"/>
    <x v="6"/>
    <n v="3.88"/>
    <n v="0.1"/>
    <x v="2"/>
  </r>
  <r>
    <d v="2014-01-15T00:00:00"/>
    <x v="28"/>
    <n v="4.66"/>
    <n v="0.12"/>
    <x v="1"/>
  </r>
  <r>
    <d v="2014-01-15T00:00:00"/>
    <x v="3"/>
    <n v="2.29"/>
    <n v="0.06"/>
    <x v="3"/>
  </r>
  <r>
    <d v="2014-01-15T00:00:00"/>
    <x v="9"/>
    <n v="7.31"/>
    <n v="0.19"/>
    <x v="1"/>
  </r>
  <r>
    <d v="2014-01-15T00:00:00"/>
    <x v="32"/>
    <n v="6.23"/>
    <n v="0.16"/>
    <x v="1"/>
  </r>
  <r>
    <d v="2014-01-15T00:00:00"/>
    <x v="12"/>
    <n v="3.88"/>
    <n v="0.1"/>
    <x v="2"/>
  </r>
  <r>
    <d v="2014-01-15T00:00:00"/>
    <x v="1"/>
    <n v="8.51"/>
    <n v="0.22"/>
    <x v="2"/>
  </r>
  <r>
    <d v="2014-01-15T00:00:00"/>
    <x v="28"/>
    <n v="8.51"/>
    <n v="0.22"/>
    <x v="3"/>
  </r>
  <r>
    <d v="2014-01-15T00:00:00"/>
    <x v="30"/>
    <n v="9.1300000000000008"/>
    <n v="0.24"/>
    <x v="2"/>
  </r>
  <r>
    <d v="2014-01-15T00:00:00"/>
    <x v="15"/>
    <n v="3.88"/>
    <n v="0.1"/>
    <x v="2"/>
  </r>
  <r>
    <d v="2014-01-15T00:00:00"/>
    <x v="17"/>
    <n v="11.42"/>
    <n v="0.3"/>
    <x v="2"/>
  </r>
  <r>
    <d v="2014-01-15T00:00:00"/>
    <x v="3"/>
    <n v="16.829999999999998"/>
    <n v="0.44"/>
    <x v="3"/>
  </r>
  <r>
    <d v="2014-01-17T00:00:00"/>
    <x v="16"/>
    <n v="5.67"/>
    <n v="0.15"/>
    <x v="2"/>
  </r>
  <r>
    <d v="2014-01-17T00:00:00"/>
    <x v="20"/>
    <n v="5.67"/>
    <n v="0.15"/>
    <x v="4"/>
  </r>
  <r>
    <d v="2014-01-17T00:00:00"/>
    <x v="4"/>
    <n v="2.0099999999999998"/>
    <n v="0.05"/>
    <x v="0"/>
  </r>
  <r>
    <d v="2014-01-17T00:00:00"/>
    <x v="31"/>
    <n v="2.0099999999999998"/>
    <n v="0.05"/>
    <x v="0"/>
  </r>
  <r>
    <d v="2014-01-18T00:00:00"/>
    <x v="5"/>
    <n v="6.43"/>
    <n v="0.17"/>
    <x v="0"/>
  </r>
  <r>
    <d v="2014-01-18T00:00:00"/>
    <x v="4"/>
    <n v="3.88"/>
    <n v="0.1"/>
    <x v="0"/>
  </r>
  <r>
    <d v="2014-01-18T00:00:00"/>
    <x v="3"/>
    <n v="8.7200000000000006"/>
    <n v="0.23"/>
    <x v="3"/>
  </r>
  <r>
    <d v="2014-01-19T00:00:00"/>
    <x v="33"/>
    <n v="6.58"/>
    <n v="0.17"/>
    <x v="0"/>
  </r>
  <r>
    <d v="2014-01-19T00:00:00"/>
    <x v="33"/>
    <n v="6.43"/>
    <n v="0.17"/>
    <x v="2"/>
  </r>
  <r>
    <d v="2014-01-21T00:00:00"/>
    <x v="30"/>
    <n v="11.44"/>
    <n v="0.3"/>
    <x v="4"/>
  </r>
  <r>
    <d v="2014-01-21T00:00:00"/>
    <x v="20"/>
    <n v="10.59"/>
    <n v="0.28000000000000003"/>
    <x v="3"/>
  </r>
  <r>
    <d v="2014-01-21T00:00:00"/>
    <x v="34"/>
    <n v="11.44"/>
    <n v="0.3"/>
    <x v="1"/>
  </r>
  <r>
    <d v="2014-01-21T00:00:00"/>
    <x v="35"/>
    <n v="10.199999999999999"/>
    <n v="0.27"/>
    <x v="1"/>
  </r>
  <r>
    <d v="2014-01-21T00:00:00"/>
    <x v="36"/>
    <n v="19.54"/>
    <n v="0.51"/>
    <x v="0"/>
  </r>
  <r>
    <d v="2014-01-21T00:00:00"/>
    <x v="16"/>
    <n v="10.93"/>
    <n v="0.28999999999999998"/>
    <x v="3"/>
  </r>
  <r>
    <d v="2014-01-22T00:00:00"/>
    <x v="23"/>
    <n v="6.43"/>
    <n v="0.17"/>
    <x v="0"/>
  </r>
  <r>
    <d v="2014-01-22T00:00:00"/>
    <x v="37"/>
    <n v="5.67"/>
    <n v="0.15"/>
    <x v="3"/>
  </r>
  <r>
    <d v="2014-01-22T00:00:00"/>
    <x v="32"/>
    <n v="14.13"/>
    <n v="0.37"/>
    <x v="0"/>
  </r>
  <r>
    <d v="2014-01-22T00:00:00"/>
    <x v="38"/>
    <n v="5.47"/>
    <n v="0.14000000000000001"/>
    <x v="4"/>
  </r>
  <r>
    <d v="2014-01-23T00:00:00"/>
    <x v="35"/>
    <n v="8.39"/>
    <n v="0.22"/>
    <x v="2"/>
  </r>
  <r>
    <d v="2014-01-23T00:00:00"/>
    <x v="39"/>
    <n v="3.79"/>
    <n v="0.1"/>
    <x v="4"/>
  </r>
  <r>
    <d v="2014-01-23T00:00:00"/>
    <x v="14"/>
    <n v="6.23"/>
    <n v="0.16"/>
    <x v="1"/>
  </r>
  <r>
    <d v="2014-01-24T00:00:00"/>
    <x v="17"/>
    <n v="6.34"/>
    <n v="0.17"/>
    <x v="1"/>
  </r>
  <r>
    <d v="2014-01-24T00:00:00"/>
    <x v="36"/>
    <n v="3.57"/>
    <n v="0.09"/>
    <x v="1"/>
  </r>
  <r>
    <d v="2014-01-25T00:00:00"/>
    <x v="37"/>
    <n v="4.66"/>
    <n v="0.12"/>
    <x v="3"/>
  </r>
  <r>
    <d v="2014-01-26T00:00:00"/>
    <x v="40"/>
    <n v="13.07"/>
    <n v="0.34"/>
    <x v="4"/>
  </r>
  <r>
    <d v="2014-01-26T00:00:00"/>
    <x v="41"/>
    <n v="13.81"/>
    <n v="0.36"/>
    <x v="0"/>
  </r>
  <r>
    <d v="2014-01-26T00:00:00"/>
    <x v="42"/>
    <n v="11.69"/>
    <n v="0.31"/>
    <x v="2"/>
  </r>
  <r>
    <d v="2014-01-26T00:00:00"/>
    <x v="43"/>
    <n v="8.84"/>
    <n v="0.23"/>
    <x v="3"/>
  </r>
  <r>
    <d v="2014-01-26T00:00:00"/>
    <x v="44"/>
    <n v="16.940000000000001"/>
    <n v="0.45"/>
    <x v="0"/>
  </r>
  <r>
    <d v="2014-01-26T00:00:00"/>
    <x v="5"/>
    <n v="13.82"/>
    <n v="0.36"/>
    <x v="3"/>
  </r>
  <r>
    <d v="2014-01-26T00:00:00"/>
    <x v="38"/>
    <n v="9.4600000000000009"/>
    <n v="0.25"/>
    <x v="1"/>
  </r>
  <r>
    <d v="2014-01-26T00:00:00"/>
    <x v="36"/>
    <n v="8.89"/>
    <n v="0.23"/>
    <x v="1"/>
  </r>
  <r>
    <d v="2014-01-26T00:00:00"/>
    <x v="42"/>
    <n v="5.57"/>
    <n v="0.15"/>
    <x v="3"/>
  </r>
  <r>
    <d v="2014-01-26T00:00:00"/>
    <x v="5"/>
    <n v="7.35"/>
    <n v="0.19"/>
    <x v="2"/>
  </r>
  <r>
    <d v="2014-01-26T00:00:00"/>
    <x v="37"/>
    <n v="12.23"/>
    <n v="0.32"/>
    <x v="3"/>
  </r>
  <r>
    <d v="2014-01-26T00:00:00"/>
    <x v="44"/>
    <n v="5.23"/>
    <n v="0.14000000000000001"/>
    <x v="1"/>
  </r>
  <r>
    <d v="2014-01-27T00:00:00"/>
    <x v="32"/>
    <n v="6.43"/>
    <n v="0.17"/>
    <x v="3"/>
  </r>
  <r>
    <d v="2014-01-27T00:00:00"/>
    <x v="23"/>
    <n v="11.44"/>
    <n v="0.3"/>
    <x v="0"/>
  </r>
  <r>
    <d v="2014-01-27T00:00:00"/>
    <x v="42"/>
    <n v="8.7200000000000006"/>
    <n v="0.23"/>
    <x v="0"/>
  </r>
  <r>
    <d v="2014-01-27T00:00:00"/>
    <x v="33"/>
    <n v="10.199999999999999"/>
    <n v="0.27"/>
    <x v="3"/>
  </r>
  <r>
    <d v="2014-01-27T00:00:00"/>
    <x v="23"/>
    <n v="10.199999999999999"/>
    <n v="0.27"/>
    <x v="2"/>
  </r>
  <r>
    <d v="2014-01-28T00:00:00"/>
    <x v="45"/>
    <n v="4.66"/>
    <n v="0.12"/>
    <x v="4"/>
  </r>
  <r>
    <d v="2014-01-28T00:00:00"/>
    <x v="17"/>
    <n v="11.69"/>
    <n v="0.31"/>
    <x v="1"/>
  </r>
  <r>
    <d v="2014-01-28T00:00:00"/>
    <x v="42"/>
    <n v="6.88"/>
    <n v="0.18"/>
    <x v="4"/>
  </r>
  <r>
    <d v="2014-02-02T00:00:00"/>
    <x v="43"/>
    <n v="9.74"/>
    <n v="0.26"/>
    <x v="2"/>
  </r>
  <r>
    <d v="2014-02-02T00:00:00"/>
    <x v="37"/>
    <n v="9.06"/>
    <n v="0.24"/>
    <x v="2"/>
  </r>
  <r>
    <d v="2014-02-02T00:00:00"/>
    <x v="46"/>
    <n v="14"/>
    <n v="0.37"/>
    <x v="2"/>
  </r>
  <r>
    <d v="2014-02-03T00:00:00"/>
    <x v="47"/>
    <n v="10.59"/>
    <n v="0.28000000000000003"/>
    <x v="4"/>
  </r>
  <r>
    <d v="2014-02-03T00:00:00"/>
    <x v="30"/>
    <n v="3.94"/>
    <n v="0.1"/>
    <x v="1"/>
  </r>
  <r>
    <d v="2014-02-03T00:00:00"/>
    <x v="44"/>
    <n v="4.66"/>
    <n v="0.12"/>
    <x v="4"/>
  </r>
  <r>
    <d v="2014-02-03T00:00:00"/>
    <x v="48"/>
    <n v="10.199999999999999"/>
    <n v="0.27"/>
    <x v="1"/>
  </r>
  <r>
    <d v="2014-02-07T00:00:00"/>
    <x v="32"/>
    <n v="12.23"/>
    <n v="0.32"/>
    <x v="0"/>
  </r>
  <r>
    <d v="2014-02-07T00:00:00"/>
    <x v="49"/>
    <n v="10.19"/>
    <n v="0.27"/>
    <x v="4"/>
  </r>
  <r>
    <d v="2014-02-07T00:00:00"/>
    <x v="48"/>
    <n v="12.01"/>
    <n v="0.32"/>
    <x v="1"/>
  </r>
  <r>
    <d v="2014-02-07T00:00:00"/>
    <x v="37"/>
    <n v="11.44"/>
    <n v="0.3"/>
    <x v="4"/>
  </r>
  <r>
    <d v="2014-02-07T00:00:00"/>
    <x v="50"/>
    <n v="6.23"/>
    <n v="0.16"/>
    <x v="4"/>
  </r>
  <r>
    <d v="2014-02-07T00:00:00"/>
    <x v="35"/>
    <n v="12.01"/>
    <n v="0.32"/>
    <x v="0"/>
  </r>
  <r>
    <d v="2014-02-07T00:00:00"/>
    <x v="37"/>
    <n v="12.23"/>
    <n v="0.32"/>
    <x v="0"/>
  </r>
  <r>
    <d v="2014-02-07T00:00:00"/>
    <x v="51"/>
    <n v="12.01"/>
    <n v="0.32"/>
    <x v="0"/>
  </r>
  <r>
    <d v="2014-02-07T00:00:00"/>
    <x v="40"/>
    <n v="5.67"/>
    <n v="0.15"/>
    <x v="3"/>
  </r>
  <r>
    <d v="2014-02-07T00:00:00"/>
    <x v="52"/>
    <n v="6.88"/>
    <n v="0.18"/>
    <x v="0"/>
  </r>
  <r>
    <d v="2014-02-07T00:00:00"/>
    <x v="53"/>
    <n v="2.72"/>
    <n v="7.0000000000000007E-2"/>
    <x v="1"/>
  </r>
  <r>
    <d v="2014-02-07T00:00:00"/>
    <x v="35"/>
    <n v="9.74"/>
    <n v="0.26"/>
    <x v="1"/>
  </r>
  <r>
    <d v="2014-02-07T00:00:00"/>
    <x v="41"/>
    <n v="7.31"/>
    <n v="0.19"/>
    <x v="4"/>
  </r>
  <r>
    <d v="2014-02-07T00:00:00"/>
    <x v="54"/>
    <n v="8.84"/>
    <n v="0.23"/>
    <x v="1"/>
  </r>
  <r>
    <d v="2014-02-07T00:00:00"/>
    <x v="44"/>
    <n v="13.07"/>
    <n v="0.34"/>
    <x v="2"/>
  </r>
  <r>
    <d v="2014-02-07T00:00:00"/>
    <x v="44"/>
    <n v="11.42"/>
    <n v="0.3"/>
    <x v="1"/>
  </r>
  <r>
    <d v="2014-02-07T00:00:00"/>
    <x v="54"/>
    <n v="3.79"/>
    <n v="0.1"/>
    <x v="4"/>
  </r>
  <r>
    <d v="2014-02-07T00:00:00"/>
    <x v="32"/>
    <n v="11.42"/>
    <n v="0.3"/>
    <x v="1"/>
  </r>
  <r>
    <d v="2014-02-07T00:00:00"/>
    <x v="24"/>
    <n v="8.83"/>
    <n v="0.23"/>
    <x v="3"/>
  </r>
  <r>
    <d v="2014-02-07T00:00:00"/>
    <x v="44"/>
    <n v="8.51"/>
    <n v="0.22"/>
    <x v="0"/>
  </r>
  <r>
    <d v="2014-02-07T00:00:00"/>
    <x v="46"/>
    <n v="7.3"/>
    <n v="0.19"/>
    <x v="0"/>
  </r>
  <r>
    <d v="2014-02-10T00:00:00"/>
    <x v="40"/>
    <n v="5.67"/>
    <n v="0.15"/>
    <x v="3"/>
  </r>
  <r>
    <d v="2014-02-10T00:00:00"/>
    <x v="44"/>
    <n v="6.58"/>
    <n v="0.17"/>
    <x v="4"/>
  </r>
  <r>
    <d v="2014-02-10T00:00:00"/>
    <x v="55"/>
    <n v="4.25"/>
    <n v="0.11"/>
    <x v="4"/>
  </r>
  <r>
    <d v="2014-02-12T00:00:00"/>
    <x v="46"/>
    <n v="6.58"/>
    <n v="0.17"/>
    <x v="1"/>
  </r>
  <r>
    <d v="2014-02-14T00:00:00"/>
    <x v="54"/>
    <n v="5.78"/>
    <n v="0.15"/>
    <x v="2"/>
  </r>
  <r>
    <d v="2014-02-14T00:00:00"/>
    <x v="45"/>
    <n v="10.199999999999999"/>
    <n v="0.27"/>
    <x v="0"/>
  </r>
  <r>
    <d v="2014-02-14T00:00:00"/>
    <x v="40"/>
    <n v="2.72"/>
    <n v="7.0000000000000007E-2"/>
    <x v="1"/>
  </r>
  <r>
    <d v="2014-02-14T00:00:00"/>
    <x v="56"/>
    <n v="11.44"/>
    <n v="0.3"/>
    <x v="1"/>
  </r>
  <r>
    <d v="2014-02-14T00:00:00"/>
    <x v="57"/>
    <n v="13.07"/>
    <n v="0.34"/>
    <x v="1"/>
  </r>
  <r>
    <d v="2014-02-14T00:00:00"/>
    <x v="57"/>
    <n v="7.35"/>
    <n v="0.19"/>
    <x v="3"/>
  </r>
  <r>
    <d v="2014-02-15T00:00:00"/>
    <x v="57"/>
    <n v="6.88"/>
    <n v="0.18"/>
    <x v="4"/>
  </r>
  <r>
    <d v="2014-02-15T00:00:00"/>
    <x v="58"/>
    <n v="9.06"/>
    <n v="0.24"/>
    <x v="2"/>
  </r>
  <r>
    <d v="2014-02-19T00:00:00"/>
    <x v="58"/>
    <n v="16.55"/>
    <n v="0.44"/>
    <x v="2"/>
  </r>
  <r>
    <d v="2014-02-19T00:00:00"/>
    <x v="58"/>
    <n v="8.83"/>
    <n v="0.23"/>
    <x v="4"/>
  </r>
  <r>
    <d v="2014-02-19T00:00:00"/>
    <x v="59"/>
    <n v="7.31"/>
    <n v="0.19"/>
    <x v="2"/>
  </r>
  <r>
    <d v="2014-02-19T00:00:00"/>
    <x v="60"/>
    <n v="14.31"/>
    <n v="0.38"/>
    <x v="0"/>
  </r>
  <r>
    <d v="2014-02-19T00:00:00"/>
    <x v="41"/>
    <n v="11.42"/>
    <n v="0.3"/>
    <x v="0"/>
  </r>
  <r>
    <d v="2014-02-19T00:00:00"/>
    <x v="50"/>
    <n v="8.5399999999999991"/>
    <n v="0.22"/>
    <x v="4"/>
  </r>
  <r>
    <d v="2014-02-19T00:00:00"/>
    <x v="61"/>
    <n v="5.57"/>
    <n v="0.15"/>
    <x v="3"/>
  </r>
  <r>
    <d v="2014-02-19T00:00:00"/>
    <x v="61"/>
    <n v="7.55"/>
    <n v="0.2"/>
    <x v="3"/>
  </r>
  <r>
    <d v="2014-02-19T00:00:00"/>
    <x v="56"/>
    <n v="10.79"/>
    <n v="0.28000000000000003"/>
    <x v="1"/>
  </r>
  <r>
    <d v="2014-02-19T00:00:00"/>
    <x v="62"/>
    <n v="8.39"/>
    <n v="0.22"/>
    <x v="2"/>
  </r>
  <r>
    <d v="2014-02-19T00:00:00"/>
    <x v="63"/>
    <n v="9.06"/>
    <n v="0.24"/>
    <x v="1"/>
  </r>
  <r>
    <d v="2014-02-19T00:00:00"/>
    <x v="50"/>
    <n v="16.940000000000001"/>
    <n v="0.45"/>
    <x v="4"/>
  </r>
  <r>
    <d v="2014-02-19T00:00:00"/>
    <x v="58"/>
    <n v="11.37"/>
    <n v="0.3"/>
    <x v="3"/>
  </r>
  <r>
    <d v="2014-02-19T00:00:00"/>
    <x v="55"/>
    <n v="4.25"/>
    <n v="0.11"/>
    <x v="0"/>
  </r>
  <r>
    <d v="2014-02-19T00:00:00"/>
    <x v="64"/>
    <n v="11.42"/>
    <n v="0.3"/>
    <x v="3"/>
  </r>
  <r>
    <d v="2014-02-19T00:00:00"/>
    <x v="63"/>
    <n v="3.79"/>
    <n v="0.1"/>
    <x v="4"/>
  </r>
  <r>
    <d v="2014-02-19T00:00:00"/>
    <x v="57"/>
    <n v="10.59"/>
    <n v="0.28000000000000003"/>
    <x v="3"/>
  </r>
  <r>
    <d v="2014-02-19T00:00:00"/>
    <x v="53"/>
    <n v="8.9499999999999993"/>
    <n v="0.24"/>
    <x v="2"/>
  </r>
  <r>
    <d v="2014-02-19T00:00:00"/>
    <x v="45"/>
    <n v="4.66"/>
    <n v="0.12"/>
    <x v="0"/>
  </r>
  <r>
    <d v="2014-02-19T00:00:00"/>
    <x v="56"/>
    <n v="6.88"/>
    <n v="0.18"/>
    <x v="0"/>
  </r>
  <r>
    <d v="2014-02-22T00:00:00"/>
    <x v="62"/>
    <n v="8.7200000000000006"/>
    <n v="0.23"/>
    <x v="3"/>
  </r>
  <r>
    <d v="2014-02-26T00:00:00"/>
    <x v="49"/>
    <n v="12.23"/>
    <n v="0.32"/>
    <x v="2"/>
  </r>
  <r>
    <d v="2014-02-26T00:00:00"/>
    <x v="58"/>
    <n v="10.199999999999999"/>
    <n v="0.27"/>
    <x v="3"/>
  </r>
  <r>
    <d v="2014-02-26T00:00:00"/>
    <x v="65"/>
    <n v="7.06"/>
    <n v="0.19"/>
    <x v="0"/>
  </r>
  <r>
    <d v="2014-02-26T00:00:00"/>
    <x v="66"/>
    <n v="5.64"/>
    <n v="0.15"/>
    <x v="1"/>
  </r>
  <r>
    <d v="2014-02-26T00:00:00"/>
    <x v="67"/>
    <n v="9.06"/>
    <n v="0.24"/>
    <x v="3"/>
  </r>
  <r>
    <d v="2014-02-26T00:00:00"/>
    <x v="61"/>
    <n v="6.23"/>
    <n v="0.16"/>
    <x v="2"/>
  </r>
  <r>
    <d v="2014-02-28T00:00:00"/>
    <x v="67"/>
    <n v="3.57"/>
    <n v="0.09"/>
    <x v="3"/>
  </r>
  <r>
    <d v="2014-03-03T00:00:00"/>
    <x v="68"/>
    <n v="8.89"/>
    <n v="0.23"/>
    <x v="4"/>
  </r>
  <r>
    <d v="2014-03-03T00:00:00"/>
    <x v="69"/>
    <n v="6.34"/>
    <n v="0.17"/>
    <x v="0"/>
  </r>
  <r>
    <d v="2014-03-03T00:00:00"/>
    <x v="61"/>
    <n v="11.69"/>
    <n v="0.31"/>
    <x v="1"/>
  </r>
  <r>
    <d v="2014-03-03T00:00:00"/>
    <x v="57"/>
    <n v="3.79"/>
    <n v="0.1"/>
    <x v="3"/>
  </r>
  <r>
    <d v="2014-03-03T00:00:00"/>
    <x v="69"/>
    <n v="9.1300000000000008"/>
    <n v="0.24"/>
    <x v="2"/>
  </r>
  <r>
    <d v="2014-03-03T00:00:00"/>
    <x v="70"/>
    <n v="5.78"/>
    <n v="0.15"/>
    <x v="1"/>
  </r>
  <r>
    <d v="2014-03-03T00:00:00"/>
    <x v="71"/>
    <n v="7.06"/>
    <n v="0.19"/>
    <x v="1"/>
  </r>
  <r>
    <d v="2014-03-03T00:00:00"/>
    <x v="57"/>
    <n v="7.31"/>
    <n v="0.19"/>
    <x v="3"/>
  </r>
  <r>
    <d v="2014-03-03T00:00:00"/>
    <x v="63"/>
    <n v="8.9499999999999993"/>
    <n v="0.24"/>
    <x v="3"/>
  </r>
  <r>
    <d v="2014-03-03T00:00:00"/>
    <x v="71"/>
    <n v="2.0099999999999998"/>
    <n v="0.05"/>
    <x v="0"/>
  </r>
  <r>
    <d v="2014-03-03T00:00:00"/>
    <x v="53"/>
    <n v="19.54"/>
    <n v="0.51"/>
    <x v="4"/>
  </r>
  <r>
    <d v="2014-03-03T00:00:00"/>
    <x v="72"/>
    <n v="13.02"/>
    <n v="0.34"/>
    <x v="0"/>
  </r>
  <r>
    <d v="2014-03-03T00:00:00"/>
    <x v="73"/>
    <n v="11.69"/>
    <n v="0.31"/>
    <x v="1"/>
  </r>
  <r>
    <d v="2014-03-03T00:00:00"/>
    <x v="74"/>
    <n v="13.02"/>
    <n v="0.34"/>
    <x v="2"/>
  </r>
  <r>
    <d v="2014-03-03T00:00:00"/>
    <x v="75"/>
    <n v="3.57"/>
    <n v="0.09"/>
    <x v="4"/>
  </r>
  <r>
    <d v="2014-03-03T00:00:00"/>
    <x v="58"/>
    <n v="7.06"/>
    <n v="0.19"/>
    <x v="4"/>
  </r>
  <r>
    <d v="2014-03-06T00:00:00"/>
    <x v="61"/>
    <n v="6.34"/>
    <n v="0.17"/>
    <x v="4"/>
  </r>
  <r>
    <d v="2014-03-06T00:00:00"/>
    <x v="72"/>
    <n v="2.72"/>
    <n v="7.0000000000000007E-2"/>
    <x v="2"/>
  </r>
  <r>
    <d v="2014-03-07T00:00:00"/>
    <x v="64"/>
    <n v="3.73"/>
    <n v="0.1"/>
    <x v="0"/>
  </r>
  <r>
    <d v="2014-03-09T00:00:00"/>
    <x v="71"/>
    <n v="10.59"/>
    <n v="0.28000000000000003"/>
    <x v="1"/>
  </r>
  <r>
    <d v="2014-03-10T00:00:00"/>
    <x v="76"/>
    <n v="3.73"/>
    <n v="0.1"/>
    <x v="0"/>
  </r>
  <r>
    <d v="2014-03-10T00:00:00"/>
    <x v="73"/>
    <n v="5.78"/>
    <n v="0.15"/>
    <x v="2"/>
  </r>
  <r>
    <d v="2014-03-10T00:00:00"/>
    <x v="73"/>
    <n v="10.79"/>
    <n v="0.28000000000000003"/>
    <x v="2"/>
  </r>
  <r>
    <d v="2014-03-10T00:00:00"/>
    <x v="69"/>
    <n v="5.47"/>
    <n v="0.14000000000000001"/>
    <x v="3"/>
  </r>
  <r>
    <d v="2014-03-10T00:00:00"/>
    <x v="73"/>
    <n v="5.57"/>
    <n v="0.15"/>
    <x v="2"/>
  </r>
  <r>
    <d v="2014-03-11T00:00:00"/>
    <x v="77"/>
    <n v="4.66"/>
    <n v="0.12"/>
    <x v="0"/>
  </r>
  <r>
    <d v="2014-03-11T00:00:00"/>
    <x v="78"/>
    <n v="8.9499999999999993"/>
    <n v="0.24"/>
    <x v="3"/>
  </r>
  <r>
    <d v="2014-03-12T00:00:00"/>
    <x v="71"/>
    <n v="3.94"/>
    <n v="0.1"/>
    <x v="4"/>
  </r>
  <r>
    <d v="2014-03-15T00:00:00"/>
    <x v="79"/>
    <n v="5.78"/>
    <n v="0.15"/>
    <x v="1"/>
  </r>
  <r>
    <d v="2014-03-15T00:00:00"/>
    <x v="80"/>
    <n v="13.81"/>
    <n v="0.36"/>
    <x v="2"/>
  </r>
  <r>
    <d v="2014-03-15T00:00:00"/>
    <x v="81"/>
    <n v="5.23"/>
    <n v="0.14000000000000001"/>
    <x v="1"/>
  </r>
  <r>
    <d v="2014-03-15T00:00:00"/>
    <x v="82"/>
    <n v="10.93"/>
    <n v="0.28999999999999998"/>
    <x v="1"/>
  </r>
  <r>
    <d v="2014-03-15T00:00:00"/>
    <x v="78"/>
    <n v="8.9499999999999993"/>
    <n v="0.24"/>
    <x v="3"/>
  </r>
  <r>
    <d v="2014-03-15T00:00:00"/>
    <x v="78"/>
    <n v="16.829999999999998"/>
    <n v="0.44"/>
    <x v="4"/>
  </r>
  <r>
    <d v="2014-03-15T00:00:00"/>
    <x v="72"/>
    <n v="14"/>
    <n v="0.37"/>
    <x v="2"/>
  </r>
  <r>
    <d v="2014-03-15T00:00:00"/>
    <x v="80"/>
    <n v="5.23"/>
    <n v="0.14000000000000001"/>
    <x v="1"/>
  </r>
  <r>
    <d v="2014-03-15T00:00:00"/>
    <x v="79"/>
    <n v="16.55"/>
    <n v="0.44"/>
    <x v="1"/>
  </r>
  <r>
    <d v="2014-03-15T00:00:00"/>
    <x v="79"/>
    <n v="12.23"/>
    <n v="0.32"/>
    <x v="4"/>
  </r>
  <r>
    <d v="2014-03-15T00:00:00"/>
    <x v="73"/>
    <n v="8.39"/>
    <n v="0.22"/>
    <x v="2"/>
  </r>
  <r>
    <d v="2014-03-15T00:00:00"/>
    <x v="67"/>
    <n v="5.67"/>
    <n v="0.15"/>
    <x v="0"/>
  </r>
  <r>
    <d v="2014-03-15T00:00:00"/>
    <x v="71"/>
    <n v="14.13"/>
    <n v="0.37"/>
    <x v="3"/>
  </r>
  <r>
    <d v="2014-03-15T00:00:00"/>
    <x v="83"/>
    <n v="11.69"/>
    <n v="0.31"/>
    <x v="3"/>
  </r>
  <r>
    <d v="2014-03-15T00:00:00"/>
    <x v="82"/>
    <n v="16.940000000000001"/>
    <n v="0.45"/>
    <x v="2"/>
  </r>
  <r>
    <d v="2014-03-15T00:00:00"/>
    <x v="76"/>
    <n v="14"/>
    <n v="0.37"/>
    <x v="3"/>
  </r>
  <r>
    <d v="2014-03-17T00:00:00"/>
    <x v="84"/>
    <n v="8.84"/>
    <n v="0.23"/>
    <x v="2"/>
  </r>
  <r>
    <d v="2014-03-17T00:00:00"/>
    <x v="85"/>
    <n v="6.75"/>
    <n v="0.18"/>
    <x v="3"/>
  </r>
  <r>
    <d v="2014-03-17T00:00:00"/>
    <x v="82"/>
    <n v="6.23"/>
    <n v="0.16"/>
    <x v="0"/>
  </r>
  <r>
    <d v="2014-03-17T00:00:00"/>
    <x v="86"/>
    <n v="8.7200000000000006"/>
    <n v="0.23"/>
    <x v="1"/>
  </r>
  <r>
    <d v="2014-03-18T00:00:00"/>
    <x v="71"/>
    <n v="6.34"/>
    <n v="0.17"/>
    <x v="0"/>
  </r>
  <r>
    <d v="2014-03-18T00:00:00"/>
    <x v="85"/>
    <n v="2.29"/>
    <n v="0.06"/>
    <x v="3"/>
  </r>
  <r>
    <d v="2014-03-18T00:00:00"/>
    <x v="85"/>
    <n v="4.25"/>
    <n v="0.11"/>
    <x v="3"/>
  </r>
  <r>
    <d v="2014-03-21T00:00:00"/>
    <x v="87"/>
    <n v="16.55"/>
    <n v="0.44"/>
    <x v="0"/>
  </r>
  <r>
    <d v="2014-03-21T00:00:00"/>
    <x v="88"/>
    <n v="7.55"/>
    <n v="0.2"/>
    <x v="4"/>
  </r>
  <r>
    <d v="2014-03-21T00:00:00"/>
    <x v="78"/>
    <n v="16.55"/>
    <n v="0.44"/>
    <x v="0"/>
  </r>
  <r>
    <d v="2014-03-21T00:00:00"/>
    <x v="81"/>
    <n v="3.79"/>
    <n v="0.1"/>
    <x v="4"/>
  </r>
  <r>
    <d v="2014-03-21T00:00:00"/>
    <x v="89"/>
    <n v="8.51"/>
    <n v="0.22"/>
    <x v="1"/>
  </r>
  <r>
    <d v="2014-03-21T00:00:00"/>
    <x v="79"/>
    <n v="7.71"/>
    <n v="0.2"/>
    <x v="2"/>
  </r>
  <r>
    <d v="2014-03-27T00:00:00"/>
    <x v="87"/>
    <n v="3.79"/>
    <n v="0.1"/>
    <x v="2"/>
  </r>
  <r>
    <d v="2014-03-27T00:00:00"/>
    <x v="90"/>
    <n v="16.55"/>
    <n v="0.44"/>
    <x v="3"/>
  </r>
  <r>
    <d v="2014-03-27T00:00:00"/>
    <x v="82"/>
    <n v="10.19"/>
    <n v="0.27"/>
    <x v="0"/>
  </r>
  <r>
    <d v="2014-03-27T00:00:00"/>
    <x v="78"/>
    <n v="8.39"/>
    <n v="0.22"/>
    <x v="0"/>
  </r>
  <r>
    <d v="2014-03-27T00:00:00"/>
    <x v="91"/>
    <n v="8.89"/>
    <n v="0.23"/>
    <x v="2"/>
  </r>
  <r>
    <d v="2014-03-27T00:00:00"/>
    <x v="92"/>
    <n v="7.35"/>
    <n v="0.19"/>
    <x v="2"/>
  </r>
  <r>
    <d v="2014-04-02T00:00:00"/>
    <x v="93"/>
    <n v="6.88"/>
    <n v="0.18"/>
    <x v="3"/>
  </r>
  <r>
    <d v="2014-04-02T00:00:00"/>
    <x v="93"/>
    <n v="13.02"/>
    <n v="0.34"/>
    <x v="4"/>
  </r>
  <r>
    <d v="2014-04-02T00:00:00"/>
    <x v="94"/>
    <n v="10.59"/>
    <n v="0.28000000000000003"/>
    <x v="4"/>
  </r>
  <r>
    <d v="2014-04-02T00:00:00"/>
    <x v="95"/>
    <n v="16.940000000000001"/>
    <n v="0.45"/>
    <x v="3"/>
  </r>
  <r>
    <d v="2014-04-02T00:00:00"/>
    <x v="92"/>
    <n v="11.44"/>
    <n v="0.3"/>
    <x v="3"/>
  </r>
  <r>
    <d v="2014-04-02T00:00:00"/>
    <x v="76"/>
    <n v="3.79"/>
    <n v="0.1"/>
    <x v="3"/>
  </r>
  <r>
    <d v="2014-04-03T00:00:00"/>
    <x v="96"/>
    <n v="10.19"/>
    <n v="0.27"/>
    <x v="2"/>
  </r>
  <r>
    <d v="2014-04-08T00:00:00"/>
    <x v="90"/>
    <n v="7.35"/>
    <n v="0.19"/>
    <x v="0"/>
  </r>
  <r>
    <d v="2014-04-08T00:00:00"/>
    <x v="91"/>
    <n v="9.74"/>
    <n v="0.26"/>
    <x v="1"/>
  </r>
  <r>
    <d v="2014-04-08T00:00:00"/>
    <x v="96"/>
    <n v="8.65"/>
    <n v="0.23"/>
    <x v="4"/>
  </r>
  <r>
    <d v="2014-04-08T00:00:00"/>
    <x v="97"/>
    <n v="7.06"/>
    <n v="0.19"/>
    <x v="2"/>
  </r>
  <r>
    <d v="2014-04-08T00:00:00"/>
    <x v="98"/>
    <n v="14"/>
    <n v="0.37"/>
    <x v="2"/>
  </r>
  <r>
    <d v="2014-04-08T00:00:00"/>
    <x v="99"/>
    <n v="16.940000000000001"/>
    <n v="0.45"/>
    <x v="3"/>
  </r>
  <r>
    <d v="2014-04-14T00:00:00"/>
    <x v="97"/>
    <n v="16.55"/>
    <n v="0.44"/>
    <x v="3"/>
  </r>
  <r>
    <d v="2014-04-14T00:00:00"/>
    <x v="100"/>
    <n v="14.13"/>
    <n v="0.37"/>
    <x v="1"/>
  </r>
  <r>
    <d v="2014-04-14T00:00:00"/>
    <x v="101"/>
    <n v="11.42"/>
    <n v="0.3"/>
    <x v="0"/>
  </r>
  <r>
    <d v="2014-04-14T00:00:00"/>
    <x v="98"/>
    <n v="16.829999999999998"/>
    <n v="0.44"/>
    <x v="0"/>
  </r>
  <r>
    <d v="2014-04-14T00:00:00"/>
    <x v="102"/>
    <n v="9.06"/>
    <n v="0.24"/>
    <x v="3"/>
  </r>
  <r>
    <d v="2014-04-14T00:00:00"/>
    <x v="103"/>
    <n v="11.69"/>
    <n v="0.31"/>
    <x v="0"/>
  </r>
  <r>
    <d v="2014-04-18T00:00:00"/>
    <x v="104"/>
    <n v="6.58"/>
    <n v="0.17"/>
    <x v="4"/>
  </r>
  <r>
    <d v="2014-04-20T00:00:00"/>
    <x v="103"/>
    <n v="11.44"/>
    <n v="0.3"/>
    <x v="1"/>
  </r>
  <r>
    <d v="2014-04-20T00:00:00"/>
    <x v="105"/>
    <n v="6.75"/>
    <n v="0.18"/>
    <x v="1"/>
  </r>
  <r>
    <d v="2014-04-23T00:00:00"/>
    <x v="106"/>
    <n v="7.71"/>
    <n v="0.2"/>
    <x v="0"/>
  </r>
  <r>
    <d v="2014-04-23T00:00:00"/>
    <x v="107"/>
    <n v="6.75"/>
    <n v="0.18"/>
    <x v="3"/>
  </r>
  <r>
    <d v="2014-04-24T00:00:00"/>
    <x v="96"/>
    <n v="3.57"/>
    <n v="0.09"/>
    <x v="2"/>
  </r>
  <r>
    <d v="2014-04-26T00:00:00"/>
    <x v="108"/>
    <n v="10.19"/>
    <n v="0.27"/>
    <x v="4"/>
  </r>
  <r>
    <d v="2014-04-26T00:00:00"/>
    <x v="109"/>
    <n v="11.78"/>
    <n v="0.31"/>
    <x v="4"/>
  </r>
  <r>
    <d v="2014-04-26T00:00:00"/>
    <x v="106"/>
    <n v="3.79"/>
    <n v="0.1"/>
    <x v="4"/>
  </r>
  <r>
    <d v="2014-04-26T00:00:00"/>
    <x v="101"/>
    <n v="6.75"/>
    <n v="0.18"/>
    <x v="1"/>
  </r>
  <r>
    <d v="2014-04-26T00:00:00"/>
    <x v="110"/>
    <n v="12.01"/>
    <n v="0.32"/>
    <x v="2"/>
  </r>
  <r>
    <d v="2014-04-26T00:00:00"/>
    <x v="99"/>
    <n v="2.0099999999999998"/>
    <n v="0.05"/>
    <x v="2"/>
  </r>
  <r>
    <d v="2014-04-28T00:00:00"/>
    <x v="102"/>
    <n v="9.06"/>
    <n v="0.24"/>
    <x v="0"/>
  </r>
  <r>
    <d v="2014-05-02T00:00:00"/>
    <x v="111"/>
    <n v="13.81"/>
    <n v="0.36"/>
    <x v="4"/>
  </r>
  <r>
    <d v="2014-05-02T00:00:00"/>
    <x v="108"/>
    <n v="5.47"/>
    <n v="0.14000000000000001"/>
    <x v="4"/>
  </r>
  <r>
    <d v="2014-05-02T00:00:00"/>
    <x v="112"/>
    <n v="9.06"/>
    <n v="0.24"/>
    <x v="0"/>
  </r>
  <r>
    <d v="2014-05-05T00:00:00"/>
    <x v="113"/>
    <n v="8.39"/>
    <n v="0.22"/>
    <x v="0"/>
  </r>
  <r>
    <d v="2014-05-05T00:00:00"/>
    <x v="114"/>
    <n v="3.73"/>
    <n v="0.1"/>
    <x v="0"/>
  </r>
  <r>
    <d v="2014-05-06T00:00:00"/>
    <x v="115"/>
    <n v="7.31"/>
    <n v="0.19"/>
    <x v="3"/>
  </r>
  <r>
    <d v="2014-05-08T00:00:00"/>
    <x v="113"/>
    <n v="14.31"/>
    <n v="0.38"/>
    <x v="1"/>
  </r>
  <r>
    <d v="2014-05-08T00:00:00"/>
    <x v="116"/>
    <n v="14.13"/>
    <n v="0.37"/>
    <x v="3"/>
  </r>
  <r>
    <d v="2014-05-08T00:00:00"/>
    <x v="112"/>
    <n v="3.88"/>
    <n v="0.1"/>
    <x v="0"/>
  </r>
  <r>
    <d v="2014-05-08T00:00:00"/>
    <x v="117"/>
    <n v="7.35"/>
    <n v="0.19"/>
    <x v="1"/>
  </r>
  <r>
    <d v="2014-05-08T00:00:00"/>
    <x v="114"/>
    <n v="12.01"/>
    <n v="0.32"/>
    <x v="3"/>
  </r>
  <r>
    <d v="2014-05-08T00:00:00"/>
    <x v="118"/>
    <n v="13.07"/>
    <n v="0.34"/>
    <x v="4"/>
  </r>
  <r>
    <d v="2014-05-14T00:00:00"/>
    <x v="119"/>
    <n v="7.35"/>
    <n v="0.19"/>
    <x v="3"/>
  </r>
  <r>
    <d v="2014-05-14T00:00:00"/>
    <x v="114"/>
    <n v="11.37"/>
    <n v="0.3"/>
    <x v="2"/>
  </r>
  <r>
    <d v="2014-05-14T00:00:00"/>
    <x v="120"/>
    <n v="13.81"/>
    <n v="0.36"/>
    <x v="4"/>
  </r>
  <r>
    <d v="2014-05-14T00:00:00"/>
    <x v="113"/>
    <n v="5.64"/>
    <n v="0.15"/>
    <x v="1"/>
  </r>
  <r>
    <d v="2014-05-14T00:00:00"/>
    <x v="108"/>
    <n v="7.55"/>
    <n v="0.2"/>
    <x v="2"/>
  </r>
  <r>
    <d v="2014-05-14T00:00:00"/>
    <x v="121"/>
    <n v="5.23"/>
    <n v="0.14000000000000001"/>
    <x v="4"/>
  </r>
  <r>
    <d v="2014-05-14T00:00:00"/>
    <x v="122"/>
    <n v="7.55"/>
    <n v="0.2"/>
    <x v="2"/>
  </r>
  <r>
    <d v="2014-05-20T00:00:00"/>
    <x v="123"/>
    <n v="8.89"/>
    <n v="0.23"/>
    <x v="4"/>
  </r>
  <r>
    <d v="2014-05-20T00:00:00"/>
    <x v="124"/>
    <n v="8.65"/>
    <n v="0.23"/>
    <x v="4"/>
  </r>
  <r>
    <d v="2014-05-20T00:00:00"/>
    <x v="125"/>
    <n v="7.3"/>
    <n v="0.19"/>
    <x v="1"/>
  </r>
  <r>
    <d v="2014-05-20T00:00:00"/>
    <x v="126"/>
    <n v="10.59"/>
    <n v="0.28000000000000003"/>
    <x v="0"/>
  </r>
  <r>
    <d v="2014-05-20T00:00:00"/>
    <x v="119"/>
    <n v="11.37"/>
    <n v="0.3"/>
    <x v="0"/>
  </r>
  <r>
    <d v="2014-05-20T00:00:00"/>
    <x v="127"/>
    <n v="10.79"/>
    <n v="0.28000000000000003"/>
    <x v="3"/>
  </r>
  <r>
    <d v="2014-05-26T00:00:00"/>
    <x v="127"/>
    <n v="11.44"/>
    <n v="0.3"/>
    <x v="3"/>
  </r>
  <r>
    <d v="2014-05-26T00:00:00"/>
    <x v="128"/>
    <n v="13.07"/>
    <n v="0.34"/>
    <x v="2"/>
  </r>
  <r>
    <d v="2014-05-26T00:00:00"/>
    <x v="126"/>
    <n v="5.57"/>
    <n v="0.15"/>
    <x v="1"/>
  </r>
  <r>
    <d v="2014-05-26T00:00:00"/>
    <x v="121"/>
    <n v="11.78"/>
    <n v="0.31"/>
    <x v="0"/>
  </r>
  <r>
    <d v="2014-05-26T00:00:00"/>
    <x v="125"/>
    <n v="11.78"/>
    <n v="0.31"/>
    <x v="2"/>
  </r>
  <r>
    <d v="2014-05-26T00:00:00"/>
    <x v="129"/>
    <n v="9.74"/>
    <n v="0.26"/>
    <x v="4"/>
  </r>
  <r>
    <d v="2014-06-01T00:00:00"/>
    <x v="130"/>
    <n v="12.01"/>
    <n v="0.32"/>
    <x v="1"/>
  </r>
  <r>
    <d v="2014-06-01T00:00:00"/>
    <x v="131"/>
    <n v="9.4600000000000009"/>
    <n v="0.25"/>
    <x v="4"/>
  </r>
  <r>
    <d v="2014-06-01T00:00:00"/>
    <x v="132"/>
    <n v="11.37"/>
    <n v="0.3"/>
    <x v="1"/>
  </r>
  <r>
    <d v="2014-06-01T00:00:00"/>
    <x v="133"/>
    <n v="5.78"/>
    <n v="0.15"/>
    <x v="4"/>
  </r>
  <r>
    <d v="2014-06-01T00:00:00"/>
    <x v="134"/>
    <n v="12.01"/>
    <n v="0.32"/>
    <x v="0"/>
  </r>
  <r>
    <d v="2014-06-01T00:00:00"/>
    <x v="135"/>
    <n v="7.55"/>
    <n v="0.2"/>
    <x v="0"/>
  </r>
  <r>
    <d v="2014-06-01T00:00:00"/>
    <x v="116"/>
    <n v="9.74"/>
    <n v="0.26"/>
    <x v="4"/>
  </r>
  <r>
    <d v="2014-06-02T00:00:00"/>
    <x v="129"/>
    <n v="2.72"/>
    <n v="7.0000000000000007E-2"/>
    <x v="2"/>
  </r>
  <r>
    <d v="2014-06-02T00:00:00"/>
    <x v="126"/>
    <n v="3.57"/>
    <n v="0.09"/>
    <x v="4"/>
  </r>
  <r>
    <d v="2014-06-02T00:00:00"/>
    <x v="136"/>
    <n v="7.55"/>
    <n v="0.2"/>
    <x v="1"/>
  </r>
  <r>
    <d v="2014-06-02T00:00:00"/>
    <x v="134"/>
    <n v="3.57"/>
    <n v="0.09"/>
    <x v="2"/>
  </r>
  <r>
    <d v="2014-06-03T00:00:00"/>
    <x v="124"/>
    <n v="2.29"/>
    <n v="0.06"/>
    <x v="0"/>
  </r>
  <r>
    <d v="2014-06-03T00:00:00"/>
    <x v="137"/>
    <n v="9.06"/>
    <n v="0.24"/>
    <x v="3"/>
  </r>
  <r>
    <d v="2014-06-04T00:00:00"/>
    <x v="131"/>
    <n v="4.25"/>
    <n v="0.11"/>
    <x v="2"/>
  </r>
  <r>
    <d v="2014-06-04T00:00:00"/>
    <x v="138"/>
    <n v="7.31"/>
    <n v="0.19"/>
    <x v="1"/>
  </r>
  <r>
    <d v="2014-06-04T00:00:00"/>
    <x v="139"/>
    <n v="9.06"/>
    <n v="0.24"/>
    <x v="2"/>
  </r>
  <r>
    <d v="2014-06-05T00:00:00"/>
    <x v="140"/>
    <n v="6.43"/>
    <n v="0.17"/>
    <x v="4"/>
  </r>
  <r>
    <d v="2014-06-07T00:00:00"/>
    <x v="141"/>
    <n v="2.0099999999999998"/>
    <n v="0.05"/>
    <x v="4"/>
  </r>
  <r>
    <d v="2014-06-07T00:00:00"/>
    <x v="129"/>
    <n v="8.51"/>
    <n v="0.22"/>
    <x v="4"/>
  </r>
  <r>
    <d v="2014-06-07T00:00:00"/>
    <x v="137"/>
    <n v="16.55"/>
    <n v="0.44"/>
    <x v="3"/>
  </r>
  <r>
    <d v="2014-06-07T00:00:00"/>
    <x v="138"/>
    <n v="9.1300000000000008"/>
    <n v="0.24"/>
    <x v="4"/>
  </r>
  <r>
    <d v="2014-06-07T00:00:00"/>
    <x v="142"/>
    <n v="10.199999999999999"/>
    <n v="0.27"/>
    <x v="0"/>
  </r>
  <r>
    <d v="2014-06-09T00:00:00"/>
    <x v="143"/>
    <n v="6.23"/>
    <n v="0.16"/>
    <x v="2"/>
  </r>
  <r>
    <d v="2014-06-13T00:00:00"/>
    <x v="144"/>
    <n v="8.51"/>
    <n v="0.22"/>
    <x v="4"/>
  </r>
  <r>
    <d v="2014-06-13T00:00:00"/>
    <x v="145"/>
    <n v="13.82"/>
    <n v="0.36"/>
    <x v="3"/>
  </r>
  <r>
    <d v="2014-06-13T00:00:00"/>
    <x v="146"/>
    <n v="6.34"/>
    <n v="0.17"/>
    <x v="1"/>
  </r>
  <r>
    <d v="2014-06-13T00:00:00"/>
    <x v="147"/>
    <n v="10.19"/>
    <n v="0.27"/>
    <x v="1"/>
  </r>
  <r>
    <d v="2014-06-13T00:00:00"/>
    <x v="148"/>
    <n v="14"/>
    <n v="0.37"/>
    <x v="4"/>
  </r>
  <r>
    <d v="2014-06-13T00:00:00"/>
    <x v="149"/>
    <n v="14"/>
    <n v="0.37"/>
    <x v="3"/>
  </r>
  <r>
    <d v="2014-06-13T00:00:00"/>
    <x v="142"/>
    <n v="10.19"/>
    <n v="0.27"/>
    <x v="2"/>
  </r>
  <r>
    <d v="2014-06-13T00:00:00"/>
    <x v="130"/>
    <n v="8.89"/>
    <n v="0.23"/>
    <x v="0"/>
  </r>
  <r>
    <d v="2014-06-13T00:00:00"/>
    <x v="149"/>
    <n v="11.44"/>
    <n v="0.3"/>
    <x v="1"/>
  </r>
  <r>
    <d v="2014-06-13T00:00:00"/>
    <x v="144"/>
    <n v="10.93"/>
    <n v="0.28999999999999998"/>
    <x v="2"/>
  </r>
  <r>
    <d v="2014-06-13T00:00:00"/>
    <x v="150"/>
    <n v="6.34"/>
    <n v="0.17"/>
    <x v="3"/>
  </r>
  <r>
    <d v="2014-06-13T00:00:00"/>
    <x v="136"/>
    <n v="5.67"/>
    <n v="0.15"/>
    <x v="0"/>
  </r>
  <r>
    <d v="2014-06-13T00:00:00"/>
    <x v="151"/>
    <n v="8.51"/>
    <n v="0.22"/>
    <x v="1"/>
  </r>
  <r>
    <d v="2014-06-13T00:00:00"/>
    <x v="137"/>
    <n v="16.829999999999998"/>
    <n v="0.44"/>
    <x v="0"/>
  </r>
  <r>
    <d v="2014-06-13T00:00:00"/>
    <x v="149"/>
    <n v="11.69"/>
    <n v="0.31"/>
    <x v="0"/>
  </r>
  <r>
    <d v="2014-06-16T00:00:00"/>
    <x v="141"/>
    <n v="7.71"/>
    <n v="0.2"/>
    <x v="4"/>
  </r>
  <r>
    <d v="2014-06-16T00:00:00"/>
    <x v="152"/>
    <n v="5.67"/>
    <n v="0.15"/>
    <x v="0"/>
  </r>
  <r>
    <d v="2014-06-19T00:00:00"/>
    <x v="153"/>
    <n v="7.3"/>
    <n v="0.19"/>
    <x v="1"/>
  </r>
  <r>
    <d v="2014-06-19T00:00:00"/>
    <x v="136"/>
    <n v="5.64"/>
    <n v="0.15"/>
    <x v="0"/>
  </r>
  <r>
    <d v="2014-06-19T00:00:00"/>
    <x v="135"/>
    <n v="10.79"/>
    <n v="0.28000000000000003"/>
    <x v="0"/>
  </r>
  <r>
    <d v="2014-06-19T00:00:00"/>
    <x v="154"/>
    <n v="10.199999999999999"/>
    <n v="0.27"/>
    <x v="1"/>
  </r>
  <r>
    <d v="2014-06-19T00:00:00"/>
    <x v="151"/>
    <n v="16.55"/>
    <n v="0.44"/>
    <x v="4"/>
  </r>
  <r>
    <d v="2014-06-19T00:00:00"/>
    <x v="147"/>
    <n v="8.9499999999999993"/>
    <n v="0.24"/>
    <x v="1"/>
  </r>
  <r>
    <d v="2014-06-25T00:00:00"/>
    <x v="146"/>
    <n v="5.64"/>
    <n v="0.15"/>
    <x v="3"/>
  </r>
  <r>
    <d v="2014-06-25T00:00:00"/>
    <x v="155"/>
    <n v="6.34"/>
    <n v="0.17"/>
    <x v="4"/>
  </r>
  <r>
    <d v="2014-06-25T00:00:00"/>
    <x v="156"/>
    <n v="11.69"/>
    <n v="0.31"/>
    <x v="1"/>
  </r>
  <r>
    <d v="2014-06-25T00:00:00"/>
    <x v="157"/>
    <n v="11.42"/>
    <n v="0.3"/>
    <x v="0"/>
  </r>
  <r>
    <d v="2014-06-25T00:00:00"/>
    <x v="150"/>
    <n v="8.5399999999999991"/>
    <n v="0.22"/>
    <x v="1"/>
  </r>
  <r>
    <d v="2014-06-25T00:00:00"/>
    <x v="158"/>
    <n v="10.199999999999999"/>
    <n v="0.27"/>
    <x v="4"/>
  </r>
  <r>
    <d v="2014-06-25T00:00:00"/>
    <x v="159"/>
    <n v="8.39"/>
    <n v="0.22"/>
    <x v="1"/>
  </r>
  <r>
    <d v="2014-06-25T00:00:00"/>
    <x v="160"/>
    <n v="9.4600000000000009"/>
    <n v="0.25"/>
    <x v="3"/>
  </r>
  <r>
    <d v="2014-06-25T00:00:00"/>
    <x v="161"/>
    <n v="11.37"/>
    <n v="0.3"/>
    <x v="0"/>
  </r>
  <r>
    <d v="2014-06-25T00:00:00"/>
    <x v="162"/>
    <n v="3.79"/>
    <n v="0.1"/>
    <x v="0"/>
  </r>
  <r>
    <d v="2014-06-25T00:00:00"/>
    <x v="163"/>
    <n v="8.84"/>
    <n v="0.23"/>
    <x v="2"/>
  </r>
  <r>
    <d v="2014-06-25T00:00:00"/>
    <x v="146"/>
    <n v="19.54"/>
    <n v="0.51"/>
    <x v="3"/>
  </r>
  <r>
    <d v="2014-06-25T00:00:00"/>
    <x v="151"/>
    <n v="3.79"/>
    <n v="0.1"/>
    <x v="0"/>
  </r>
  <r>
    <d v="2014-06-25T00:00:00"/>
    <x v="164"/>
    <n v="9.74"/>
    <n v="0.26"/>
    <x v="1"/>
  </r>
  <r>
    <d v="2014-06-25T00:00:00"/>
    <x v="153"/>
    <n v="10.199999999999999"/>
    <n v="0.27"/>
    <x v="2"/>
  </r>
  <r>
    <d v="2014-06-25T00:00:00"/>
    <x v="165"/>
    <n v="3.88"/>
    <n v="0.1"/>
    <x v="3"/>
  </r>
  <r>
    <d v="2014-06-28T00:00:00"/>
    <x v="163"/>
    <n v="4.66"/>
    <n v="0.12"/>
    <x v="3"/>
  </r>
  <r>
    <d v="2014-07-01T00:00:00"/>
    <x v="155"/>
    <n v="16.55"/>
    <n v="0.44"/>
    <x v="1"/>
  </r>
  <r>
    <d v="2014-07-01T00:00:00"/>
    <x v="163"/>
    <n v="13.81"/>
    <n v="0.36"/>
    <x v="4"/>
  </r>
  <r>
    <d v="2014-07-01T00:00:00"/>
    <x v="153"/>
    <n v="8.51"/>
    <n v="0.22"/>
    <x v="0"/>
  </r>
  <r>
    <d v="2014-07-01T00:00:00"/>
    <x v="144"/>
    <n v="8.65"/>
    <n v="0.23"/>
    <x v="2"/>
  </r>
  <r>
    <d v="2014-07-01T00:00:00"/>
    <x v="156"/>
    <n v="11.69"/>
    <n v="0.31"/>
    <x v="3"/>
  </r>
  <r>
    <d v="2014-07-01T00:00:00"/>
    <x v="164"/>
    <n v="7.06"/>
    <n v="0.19"/>
    <x v="4"/>
  </r>
  <r>
    <d v="2014-07-07T00:00:00"/>
    <x v="153"/>
    <n v="11.44"/>
    <n v="0.3"/>
    <x v="0"/>
  </r>
  <r>
    <d v="2014-07-07T00:00:00"/>
    <x v="158"/>
    <n v="8.9499999999999993"/>
    <n v="0.24"/>
    <x v="3"/>
  </r>
  <r>
    <d v="2014-07-07T00:00:00"/>
    <x v="166"/>
    <n v="9.4600000000000009"/>
    <n v="0.25"/>
    <x v="1"/>
  </r>
  <r>
    <d v="2014-07-07T00:00:00"/>
    <x v="162"/>
    <n v="5.23"/>
    <n v="0.14000000000000001"/>
    <x v="4"/>
  </r>
  <r>
    <d v="2014-07-07T00:00:00"/>
    <x v="166"/>
    <n v="11.78"/>
    <n v="0.31"/>
    <x v="3"/>
  </r>
  <r>
    <d v="2014-07-07T00:00:00"/>
    <x v="165"/>
    <n v="5.64"/>
    <n v="0.15"/>
    <x v="4"/>
  </r>
  <r>
    <d v="2014-07-07T00:00:00"/>
    <x v="157"/>
    <n v="10.199999999999999"/>
    <n v="0.27"/>
    <x v="2"/>
  </r>
  <r>
    <d v="2014-07-07T00:00:00"/>
    <x v="167"/>
    <n v="3.88"/>
    <n v="0.1"/>
    <x v="0"/>
  </r>
  <r>
    <d v="2014-07-07T00:00:00"/>
    <x v="163"/>
    <n v="4.66"/>
    <n v="0.12"/>
    <x v="3"/>
  </r>
  <r>
    <d v="2014-07-07T00:00:00"/>
    <x v="168"/>
    <n v="10.19"/>
    <n v="0.27"/>
    <x v="1"/>
  </r>
  <r>
    <d v="2014-07-07T00:00:00"/>
    <x v="169"/>
    <n v="10.19"/>
    <n v="0.27"/>
    <x v="1"/>
  </r>
  <r>
    <d v="2014-07-07T00:00:00"/>
    <x v="170"/>
    <n v="3.79"/>
    <n v="0.1"/>
    <x v="1"/>
  </r>
  <r>
    <d v="2014-07-07T00:00:00"/>
    <x v="166"/>
    <n v="9.06"/>
    <n v="0.24"/>
    <x v="2"/>
  </r>
  <r>
    <d v="2014-07-07T00:00:00"/>
    <x v="158"/>
    <n v="6.23"/>
    <n v="0.16"/>
    <x v="4"/>
  </r>
  <r>
    <d v="2014-07-07T00:00:00"/>
    <x v="167"/>
    <n v="10.79"/>
    <n v="0.28000000000000003"/>
    <x v="4"/>
  </r>
  <r>
    <d v="2014-07-10T00:00:00"/>
    <x v="166"/>
    <n v="5.67"/>
    <n v="0.15"/>
    <x v="0"/>
  </r>
  <r>
    <d v="2014-07-11T00:00:00"/>
    <x v="171"/>
    <n v="2.29"/>
    <n v="0.06"/>
    <x v="4"/>
  </r>
  <r>
    <d v="2014-07-13T00:00:00"/>
    <x v="172"/>
    <n v="10.93"/>
    <n v="0.28999999999999998"/>
    <x v="2"/>
  </r>
  <r>
    <d v="2014-07-13T00:00:00"/>
    <x v="162"/>
    <n v="16.55"/>
    <n v="0.44"/>
    <x v="3"/>
  </r>
  <r>
    <d v="2014-07-14T00:00:00"/>
    <x v="165"/>
    <n v="6.43"/>
    <n v="0.17"/>
    <x v="1"/>
  </r>
  <r>
    <d v="2014-07-15T00:00:00"/>
    <x v="173"/>
    <n v="3.94"/>
    <n v="0.1"/>
    <x v="1"/>
  </r>
  <r>
    <d v="2014-07-15T00:00:00"/>
    <x v="166"/>
    <n v="3.79"/>
    <n v="0.1"/>
    <x v="4"/>
  </r>
  <r>
    <d v="2014-07-15T00:00:00"/>
    <x v="174"/>
    <n v="6.58"/>
    <n v="0.17"/>
    <x v="4"/>
  </r>
  <r>
    <d v="2014-07-17T00:00:00"/>
    <x v="172"/>
    <n v="5.67"/>
    <n v="0.15"/>
    <x v="2"/>
  </r>
  <r>
    <d v="2014-07-19T00:00:00"/>
    <x v="175"/>
    <n v="10.19"/>
    <n v="0.27"/>
    <x v="1"/>
  </r>
  <r>
    <d v="2014-07-19T00:00:00"/>
    <x v="170"/>
    <n v="7.06"/>
    <n v="0.19"/>
    <x v="2"/>
  </r>
  <r>
    <d v="2014-07-19T00:00:00"/>
    <x v="176"/>
    <n v="6.75"/>
    <n v="0.18"/>
    <x v="0"/>
  </r>
  <r>
    <d v="2014-07-19T00:00:00"/>
    <x v="177"/>
    <n v="8.83"/>
    <n v="0.23"/>
    <x v="1"/>
  </r>
  <r>
    <d v="2014-07-19T00:00:00"/>
    <x v="176"/>
    <n v="8.39"/>
    <n v="0.22"/>
    <x v="2"/>
  </r>
  <r>
    <d v="2014-07-19T00:00:00"/>
    <x v="172"/>
    <n v="6.23"/>
    <n v="0.16"/>
    <x v="4"/>
  </r>
  <r>
    <d v="2014-07-19T00:00:00"/>
    <x v="178"/>
    <n v="3.79"/>
    <n v="0.1"/>
    <x v="3"/>
  </r>
  <r>
    <d v="2014-07-19T00:00:00"/>
    <x v="179"/>
    <n v="11.37"/>
    <n v="0.3"/>
    <x v="0"/>
  </r>
  <r>
    <d v="2014-07-19T00:00:00"/>
    <x v="166"/>
    <n v="5.64"/>
    <n v="0.15"/>
    <x v="0"/>
  </r>
  <r>
    <d v="2014-07-19T00:00:00"/>
    <x v="180"/>
    <n v="7.55"/>
    <n v="0.2"/>
    <x v="2"/>
  </r>
  <r>
    <d v="2014-07-19T00:00:00"/>
    <x v="172"/>
    <n v="10.199999999999999"/>
    <n v="0.27"/>
    <x v="3"/>
  </r>
  <r>
    <d v="2014-07-19T00:00:00"/>
    <x v="181"/>
    <n v="2.0099999999999998"/>
    <n v="0.05"/>
    <x v="1"/>
  </r>
  <r>
    <d v="2014-07-19T00:00:00"/>
    <x v="181"/>
    <n v="13.81"/>
    <n v="0.36"/>
    <x v="4"/>
  </r>
  <r>
    <d v="2014-07-21T00:00:00"/>
    <x v="182"/>
    <n v="8.7200000000000006"/>
    <n v="0.23"/>
    <x v="2"/>
  </r>
  <r>
    <d v="2014-07-21T00:00:00"/>
    <x v="178"/>
    <n v="11.44"/>
    <n v="0.3"/>
    <x v="4"/>
  </r>
  <r>
    <d v="2014-07-21T00:00:00"/>
    <x v="183"/>
    <n v="3.94"/>
    <n v="0.1"/>
    <x v="2"/>
  </r>
  <r>
    <d v="2014-07-25T00:00:00"/>
    <x v="184"/>
    <n v="9.4600000000000009"/>
    <n v="0.25"/>
    <x v="4"/>
  </r>
  <r>
    <d v="2014-07-25T00:00:00"/>
    <x v="172"/>
    <n v="11.69"/>
    <n v="0.31"/>
    <x v="3"/>
  </r>
  <r>
    <d v="2014-07-25T00:00:00"/>
    <x v="185"/>
    <n v="8.83"/>
    <n v="0.23"/>
    <x v="2"/>
  </r>
  <r>
    <d v="2014-07-25T00:00:00"/>
    <x v="179"/>
    <n v="8.83"/>
    <n v="0.23"/>
    <x v="1"/>
  </r>
  <r>
    <d v="2014-07-25T00:00:00"/>
    <x v="179"/>
    <n v="9.1300000000000008"/>
    <n v="0.24"/>
    <x v="3"/>
  </r>
  <r>
    <d v="2014-07-25T00:00:00"/>
    <x v="186"/>
    <n v="9.06"/>
    <n v="0.24"/>
    <x v="0"/>
  </r>
  <r>
    <d v="2014-07-31T00:00:00"/>
    <x v="186"/>
    <n v="10.19"/>
    <n v="0.27"/>
    <x v="0"/>
  </r>
  <r>
    <d v="2014-07-31T00:00:00"/>
    <x v="187"/>
    <n v="14"/>
    <n v="0.37"/>
    <x v="3"/>
  </r>
  <r>
    <d v="2014-07-31T00:00:00"/>
    <x v="180"/>
    <n v="11.44"/>
    <n v="0.3"/>
    <x v="0"/>
  </r>
  <r>
    <d v="2014-07-31T00:00:00"/>
    <x v="184"/>
    <n v="7.31"/>
    <n v="0.19"/>
    <x v="2"/>
  </r>
  <r>
    <d v="2014-07-31T00:00:00"/>
    <x v="173"/>
    <n v="9.4600000000000009"/>
    <n v="0.25"/>
    <x v="2"/>
  </r>
  <r>
    <d v="2014-07-31T00:00:00"/>
    <x v="174"/>
    <n v="8.83"/>
    <n v="0.23"/>
    <x v="4"/>
  </r>
  <r>
    <d v="2014-07-31T00:00:00"/>
    <x v="171"/>
    <n v="6.88"/>
    <n v="0.18"/>
    <x v="2"/>
  </r>
  <r>
    <d v="2014-07-31T00:00:00"/>
    <x v="172"/>
    <n v="6.75"/>
    <n v="0.18"/>
    <x v="4"/>
  </r>
  <r>
    <d v="2014-07-31T00:00:00"/>
    <x v="188"/>
    <n v="19.54"/>
    <n v="0.51"/>
    <x v="4"/>
  </r>
  <r>
    <d v="2014-07-31T00:00:00"/>
    <x v="174"/>
    <n v="14.31"/>
    <n v="0.38"/>
    <x v="1"/>
  </r>
  <r>
    <d v="2014-07-31T00:00:00"/>
    <x v="185"/>
    <n v="3.79"/>
    <n v="0.1"/>
    <x v="2"/>
  </r>
  <r>
    <d v="2014-07-31T00:00:00"/>
    <x v="182"/>
    <n v="8.89"/>
    <n v="0.23"/>
    <x v="0"/>
  </r>
  <r>
    <d v="2014-07-31T00:00:00"/>
    <x v="189"/>
    <n v="7.71"/>
    <n v="0.2"/>
    <x v="0"/>
  </r>
  <r>
    <d v="2014-07-31T00:00:00"/>
    <x v="190"/>
    <n v="16.829999999999998"/>
    <n v="0.44"/>
    <x v="1"/>
  </r>
  <r>
    <d v="2014-07-31T00:00:00"/>
    <x v="175"/>
    <n v="5.23"/>
    <n v="0.14000000000000001"/>
    <x v="1"/>
  </r>
  <r>
    <d v="2014-07-31T00:00:00"/>
    <x v="172"/>
    <n v="10.79"/>
    <n v="0.28000000000000003"/>
    <x v="0"/>
  </r>
  <r>
    <d v="2014-07-31T00:00:00"/>
    <x v="182"/>
    <n v="12.23"/>
    <n v="0.32"/>
    <x v="2"/>
  </r>
  <r>
    <d v="2014-07-31T00:00:00"/>
    <x v="185"/>
    <n v="5.78"/>
    <n v="0.15"/>
    <x v="1"/>
  </r>
  <r>
    <d v="2014-08-06T00:00:00"/>
    <x v="191"/>
    <n v="5.23"/>
    <n v="0.14000000000000001"/>
    <x v="4"/>
  </r>
  <r>
    <d v="2014-08-06T00:00:00"/>
    <x v="182"/>
    <n v="9.06"/>
    <n v="0.24"/>
    <x v="2"/>
  </r>
  <r>
    <d v="2014-08-06T00:00:00"/>
    <x v="192"/>
    <n v="12.23"/>
    <n v="0.32"/>
    <x v="3"/>
  </r>
  <r>
    <d v="2014-08-06T00:00:00"/>
    <x v="193"/>
    <n v="8.83"/>
    <n v="0.23"/>
    <x v="3"/>
  </r>
  <r>
    <d v="2014-08-06T00:00:00"/>
    <x v="194"/>
    <n v="10.93"/>
    <n v="0.28999999999999998"/>
    <x v="0"/>
  </r>
  <r>
    <d v="2014-08-09T00:00:00"/>
    <x v="195"/>
    <n v="3.94"/>
    <n v="0.1"/>
    <x v="2"/>
  </r>
  <r>
    <d v="2014-08-12T00:00:00"/>
    <x v="192"/>
    <n v="19.54"/>
    <n v="0.51"/>
    <x v="1"/>
  </r>
  <r>
    <d v="2014-08-12T00:00:00"/>
    <x v="187"/>
    <n v="6.75"/>
    <n v="0.18"/>
    <x v="2"/>
  </r>
  <r>
    <d v="2014-08-12T00:00:00"/>
    <x v="196"/>
    <n v="7.55"/>
    <n v="0.2"/>
    <x v="0"/>
  </r>
  <r>
    <d v="2014-08-12T00:00:00"/>
    <x v="197"/>
    <n v="3.73"/>
    <n v="0.1"/>
    <x v="0"/>
  </r>
  <r>
    <d v="2014-08-12T00:00:00"/>
    <x v="195"/>
    <n v="8.51"/>
    <n v="0.22"/>
    <x v="2"/>
  </r>
  <r>
    <d v="2014-08-12T00:00:00"/>
    <x v="198"/>
    <n v="6.88"/>
    <n v="0.18"/>
    <x v="4"/>
  </r>
  <r>
    <d v="2014-08-12T00:00:00"/>
    <x v="195"/>
    <n v="6.75"/>
    <n v="0.18"/>
    <x v="3"/>
  </r>
  <r>
    <d v="2014-08-12T00:00:00"/>
    <x v="199"/>
    <n v="11.42"/>
    <n v="0.3"/>
    <x v="0"/>
  </r>
  <r>
    <d v="2014-08-12T00:00:00"/>
    <x v="179"/>
    <n v="16.940000000000001"/>
    <n v="0.45"/>
    <x v="4"/>
  </r>
  <r>
    <d v="2014-08-12T00:00:00"/>
    <x v="189"/>
    <n v="6.34"/>
    <n v="0.17"/>
    <x v="1"/>
  </r>
  <r>
    <d v="2014-08-12T00:00:00"/>
    <x v="185"/>
    <n v="8.83"/>
    <n v="0.23"/>
    <x v="3"/>
  </r>
  <r>
    <d v="2014-08-12T00:00:00"/>
    <x v="194"/>
    <n v="6.34"/>
    <n v="0.17"/>
    <x v="4"/>
  </r>
  <r>
    <d v="2014-08-12T00:00:00"/>
    <x v="200"/>
    <n v="8.84"/>
    <n v="0.23"/>
    <x v="4"/>
  </r>
  <r>
    <d v="2014-08-12T00:00:00"/>
    <x v="188"/>
    <n v="8.65"/>
    <n v="0.23"/>
    <x v="2"/>
  </r>
  <r>
    <d v="2014-08-12T00:00:00"/>
    <x v="201"/>
    <n v="8.51"/>
    <n v="0.22"/>
    <x v="3"/>
  </r>
  <r>
    <d v="2014-08-12T00:00:00"/>
    <x v="202"/>
    <n v="9.74"/>
    <n v="0.26"/>
    <x v="0"/>
  </r>
  <r>
    <d v="2014-08-12T00:00:00"/>
    <x v="201"/>
    <n v="13.02"/>
    <n v="0.34"/>
    <x v="2"/>
  </r>
  <r>
    <d v="2014-08-14T00:00:00"/>
    <x v="188"/>
    <n v="4.66"/>
    <n v="0.12"/>
    <x v="4"/>
  </r>
  <r>
    <d v="2014-08-18T00:00:00"/>
    <x v="203"/>
    <n v="14.13"/>
    <n v="0.37"/>
    <x v="3"/>
  </r>
  <r>
    <d v="2014-08-18T00:00:00"/>
    <x v="204"/>
    <n v="11.37"/>
    <n v="0.3"/>
    <x v="2"/>
  </r>
  <r>
    <d v="2014-08-18T00:00:00"/>
    <x v="202"/>
    <n v="3.79"/>
    <n v="0.1"/>
    <x v="4"/>
  </r>
  <r>
    <d v="2014-08-18T00:00:00"/>
    <x v="199"/>
    <n v="11.42"/>
    <n v="0.3"/>
    <x v="1"/>
  </r>
  <r>
    <d v="2014-08-18T00:00:00"/>
    <x v="204"/>
    <n v="8.84"/>
    <n v="0.23"/>
    <x v="4"/>
  </r>
  <r>
    <d v="2014-08-18T00:00:00"/>
    <x v="199"/>
    <n v="11.69"/>
    <n v="0.31"/>
    <x v="1"/>
  </r>
  <r>
    <d v="2014-08-24T00:00:00"/>
    <x v="205"/>
    <n v="5.78"/>
    <n v="0.15"/>
    <x v="3"/>
  </r>
  <r>
    <d v="2014-08-24T00:00:00"/>
    <x v="206"/>
    <n v="19.54"/>
    <n v="0.51"/>
    <x v="0"/>
  </r>
  <r>
    <d v="2014-08-24T00:00:00"/>
    <x v="207"/>
    <n v="9.06"/>
    <n v="0.24"/>
    <x v="2"/>
  </r>
  <r>
    <d v="2014-08-24T00:00:00"/>
    <x v="202"/>
    <n v="13.81"/>
    <n v="0.36"/>
    <x v="1"/>
  </r>
  <r>
    <d v="2014-08-24T00:00:00"/>
    <x v="197"/>
    <n v="11.42"/>
    <n v="0.3"/>
    <x v="0"/>
  </r>
  <r>
    <d v="2014-08-24T00:00:00"/>
    <x v="193"/>
    <n v="14.31"/>
    <n v="0.38"/>
    <x v="2"/>
  </r>
  <r>
    <d v="2014-08-24T00:00:00"/>
    <x v="208"/>
    <n v="8.83"/>
    <n v="0.23"/>
    <x v="4"/>
  </r>
  <r>
    <d v="2014-08-24T00:00:00"/>
    <x v="192"/>
    <n v="14.31"/>
    <n v="0.38"/>
    <x v="4"/>
  </r>
  <r>
    <d v="2014-08-24T00:00:00"/>
    <x v="209"/>
    <n v="11.37"/>
    <n v="0.3"/>
    <x v="2"/>
  </r>
  <r>
    <d v="2014-08-24T00:00:00"/>
    <x v="208"/>
    <n v="11.44"/>
    <n v="0.3"/>
    <x v="2"/>
  </r>
  <r>
    <d v="2014-08-24T00:00:00"/>
    <x v="210"/>
    <n v="8.65"/>
    <n v="0.23"/>
    <x v="3"/>
  </r>
  <r>
    <d v="2014-08-25T00:00:00"/>
    <x v="197"/>
    <n v="11.42"/>
    <n v="0.3"/>
    <x v="0"/>
  </r>
  <r>
    <d v="2014-08-25T00:00:00"/>
    <x v="197"/>
    <n v="8.39"/>
    <n v="0.22"/>
    <x v="2"/>
  </r>
  <r>
    <d v="2014-08-25T00:00:00"/>
    <x v="201"/>
    <n v="9.74"/>
    <n v="0.26"/>
    <x v="3"/>
  </r>
  <r>
    <d v="2014-08-25T00:00:00"/>
    <x v="211"/>
    <n v="5.23"/>
    <n v="0.14000000000000001"/>
    <x v="1"/>
  </r>
  <r>
    <d v="2014-08-25T00:00:00"/>
    <x v="208"/>
    <n v="8.39"/>
    <n v="0.22"/>
    <x v="4"/>
  </r>
  <r>
    <d v="2014-08-26T00:00:00"/>
    <x v="212"/>
    <n v="5.23"/>
    <n v="0.14000000000000001"/>
    <x v="3"/>
  </r>
  <r>
    <d v="2014-08-27T00:00:00"/>
    <x v="203"/>
    <n v="6.34"/>
    <n v="0.17"/>
    <x v="3"/>
  </r>
  <r>
    <d v="2014-08-30T00:00:00"/>
    <x v="213"/>
    <n v="10.93"/>
    <n v="0.28999999999999998"/>
    <x v="3"/>
  </r>
  <r>
    <d v="2014-08-30T00:00:00"/>
    <x v="208"/>
    <n v="8.89"/>
    <n v="0.23"/>
    <x v="2"/>
  </r>
  <r>
    <d v="2014-08-30T00:00:00"/>
    <x v="214"/>
    <n v="5.57"/>
    <n v="0.15"/>
    <x v="2"/>
  </r>
  <r>
    <d v="2014-08-30T00:00:00"/>
    <x v="215"/>
    <n v="6.23"/>
    <n v="0.16"/>
    <x v="4"/>
  </r>
  <r>
    <d v="2014-08-30T00:00:00"/>
    <x v="212"/>
    <n v="11.42"/>
    <n v="0.3"/>
    <x v="3"/>
  </r>
  <r>
    <d v="2014-08-30T00:00:00"/>
    <x v="211"/>
    <n v="16.940000000000001"/>
    <n v="0.45"/>
    <x v="4"/>
  </r>
  <r>
    <d v="2014-09-03T00:00:00"/>
    <x v="216"/>
    <n v="7.06"/>
    <n v="0.19"/>
    <x v="3"/>
  </r>
  <r>
    <d v="2014-09-04T00:00:00"/>
    <x v="217"/>
    <n v="5.64"/>
    <n v="0.15"/>
    <x v="3"/>
  </r>
  <r>
    <d v="2014-09-04T00:00:00"/>
    <x v="218"/>
    <n v="7.3"/>
    <n v="0.19"/>
    <x v="4"/>
  </r>
  <r>
    <d v="2014-09-04T00:00:00"/>
    <x v="212"/>
    <n v="7.06"/>
    <n v="0.19"/>
    <x v="4"/>
  </r>
  <r>
    <d v="2014-09-04T00:00:00"/>
    <x v="212"/>
    <n v="5.64"/>
    <n v="0.15"/>
    <x v="0"/>
  </r>
  <r>
    <d v="2014-09-04T00:00:00"/>
    <x v="219"/>
    <n v="3.73"/>
    <n v="0.1"/>
    <x v="1"/>
  </r>
  <r>
    <d v="2014-09-04T00:00:00"/>
    <x v="213"/>
    <n v="13.81"/>
    <n v="0.36"/>
    <x v="1"/>
  </r>
  <r>
    <d v="2014-09-04T00:00:00"/>
    <x v="212"/>
    <n v="5.47"/>
    <n v="0.14000000000000001"/>
    <x v="2"/>
  </r>
  <r>
    <d v="2014-09-04T00:00:00"/>
    <x v="220"/>
    <n v="7.31"/>
    <n v="0.19"/>
    <x v="1"/>
  </r>
  <r>
    <d v="2014-09-04T00:00:00"/>
    <x v="196"/>
    <n v="3.73"/>
    <n v="0.1"/>
    <x v="4"/>
  </r>
  <r>
    <d v="2014-09-04T00:00:00"/>
    <x v="215"/>
    <n v="8.39"/>
    <n v="0.22"/>
    <x v="3"/>
  </r>
  <r>
    <d v="2014-09-04T00:00:00"/>
    <x v="221"/>
    <n v="13.07"/>
    <n v="0.34"/>
    <x v="2"/>
  </r>
  <r>
    <d v="2014-09-04T00:00:00"/>
    <x v="207"/>
    <n v="7.35"/>
    <n v="0.19"/>
    <x v="4"/>
  </r>
  <r>
    <d v="2014-09-04T00:00:00"/>
    <x v="212"/>
    <n v="14.31"/>
    <n v="0.38"/>
    <x v="0"/>
  </r>
  <r>
    <d v="2014-09-04T00:00:00"/>
    <x v="220"/>
    <n v="5.57"/>
    <n v="0.15"/>
    <x v="3"/>
  </r>
  <r>
    <d v="2014-09-04T00:00:00"/>
    <x v="196"/>
    <n v="5.23"/>
    <n v="0.14000000000000001"/>
    <x v="2"/>
  </r>
  <r>
    <d v="2014-09-04T00:00:00"/>
    <x v="222"/>
    <n v="10.79"/>
    <n v="0.28000000000000003"/>
    <x v="3"/>
  </r>
  <r>
    <d v="2014-09-04T00:00:00"/>
    <x v="204"/>
    <n v="2.72"/>
    <n v="7.0000000000000007E-2"/>
    <x v="2"/>
  </r>
  <r>
    <d v="2014-09-05T00:00:00"/>
    <x v="223"/>
    <n v="7.55"/>
    <n v="0.2"/>
    <x v="4"/>
  </r>
  <r>
    <d v="2014-09-05T00:00:00"/>
    <x v="224"/>
    <n v="6.43"/>
    <n v="0.17"/>
    <x v="2"/>
  </r>
  <r>
    <d v="2014-09-05T00:00:00"/>
    <x v="225"/>
    <n v="3.88"/>
    <n v="0.1"/>
    <x v="1"/>
  </r>
  <r>
    <d v="2014-09-05T00:00:00"/>
    <x v="219"/>
    <n v="5.67"/>
    <n v="0.15"/>
    <x v="3"/>
  </r>
  <r>
    <d v="2014-09-05T00:00:00"/>
    <x v="219"/>
    <n v="12.01"/>
    <n v="0.32"/>
    <x v="3"/>
  </r>
  <r>
    <d v="2014-09-05T00:00:00"/>
    <x v="213"/>
    <n v="6.58"/>
    <n v="0.17"/>
    <x v="1"/>
  </r>
  <r>
    <d v="2014-09-05T00:00:00"/>
    <x v="220"/>
    <n v="3.79"/>
    <n v="0.1"/>
    <x v="4"/>
  </r>
  <r>
    <d v="2014-09-05T00:00:00"/>
    <x v="207"/>
    <n v="8.83"/>
    <n v="0.23"/>
    <x v="2"/>
  </r>
  <r>
    <d v="2014-09-05T00:00:00"/>
    <x v="207"/>
    <n v="14.31"/>
    <n v="0.38"/>
    <x v="4"/>
  </r>
  <r>
    <d v="2014-09-05T00:00:00"/>
    <x v="222"/>
    <n v="5.47"/>
    <n v="0.14000000000000001"/>
    <x v="4"/>
  </r>
  <r>
    <d v="2014-09-05T00:00:00"/>
    <x v="215"/>
    <n v="8.9499999999999993"/>
    <n v="0.24"/>
    <x v="3"/>
  </r>
  <r>
    <d v="2014-09-05T00:00:00"/>
    <x v="226"/>
    <n v="4.25"/>
    <n v="0.11"/>
    <x v="0"/>
  </r>
  <r>
    <d v="2014-09-05T00:00:00"/>
    <x v="208"/>
    <n v="6.88"/>
    <n v="0.18"/>
    <x v="0"/>
  </r>
  <r>
    <d v="2014-09-05T00:00:00"/>
    <x v="227"/>
    <n v="8.89"/>
    <n v="0.23"/>
    <x v="4"/>
  </r>
  <r>
    <d v="2014-09-07T00:00:00"/>
    <x v="228"/>
    <n v="6.43"/>
    <n v="0.17"/>
    <x v="0"/>
  </r>
  <r>
    <d v="2014-09-08T00:00:00"/>
    <x v="229"/>
    <n v="6.58"/>
    <n v="0.17"/>
    <x v="0"/>
  </r>
  <r>
    <d v="2014-09-08T00:00:00"/>
    <x v="218"/>
    <n v="5.67"/>
    <n v="0.15"/>
    <x v="2"/>
  </r>
  <r>
    <d v="2014-09-08T00:00:00"/>
    <x v="226"/>
    <n v="3.57"/>
    <n v="0.09"/>
    <x v="4"/>
  </r>
  <r>
    <d v="2014-09-08T00:00:00"/>
    <x v="209"/>
    <n v="3.73"/>
    <n v="0.1"/>
    <x v="4"/>
  </r>
  <r>
    <d v="2014-09-11T00:00:00"/>
    <x v="222"/>
    <n v="8.5399999999999991"/>
    <n v="0.22"/>
    <x v="3"/>
  </r>
  <r>
    <d v="2014-09-11T00:00:00"/>
    <x v="218"/>
    <n v="16.829999999999998"/>
    <n v="0.44"/>
    <x v="4"/>
  </r>
  <r>
    <d v="2014-09-11T00:00:00"/>
    <x v="229"/>
    <n v="11.42"/>
    <n v="0.3"/>
    <x v="1"/>
  </r>
  <r>
    <d v="2014-09-11T00:00:00"/>
    <x v="217"/>
    <n v="8.84"/>
    <n v="0.23"/>
    <x v="2"/>
  </r>
  <r>
    <d v="2014-09-11T00:00:00"/>
    <x v="224"/>
    <n v="6.75"/>
    <n v="0.18"/>
    <x v="1"/>
  </r>
  <r>
    <d v="2014-09-11T00:00:00"/>
    <x v="230"/>
    <n v="7.35"/>
    <n v="0.19"/>
    <x v="0"/>
  </r>
  <r>
    <d v="2014-09-15T00:00:00"/>
    <x v="231"/>
    <n v="3.57"/>
    <n v="0.09"/>
    <x v="3"/>
  </r>
  <r>
    <d v="2014-09-15T00:00:00"/>
    <x v="225"/>
    <n v="9.06"/>
    <n v="0.24"/>
    <x v="0"/>
  </r>
  <r>
    <d v="2014-09-16T00:00:00"/>
    <x v="224"/>
    <n v="9.4600000000000009"/>
    <n v="0.25"/>
    <x v="3"/>
  </r>
  <r>
    <d v="2014-09-16T00:00:00"/>
    <x v="232"/>
    <n v="8.9499999999999993"/>
    <n v="0.24"/>
    <x v="0"/>
  </r>
  <r>
    <d v="2014-09-16T00:00:00"/>
    <x v="233"/>
    <n v="9.06"/>
    <n v="0.24"/>
    <x v="2"/>
  </r>
  <r>
    <d v="2014-09-16T00:00:00"/>
    <x v="234"/>
    <n v="6.88"/>
    <n v="0.18"/>
    <x v="4"/>
  </r>
  <r>
    <d v="2014-09-16T00:00:00"/>
    <x v="235"/>
    <n v="9.1300000000000008"/>
    <n v="0.24"/>
    <x v="3"/>
  </r>
  <r>
    <d v="2014-09-16T00:00:00"/>
    <x v="232"/>
    <n v="12.01"/>
    <n v="0.32"/>
    <x v="4"/>
  </r>
  <r>
    <d v="2014-09-16T00:00:00"/>
    <x v="236"/>
    <n v="19.54"/>
    <n v="0.51"/>
    <x v="0"/>
  </r>
  <r>
    <d v="2014-09-16T00:00:00"/>
    <x v="229"/>
    <n v="10.199999999999999"/>
    <n v="0.27"/>
    <x v="0"/>
  </r>
  <r>
    <d v="2014-09-16T00:00:00"/>
    <x v="237"/>
    <n v="14.31"/>
    <n v="0.38"/>
    <x v="1"/>
  </r>
  <r>
    <d v="2014-09-16T00:00:00"/>
    <x v="232"/>
    <n v="8.89"/>
    <n v="0.23"/>
    <x v="1"/>
  </r>
  <r>
    <d v="2014-09-16T00:00:00"/>
    <x v="238"/>
    <n v="11.44"/>
    <n v="0.3"/>
    <x v="2"/>
  </r>
  <r>
    <d v="2014-09-16T00:00:00"/>
    <x v="227"/>
    <n v="6.43"/>
    <n v="0.17"/>
    <x v="0"/>
  </r>
  <r>
    <d v="2014-09-16T00:00:00"/>
    <x v="215"/>
    <n v="7.31"/>
    <n v="0.19"/>
    <x v="0"/>
  </r>
  <r>
    <d v="2014-09-16T00:00:00"/>
    <x v="232"/>
    <n v="8.5399999999999991"/>
    <n v="0.22"/>
    <x v="3"/>
  </r>
  <r>
    <d v="2014-09-16T00:00:00"/>
    <x v="216"/>
    <n v="4.25"/>
    <n v="0.11"/>
    <x v="1"/>
  </r>
  <r>
    <d v="2014-09-16T00:00:00"/>
    <x v="239"/>
    <n v="7.3"/>
    <n v="0.19"/>
    <x v="2"/>
  </r>
  <r>
    <d v="2014-09-16T00:00:00"/>
    <x v="230"/>
    <n v="11.37"/>
    <n v="0.3"/>
    <x v="1"/>
  </r>
  <r>
    <d v="2014-09-16T00:00:00"/>
    <x v="211"/>
    <n v="14.13"/>
    <n v="0.37"/>
    <x v="2"/>
  </r>
  <r>
    <d v="2014-09-16T00:00:00"/>
    <x v="238"/>
    <n v="11.44"/>
    <n v="0.3"/>
    <x v="2"/>
  </r>
  <r>
    <d v="2014-09-17T00:00:00"/>
    <x v="240"/>
    <n v="9.4600000000000009"/>
    <n v="0.25"/>
    <x v="1"/>
  </r>
  <r>
    <d v="2014-09-17T00:00:00"/>
    <x v="210"/>
    <n v="4.25"/>
    <n v="0.11"/>
    <x v="2"/>
  </r>
  <r>
    <d v="2014-09-17T00:00:00"/>
    <x v="227"/>
    <n v="7.31"/>
    <n v="0.19"/>
    <x v="3"/>
  </r>
  <r>
    <d v="2014-09-17T00:00:00"/>
    <x v="223"/>
    <n v="14"/>
    <n v="0.37"/>
    <x v="1"/>
  </r>
  <r>
    <d v="2014-09-17T00:00:00"/>
    <x v="215"/>
    <n v="6.23"/>
    <n v="0.16"/>
    <x v="2"/>
  </r>
  <r>
    <d v="2014-09-17T00:00:00"/>
    <x v="234"/>
    <n v="9.1300000000000008"/>
    <n v="0.24"/>
    <x v="4"/>
  </r>
  <r>
    <d v="2014-09-17T00:00:00"/>
    <x v="230"/>
    <n v="10.59"/>
    <n v="0.28000000000000003"/>
    <x v="0"/>
  </r>
  <r>
    <d v="2014-09-17T00:00:00"/>
    <x v="210"/>
    <n v="9.06"/>
    <n v="0.24"/>
    <x v="2"/>
  </r>
  <r>
    <d v="2014-09-17T00:00:00"/>
    <x v="216"/>
    <n v="7.06"/>
    <n v="0.19"/>
    <x v="2"/>
  </r>
  <r>
    <d v="2014-09-17T00:00:00"/>
    <x v="228"/>
    <n v="6.75"/>
    <n v="0.18"/>
    <x v="0"/>
  </r>
  <r>
    <d v="2014-09-17T00:00:00"/>
    <x v="227"/>
    <n v="7.3"/>
    <n v="0.19"/>
    <x v="3"/>
  </r>
  <r>
    <d v="2014-09-17T00:00:00"/>
    <x v="210"/>
    <n v="13.02"/>
    <n v="0.34"/>
    <x v="0"/>
  </r>
  <r>
    <d v="2014-09-17T00:00:00"/>
    <x v="225"/>
    <n v="14.13"/>
    <n v="0.37"/>
    <x v="4"/>
  </r>
  <r>
    <d v="2014-09-17T00:00:00"/>
    <x v="224"/>
    <n v="10.59"/>
    <n v="0.28000000000000003"/>
    <x v="4"/>
  </r>
  <r>
    <d v="2014-09-17T00:00:00"/>
    <x v="235"/>
    <n v="5.57"/>
    <n v="0.15"/>
    <x v="1"/>
  </r>
  <r>
    <d v="2014-09-18T00:00:00"/>
    <x v="224"/>
    <n v="5.57"/>
    <n v="0.15"/>
    <x v="2"/>
  </r>
  <r>
    <d v="2014-09-19T00:00:00"/>
    <x v="230"/>
    <n v="8.7200000000000006"/>
    <n v="0.23"/>
    <x v="2"/>
  </r>
  <r>
    <d v="2014-09-20T00:00:00"/>
    <x v="234"/>
    <n v="6.43"/>
    <n v="0.17"/>
    <x v="3"/>
  </r>
  <r>
    <d v="2014-09-22T00:00:00"/>
    <x v="241"/>
    <n v="3.57"/>
    <n v="0.09"/>
    <x v="2"/>
  </r>
  <r>
    <d v="2014-09-23T00:00:00"/>
    <x v="232"/>
    <n v="13.82"/>
    <n v="0.36"/>
    <x v="3"/>
  </r>
  <r>
    <d v="2014-09-23T00:00:00"/>
    <x v="237"/>
    <n v="11.37"/>
    <n v="0.3"/>
    <x v="0"/>
  </r>
  <r>
    <d v="2014-09-23T00:00:00"/>
    <x v="238"/>
    <n v="6.58"/>
    <n v="0.17"/>
    <x v="3"/>
  </r>
  <r>
    <d v="2014-09-23T00:00:00"/>
    <x v="240"/>
    <n v="11.69"/>
    <n v="0.31"/>
    <x v="0"/>
  </r>
  <r>
    <d v="2014-09-23T00:00:00"/>
    <x v="215"/>
    <n v="12.01"/>
    <n v="0.32"/>
    <x v="4"/>
  </r>
  <r>
    <d v="2014-09-23T00:00:00"/>
    <x v="232"/>
    <n v="6.43"/>
    <n v="0.17"/>
    <x v="2"/>
  </r>
  <r>
    <d v="2014-09-24T00:00:00"/>
    <x v="231"/>
    <n v="14.13"/>
    <n v="0.37"/>
    <x v="2"/>
  </r>
  <r>
    <d v="2014-09-26T00:00:00"/>
    <x v="242"/>
    <n v="3.73"/>
    <n v="0.1"/>
    <x v="2"/>
  </r>
  <r>
    <d v="2014-09-28T00:00:00"/>
    <x v="243"/>
    <n v="2.29"/>
    <n v="0.06"/>
    <x v="1"/>
  </r>
  <r>
    <d v="2014-09-28T00:00:00"/>
    <x v="244"/>
    <n v="14.13"/>
    <n v="0.37"/>
    <x v="4"/>
  </r>
  <r>
    <d v="2014-09-28T00:00:00"/>
    <x v="238"/>
    <n v="11.37"/>
    <n v="0.3"/>
    <x v="3"/>
  </r>
  <r>
    <d v="2014-09-28T00:00:00"/>
    <x v="235"/>
    <n v="16.940000000000001"/>
    <n v="0.45"/>
    <x v="2"/>
  </r>
  <r>
    <d v="2014-09-28T00:00:00"/>
    <x v="223"/>
    <n v="11.42"/>
    <n v="0.3"/>
    <x v="4"/>
  </r>
  <r>
    <d v="2014-09-28T00:00:00"/>
    <x v="223"/>
    <n v="4.25"/>
    <n v="0.11"/>
    <x v="3"/>
  </r>
  <r>
    <d v="2014-09-28T00:00:00"/>
    <x v="245"/>
    <n v="5.78"/>
    <n v="0.15"/>
    <x v="2"/>
  </r>
  <r>
    <d v="2014-09-28T00:00:00"/>
    <x v="229"/>
    <n v="5.23"/>
    <n v="0.14000000000000001"/>
    <x v="0"/>
  </r>
  <r>
    <d v="2014-09-28T00:00:00"/>
    <x v="246"/>
    <n v="10.79"/>
    <n v="0.28000000000000003"/>
    <x v="4"/>
  </r>
  <r>
    <d v="2014-09-28T00:00:00"/>
    <x v="233"/>
    <n v="5.78"/>
    <n v="0.15"/>
    <x v="1"/>
  </r>
  <r>
    <d v="2014-09-29T00:00:00"/>
    <x v="230"/>
    <n v="11.37"/>
    <n v="0.3"/>
    <x v="3"/>
  </r>
  <r>
    <d v="2014-09-29T00:00:00"/>
    <x v="240"/>
    <n v="8.9499999999999993"/>
    <n v="0.24"/>
    <x v="4"/>
  </r>
  <r>
    <d v="2014-09-29T00:00:00"/>
    <x v="241"/>
    <n v="10.199999999999999"/>
    <n v="0.27"/>
    <x v="4"/>
  </r>
  <r>
    <d v="2014-09-29T00:00:00"/>
    <x v="231"/>
    <n v="9.1300000000000008"/>
    <n v="0.24"/>
    <x v="3"/>
  </r>
  <r>
    <d v="2014-09-29T00:00:00"/>
    <x v="247"/>
    <n v="6.23"/>
    <n v="0.16"/>
    <x v="1"/>
  </r>
  <r>
    <d v="2014-09-29T00:00:00"/>
    <x v="247"/>
    <n v="8.84"/>
    <n v="0.23"/>
    <x v="3"/>
  </r>
  <r>
    <d v="2014-09-29T00:00:00"/>
    <x v="230"/>
    <n v="6.88"/>
    <n v="0.18"/>
    <x v="1"/>
  </r>
  <r>
    <d v="2014-09-29T00:00:00"/>
    <x v="231"/>
    <n v="8.84"/>
    <n v="0.23"/>
    <x v="2"/>
  </r>
  <r>
    <d v="2014-09-29T00:00:00"/>
    <x v="235"/>
    <n v="3.57"/>
    <n v="0.09"/>
    <x v="0"/>
  </r>
  <r>
    <d v="2014-09-29T00:00:00"/>
    <x v="244"/>
    <n v="5.64"/>
    <n v="0.15"/>
    <x v="0"/>
  </r>
  <r>
    <d v="2014-09-29T00:00:00"/>
    <x v="248"/>
    <n v="9.06"/>
    <n v="0.24"/>
    <x v="1"/>
  </r>
  <r>
    <d v="2014-09-29T00:00:00"/>
    <x v="228"/>
    <n v="7.55"/>
    <n v="0.2"/>
    <x v="2"/>
  </r>
  <r>
    <d v="2014-09-29T00:00:00"/>
    <x v="241"/>
    <n v="13.02"/>
    <n v="0.34"/>
    <x v="0"/>
  </r>
  <r>
    <d v="2014-09-29T00:00:00"/>
    <x v="223"/>
    <n v="8.9499999999999993"/>
    <n v="0.24"/>
    <x v="3"/>
  </r>
  <r>
    <d v="2014-09-29T00:00:00"/>
    <x v="229"/>
    <n v="10.93"/>
    <n v="0.28999999999999998"/>
    <x v="4"/>
  </r>
  <r>
    <d v="2014-09-29T00:00:00"/>
    <x v="249"/>
    <n v="7.3"/>
    <n v="0.19"/>
    <x v="0"/>
  </r>
  <r>
    <d v="2014-09-29T00:00:00"/>
    <x v="250"/>
    <n v="7.31"/>
    <n v="0.19"/>
    <x v="1"/>
  </r>
  <r>
    <d v="2014-09-29T00:00:00"/>
    <x v="229"/>
    <n v="13.07"/>
    <n v="0.34"/>
    <x v="0"/>
  </r>
  <r>
    <d v="2014-09-29T00:00:00"/>
    <x v="233"/>
    <n v="5.67"/>
    <n v="0.15"/>
    <x v="3"/>
  </r>
  <r>
    <d v="2014-09-30T00:00:00"/>
    <x v="238"/>
    <n v="2.72"/>
    <n v="7.0000000000000007E-2"/>
    <x v="1"/>
  </r>
  <r>
    <d v="2014-10-01T00:00:00"/>
    <x v="230"/>
    <n v="5.67"/>
    <n v="0.15"/>
    <x v="3"/>
  </r>
  <r>
    <d v="2014-10-01T00:00:00"/>
    <x v="242"/>
    <n v="5.67"/>
    <n v="0.15"/>
    <x v="0"/>
  </r>
  <r>
    <d v="2014-10-02T00:00:00"/>
    <x v="235"/>
    <n v="3.94"/>
    <n v="0.1"/>
    <x v="0"/>
  </r>
  <r>
    <d v="2014-10-02T00:00:00"/>
    <x v="251"/>
    <n v="5.64"/>
    <n v="0.15"/>
    <x v="4"/>
  </r>
  <r>
    <d v="2014-10-03T00:00:00"/>
    <x v="247"/>
    <n v="2.0099999999999998"/>
    <n v="0.05"/>
    <x v="1"/>
  </r>
  <r>
    <d v="2014-10-03T00:00:00"/>
    <x v="248"/>
    <n v="3.73"/>
    <n v="0.1"/>
    <x v="3"/>
  </r>
  <r>
    <d v="2014-10-03T00:00:00"/>
    <x v="231"/>
    <n v="3.73"/>
    <n v="0.1"/>
    <x v="2"/>
  </r>
  <r>
    <d v="2014-10-05T00:00:00"/>
    <x v="252"/>
    <n v="4.25"/>
    <n v="0.11"/>
    <x v="0"/>
  </r>
  <r>
    <d v="2014-10-05T00:00:00"/>
    <x v="242"/>
    <n v="11.42"/>
    <n v="0.3"/>
    <x v="3"/>
  </r>
  <r>
    <d v="2014-10-05T00:00:00"/>
    <x v="250"/>
    <n v="13.07"/>
    <n v="0.34"/>
    <x v="4"/>
  </r>
  <r>
    <d v="2014-10-06T00:00:00"/>
    <x v="250"/>
    <n v="5.67"/>
    <n v="0.15"/>
    <x v="2"/>
  </r>
  <r>
    <d v="2014-10-06T00:00:00"/>
    <x v="239"/>
    <n v="6.23"/>
    <n v="0.16"/>
    <x v="3"/>
  </r>
  <r>
    <d v="2014-10-06T00:00:00"/>
    <x v="253"/>
    <n v="19.940000000000001"/>
    <n v="0.52"/>
    <x v="3"/>
  </r>
  <r>
    <d v="2014-10-06T00:00:00"/>
    <x v="238"/>
    <n v="6.88"/>
    <n v="0.18"/>
    <x v="4"/>
  </r>
  <r>
    <d v="2014-10-06T00:00:00"/>
    <x v="241"/>
    <n v="8.39"/>
    <n v="0.22"/>
    <x v="1"/>
  </r>
  <r>
    <d v="2014-10-10T00:00:00"/>
    <x v="243"/>
    <n v="11.44"/>
    <n v="0.3"/>
    <x v="3"/>
  </r>
  <r>
    <d v="2014-10-10T00:00:00"/>
    <x v="252"/>
    <n v="9.4600000000000009"/>
    <n v="0.25"/>
    <x v="0"/>
  </r>
  <r>
    <d v="2014-10-10T00:00:00"/>
    <x v="244"/>
    <n v="5.67"/>
    <n v="0.15"/>
    <x v="3"/>
  </r>
  <r>
    <d v="2014-10-10T00:00:00"/>
    <x v="254"/>
    <n v="13.82"/>
    <n v="0.36"/>
    <x v="2"/>
  </r>
  <r>
    <d v="2014-10-10T00:00:00"/>
    <x v="241"/>
    <n v="6.43"/>
    <n v="0.17"/>
    <x v="0"/>
  </r>
  <r>
    <d v="2014-10-10T00:00:00"/>
    <x v="242"/>
    <n v="2.0099999999999998"/>
    <n v="0.05"/>
    <x v="2"/>
  </r>
  <r>
    <d v="2014-10-10T00:00:00"/>
    <x v="255"/>
    <n v="6.43"/>
    <n v="0.17"/>
    <x v="0"/>
  </r>
  <r>
    <d v="2014-10-10T00:00:00"/>
    <x v="256"/>
    <n v="7.35"/>
    <n v="0.19"/>
    <x v="1"/>
  </r>
  <r>
    <d v="2014-10-10T00:00:00"/>
    <x v="254"/>
    <n v="16.55"/>
    <n v="0.44"/>
    <x v="1"/>
  </r>
  <r>
    <d v="2014-10-10T00:00:00"/>
    <x v="242"/>
    <n v="9.06"/>
    <n v="0.24"/>
    <x v="1"/>
  </r>
  <r>
    <d v="2014-10-10T00:00:00"/>
    <x v="257"/>
    <n v="10.59"/>
    <n v="0.28000000000000003"/>
    <x v="3"/>
  </r>
  <r>
    <d v="2014-10-10T00:00:00"/>
    <x v="245"/>
    <n v="7.71"/>
    <n v="0.2"/>
    <x v="4"/>
  </r>
  <r>
    <d v="2014-10-10T00:00:00"/>
    <x v="258"/>
    <n v="10.19"/>
    <n v="0.27"/>
    <x v="3"/>
  </r>
  <r>
    <d v="2014-10-10T00:00:00"/>
    <x v="242"/>
    <n v="4.25"/>
    <n v="0.11"/>
    <x v="3"/>
  </r>
  <r>
    <d v="2014-10-10T00:00:00"/>
    <x v="244"/>
    <n v="9.06"/>
    <n v="0.24"/>
    <x v="4"/>
  </r>
  <r>
    <d v="2014-10-11T00:00:00"/>
    <x v="247"/>
    <n v="8.65"/>
    <n v="0.23"/>
    <x v="3"/>
  </r>
  <r>
    <d v="2014-10-11T00:00:00"/>
    <x v="259"/>
    <n v="8.84"/>
    <n v="0.23"/>
    <x v="3"/>
  </r>
  <r>
    <d v="2014-10-11T00:00:00"/>
    <x v="247"/>
    <n v="4.25"/>
    <n v="0.11"/>
    <x v="0"/>
  </r>
  <r>
    <d v="2014-10-11T00:00:00"/>
    <x v="240"/>
    <n v="5.47"/>
    <n v="0.14000000000000001"/>
    <x v="0"/>
  </r>
  <r>
    <d v="2014-10-11T00:00:00"/>
    <x v="252"/>
    <n v="14.31"/>
    <n v="0.38"/>
    <x v="4"/>
  </r>
  <r>
    <d v="2014-10-11T00:00:00"/>
    <x v="258"/>
    <n v="13.81"/>
    <n v="0.36"/>
    <x v="1"/>
  </r>
  <r>
    <d v="2014-10-11T00:00:00"/>
    <x v="260"/>
    <n v="9.74"/>
    <n v="0.26"/>
    <x v="4"/>
  </r>
  <r>
    <d v="2014-10-11T00:00:00"/>
    <x v="261"/>
    <n v="9.4600000000000009"/>
    <n v="0.25"/>
    <x v="0"/>
  </r>
  <r>
    <d v="2014-10-11T00:00:00"/>
    <x v="253"/>
    <n v="7.31"/>
    <n v="0.19"/>
    <x v="2"/>
  </r>
  <r>
    <d v="2014-10-11T00:00:00"/>
    <x v="257"/>
    <n v="11.78"/>
    <n v="0.31"/>
    <x v="3"/>
  </r>
  <r>
    <d v="2014-10-11T00:00:00"/>
    <x v="253"/>
    <n v="13.82"/>
    <n v="0.36"/>
    <x v="3"/>
  </r>
  <r>
    <d v="2014-10-13T00:00:00"/>
    <x v="255"/>
    <n v="3.94"/>
    <n v="0.1"/>
    <x v="0"/>
  </r>
  <r>
    <d v="2014-10-13T00:00:00"/>
    <x v="262"/>
    <n v="6.58"/>
    <n v="0.17"/>
    <x v="0"/>
  </r>
  <r>
    <d v="2014-10-13T00:00:00"/>
    <x v="249"/>
    <n v="6.34"/>
    <n v="0.17"/>
    <x v="3"/>
  </r>
  <r>
    <d v="2014-10-13T00:00:00"/>
    <x v="260"/>
    <n v="6.58"/>
    <n v="0.17"/>
    <x v="3"/>
  </r>
  <r>
    <d v="2014-10-13T00:00:00"/>
    <x v="258"/>
    <n v="6.34"/>
    <n v="0.17"/>
    <x v="4"/>
  </r>
  <r>
    <d v="2014-10-14T00:00:00"/>
    <x v="263"/>
    <n v="6.43"/>
    <n v="0.17"/>
    <x v="1"/>
  </r>
  <r>
    <d v="2014-10-15T00:00:00"/>
    <x v="264"/>
    <n v="2.0099999999999998"/>
    <n v="0.05"/>
    <x v="1"/>
  </r>
  <r>
    <d v="2014-10-15T00:00:00"/>
    <x v="265"/>
    <n v="2.72"/>
    <n v="7.0000000000000007E-2"/>
    <x v="3"/>
  </r>
  <r>
    <d v="2014-10-16T00:00:00"/>
    <x v="262"/>
    <n v="3.73"/>
    <n v="0.1"/>
    <x v="0"/>
  </r>
  <r>
    <d v="2014-10-17T00:00:00"/>
    <x v="252"/>
    <n v="5.64"/>
    <n v="0.15"/>
    <x v="1"/>
  </r>
  <r>
    <d v="2014-10-17T00:00:00"/>
    <x v="251"/>
    <n v="11.78"/>
    <n v="0.31"/>
    <x v="0"/>
  </r>
  <r>
    <d v="2014-10-17T00:00:00"/>
    <x v="249"/>
    <n v="9.4600000000000009"/>
    <n v="0.25"/>
    <x v="0"/>
  </r>
  <r>
    <d v="2014-10-17T00:00:00"/>
    <x v="257"/>
    <n v="4.25"/>
    <n v="0.11"/>
    <x v="4"/>
  </r>
  <r>
    <d v="2014-10-17T00:00:00"/>
    <x v="266"/>
    <n v="11.42"/>
    <n v="0.3"/>
    <x v="3"/>
  </r>
  <r>
    <d v="2014-10-17T00:00:00"/>
    <x v="266"/>
    <n v="8.5399999999999991"/>
    <n v="0.22"/>
    <x v="4"/>
  </r>
  <r>
    <d v="2014-10-18T00:00:00"/>
    <x v="243"/>
    <n v="2.72"/>
    <n v="7.0000000000000007E-2"/>
    <x v="2"/>
  </r>
  <r>
    <d v="2014-10-22T00:00:00"/>
    <x v="263"/>
    <n v="11.78"/>
    <n v="0.31"/>
    <x v="4"/>
  </r>
  <r>
    <d v="2014-10-22T00:00:00"/>
    <x v="267"/>
    <n v="8.89"/>
    <n v="0.23"/>
    <x v="3"/>
  </r>
  <r>
    <d v="2014-10-22T00:00:00"/>
    <x v="252"/>
    <n v="3.94"/>
    <n v="0.1"/>
    <x v="0"/>
  </r>
  <r>
    <d v="2014-10-22T00:00:00"/>
    <x v="268"/>
    <n v="6.23"/>
    <n v="0.16"/>
    <x v="0"/>
  </r>
  <r>
    <d v="2014-10-22T00:00:00"/>
    <x v="269"/>
    <n v="9.4600000000000009"/>
    <n v="0.25"/>
    <x v="1"/>
  </r>
  <r>
    <d v="2014-10-22T00:00:00"/>
    <x v="251"/>
    <n v="11.42"/>
    <n v="0.3"/>
    <x v="1"/>
  </r>
  <r>
    <d v="2014-10-22T00:00:00"/>
    <x v="258"/>
    <n v="8.84"/>
    <n v="0.23"/>
    <x v="4"/>
  </r>
  <r>
    <d v="2014-10-22T00:00:00"/>
    <x v="258"/>
    <n v="6.34"/>
    <n v="0.17"/>
    <x v="2"/>
  </r>
  <r>
    <d v="2014-10-22T00:00:00"/>
    <x v="260"/>
    <n v="5.67"/>
    <n v="0.15"/>
    <x v="2"/>
  </r>
  <r>
    <d v="2014-10-22T00:00:00"/>
    <x v="264"/>
    <n v="11.78"/>
    <n v="0.31"/>
    <x v="0"/>
  </r>
  <r>
    <d v="2014-10-22T00:00:00"/>
    <x v="256"/>
    <n v="13.82"/>
    <n v="0.36"/>
    <x v="4"/>
  </r>
  <r>
    <d v="2014-10-22T00:00:00"/>
    <x v="270"/>
    <n v="3.57"/>
    <n v="0.09"/>
    <x v="4"/>
  </r>
  <r>
    <d v="2014-10-22T00:00:00"/>
    <x v="264"/>
    <n v="6.88"/>
    <n v="0.18"/>
    <x v="4"/>
  </r>
  <r>
    <d v="2014-10-22T00:00:00"/>
    <x v="270"/>
    <n v="7.3"/>
    <n v="0.19"/>
    <x v="0"/>
  </r>
  <r>
    <d v="2014-10-22T00:00:00"/>
    <x v="266"/>
    <n v="9.74"/>
    <n v="0.26"/>
    <x v="2"/>
  </r>
  <r>
    <d v="2014-10-22T00:00:00"/>
    <x v="257"/>
    <n v="8.65"/>
    <n v="0.23"/>
    <x v="2"/>
  </r>
  <r>
    <d v="2014-10-22T00:00:00"/>
    <x v="264"/>
    <n v="3.57"/>
    <n v="0.09"/>
    <x v="0"/>
  </r>
  <r>
    <d v="2014-10-22T00:00:00"/>
    <x v="261"/>
    <n v="4.25"/>
    <n v="0.11"/>
    <x v="1"/>
  </r>
  <r>
    <d v="2014-10-22T00:00:00"/>
    <x v="248"/>
    <n v="13.02"/>
    <n v="0.34"/>
    <x v="2"/>
  </r>
  <r>
    <d v="2014-10-23T00:00:00"/>
    <x v="257"/>
    <n v="11.44"/>
    <n v="0.3"/>
    <x v="1"/>
  </r>
  <r>
    <d v="2014-10-23T00:00:00"/>
    <x v="264"/>
    <n v="11.78"/>
    <n v="0.31"/>
    <x v="0"/>
  </r>
  <r>
    <d v="2014-10-23T00:00:00"/>
    <x v="256"/>
    <n v="7.31"/>
    <n v="0.19"/>
    <x v="2"/>
  </r>
  <r>
    <d v="2014-10-23T00:00:00"/>
    <x v="253"/>
    <n v="3.79"/>
    <n v="0.1"/>
    <x v="3"/>
  </r>
  <r>
    <d v="2014-10-23T00:00:00"/>
    <x v="254"/>
    <n v="11.42"/>
    <n v="0.3"/>
    <x v="4"/>
  </r>
  <r>
    <d v="2014-10-23T00:00:00"/>
    <x v="266"/>
    <n v="7.31"/>
    <n v="0.19"/>
    <x v="1"/>
  </r>
  <r>
    <d v="2014-10-23T00:00:00"/>
    <x v="253"/>
    <n v="3.73"/>
    <n v="0.1"/>
    <x v="2"/>
  </r>
  <r>
    <d v="2014-10-23T00:00:00"/>
    <x v="271"/>
    <n v="9.06"/>
    <n v="0.24"/>
    <x v="2"/>
  </r>
  <r>
    <d v="2014-10-23T00:00:00"/>
    <x v="272"/>
    <n v="11.69"/>
    <n v="0.31"/>
    <x v="2"/>
  </r>
  <r>
    <d v="2014-10-23T00:00:00"/>
    <x v="268"/>
    <n v="10.79"/>
    <n v="0.28000000000000003"/>
    <x v="4"/>
  </r>
  <r>
    <d v="2014-10-23T00:00:00"/>
    <x v="273"/>
    <n v="14.13"/>
    <n v="0.37"/>
    <x v="1"/>
  </r>
  <r>
    <d v="2014-10-23T00:00:00"/>
    <x v="267"/>
    <n v="8.7200000000000006"/>
    <n v="0.23"/>
    <x v="2"/>
  </r>
  <r>
    <d v="2014-10-24T00:00:00"/>
    <x v="261"/>
    <n v="3.94"/>
    <n v="0.1"/>
    <x v="0"/>
  </r>
  <r>
    <d v="2014-10-24T00:00:00"/>
    <x v="274"/>
    <n v="3.73"/>
    <n v="0.1"/>
    <x v="4"/>
  </r>
  <r>
    <d v="2014-10-25T00:00:00"/>
    <x v="275"/>
    <n v="3.94"/>
    <n v="0.1"/>
    <x v="3"/>
  </r>
  <r>
    <d v="2014-10-25T00:00:00"/>
    <x v="274"/>
    <n v="3.57"/>
    <n v="0.09"/>
    <x v="2"/>
  </r>
  <r>
    <d v="2014-10-25T00:00:00"/>
    <x v="260"/>
    <n v="7.31"/>
    <n v="0.19"/>
    <x v="4"/>
  </r>
  <r>
    <d v="2014-10-26T00:00:00"/>
    <x v="274"/>
    <n v="6.58"/>
    <n v="0.17"/>
    <x v="0"/>
  </r>
  <r>
    <d v="2014-10-27T00:00:00"/>
    <x v="274"/>
    <n v="3.94"/>
    <n v="0.1"/>
    <x v="0"/>
  </r>
  <r>
    <d v="2014-10-28T00:00:00"/>
    <x v="273"/>
    <n v="5.47"/>
    <n v="0.14000000000000001"/>
    <x v="0"/>
  </r>
  <r>
    <d v="2014-10-29T00:00:00"/>
    <x v="270"/>
    <n v="5.23"/>
    <n v="0.14000000000000001"/>
    <x v="4"/>
  </r>
  <r>
    <d v="2014-10-29T00:00:00"/>
    <x v="276"/>
    <n v="6.58"/>
    <n v="0.17"/>
    <x v="0"/>
  </r>
  <r>
    <d v="2014-10-29T00:00:00"/>
    <x v="271"/>
    <n v="3.79"/>
    <n v="0.1"/>
    <x v="3"/>
  </r>
  <r>
    <d v="2014-10-29T00:00:00"/>
    <x v="265"/>
    <n v="5.64"/>
    <n v="0.15"/>
    <x v="1"/>
  </r>
  <r>
    <d v="2014-10-29T00:00:00"/>
    <x v="256"/>
    <n v="11.37"/>
    <n v="0.3"/>
    <x v="2"/>
  </r>
  <r>
    <d v="2014-10-29T00:00:00"/>
    <x v="277"/>
    <n v="8.9499999999999993"/>
    <n v="0.24"/>
    <x v="2"/>
  </r>
  <r>
    <d v="2014-10-29T00:00:00"/>
    <x v="269"/>
    <n v="3.94"/>
    <n v="0.1"/>
    <x v="0"/>
  </r>
  <r>
    <d v="2014-11-03T00:00:00"/>
    <x v="276"/>
    <n v="3.79"/>
    <n v="0.1"/>
    <x v="0"/>
  </r>
  <r>
    <d v="2014-11-03T00:00:00"/>
    <x v="278"/>
    <n v="6.43"/>
    <n v="0.17"/>
    <x v="2"/>
  </r>
  <r>
    <d v="2014-11-03T00:00:00"/>
    <x v="279"/>
    <n v="8.5399999999999991"/>
    <n v="0.22"/>
    <x v="1"/>
  </r>
  <r>
    <d v="2014-11-03T00:00:00"/>
    <x v="272"/>
    <n v="13.02"/>
    <n v="0.34"/>
    <x v="4"/>
  </r>
  <r>
    <d v="2014-11-03T00:00:00"/>
    <x v="268"/>
    <n v="5.64"/>
    <n v="0.15"/>
    <x v="3"/>
  </r>
  <r>
    <d v="2014-11-03T00:00:00"/>
    <x v="280"/>
    <n v="4.66"/>
    <n v="0.12"/>
    <x v="1"/>
  </r>
  <r>
    <d v="2014-11-03T00:00:00"/>
    <x v="281"/>
    <n v="7.71"/>
    <n v="0.2"/>
    <x v="0"/>
  </r>
  <r>
    <d v="2014-11-03T00:00:00"/>
    <x v="261"/>
    <n v="7.71"/>
    <n v="0.2"/>
    <x v="1"/>
  </r>
  <r>
    <d v="2014-11-03T00:00:00"/>
    <x v="271"/>
    <n v="6.34"/>
    <n v="0.17"/>
    <x v="4"/>
  </r>
  <r>
    <d v="2014-11-03T00:00:00"/>
    <x v="264"/>
    <n v="11.37"/>
    <n v="0.3"/>
    <x v="2"/>
  </r>
  <r>
    <d v="2014-11-03T00:00:00"/>
    <x v="265"/>
    <n v="6.34"/>
    <n v="0.17"/>
    <x v="2"/>
  </r>
  <r>
    <d v="2014-11-03T00:00:00"/>
    <x v="266"/>
    <n v="3.57"/>
    <n v="0.09"/>
    <x v="1"/>
  </r>
  <r>
    <d v="2014-11-03T00:00:00"/>
    <x v="274"/>
    <n v="7.31"/>
    <n v="0.19"/>
    <x v="4"/>
  </r>
  <r>
    <d v="2014-11-03T00:00:00"/>
    <x v="280"/>
    <n v="5.64"/>
    <n v="0.15"/>
    <x v="1"/>
  </r>
  <r>
    <d v="2014-11-03T00:00:00"/>
    <x v="274"/>
    <n v="4.25"/>
    <n v="0.11"/>
    <x v="1"/>
  </r>
  <r>
    <d v="2014-11-03T00:00:00"/>
    <x v="265"/>
    <n v="9.1300000000000008"/>
    <n v="0.24"/>
    <x v="0"/>
  </r>
  <r>
    <d v="2014-11-03T00:00:00"/>
    <x v="272"/>
    <n v="3.79"/>
    <n v="0.1"/>
    <x v="1"/>
  </r>
  <r>
    <d v="2014-11-03T00:00:00"/>
    <x v="279"/>
    <n v="9.1300000000000008"/>
    <n v="0.24"/>
    <x v="3"/>
  </r>
  <r>
    <d v="2014-11-04T00:00:00"/>
    <x v="268"/>
    <n v="11.44"/>
    <n v="0.3"/>
    <x v="1"/>
  </r>
  <r>
    <d v="2014-11-04T00:00:00"/>
    <x v="282"/>
    <n v="5.47"/>
    <n v="0.14000000000000001"/>
    <x v="1"/>
  </r>
  <r>
    <d v="2014-11-04T00:00:00"/>
    <x v="281"/>
    <n v="14.13"/>
    <n v="0.37"/>
    <x v="2"/>
  </r>
  <r>
    <d v="2014-11-04T00:00:00"/>
    <x v="272"/>
    <n v="11.69"/>
    <n v="0.31"/>
    <x v="4"/>
  </r>
  <r>
    <d v="2014-11-04T00:00:00"/>
    <x v="283"/>
    <n v="6.75"/>
    <n v="0.18"/>
    <x v="2"/>
  </r>
  <r>
    <d v="2014-11-04T00:00:00"/>
    <x v="276"/>
    <n v="8.65"/>
    <n v="0.23"/>
    <x v="1"/>
  </r>
  <r>
    <d v="2014-11-04T00:00:00"/>
    <x v="284"/>
    <n v="10.93"/>
    <n v="0.28999999999999998"/>
    <x v="0"/>
  </r>
  <r>
    <d v="2014-11-04T00:00:00"/>
    <x v="276"/>
    <n v="16.55"/>
    <n v="0.44"/>
    <x v="1"/>
  </r>
  <r>
    <d v="2014-11-04T00:00:00"/>
    <x v="268"/>
    <n v="9.06"/>
    <n v="0.24"/>
    <x v="3"/>
  </r>
  <r>
    <d v="2014-11-04T00:00:00"/>
    <x v="285"/>
    <n v="9.06"/>
    <n v="0.24"/>
    <x v="3"/>
  </r>
  <r>
    <d v="2014-11-04T00:00:00"/>
    <x v="277"/>
    <n v="6.43"/>
    <n v="0.17"/>
    <x v="2"/>
  </r>
  <r>
    <d v="2014-11-04T00:00:00"/>
    <x v="264"/>
    <n v="6.23"/>
    <n v="0.16"/>
    <x v="4"/>
  </r>
  <r>
    <d v="2014-11-04T00:00:00"/>
    <x v="286"/>
    <n v="6.75"/>
    <n v="0.18"/>
    <x v="4"/>
  </r>
  <r>
    <d v="2014-11-04T00:00:00"/>
    <x v="265"/>
    <n v="10.79"/>
    <n v="0.28000000000000003"/>
    <x v="1"/>
  </r>
  <r>
    <d v="2014-11-06T00:00:00"/>
    <x v="272"/>
    <n v="5.67"/>
    <n v="0.15"/>
    <x v="3"/>
  </r>
  <r>
    <d v="2014-11-06T00:00:00"/>
    <x v="267"/>
    <n v="11.44"/>
    <n v="0.3"/>
    <x v="3"/>
  </r>
  <r>
    <d v="2014-11-07T00:00:00"/>
    <x v="287"/>
    <n v="4.25"/>
    <n v="0.11"/>
    <x v="0"/>
  </r>
  <r>
    <d v="2014-11-07T00:00:00"/>
    <x v="265"/>
    <n v="3.94"/>
    <n v="0.1"/>
    <x v="2"/>
  </r>
  <r>
    <d v="2014-11-07T00:00:00"/>
    <x v="282"/>
    <n v="3.57"/>
    <n v="0.09"/>
    <x v="3"/>
  </r>
  <r>
    <d v="2014-11-07T00:00:00"/>
    <x v="286"/>
    <n v="5.67"/>
    <n v="0.15"/>
    <x v="1"/>
  </r>
  <r>
    <d v="2014-11-07T00:00:00"/>
    <x v="288"/>
    <n v="5.67"/>
    <n v="0.15"/>
    <x v="3"/>
  </r>
  <r>
    <d v="2014-11-10T00:00:00"/>
    <x v="289"/>
    <n v="16.829999999999998"/>
    <n v="0.44"/>
    <x v="1"/>
  </r>
  <r>
    <d v="2014-11-13T00:00:00"/>
    <x v="270"/>
    <n v="5.23"/>
    <n v="0.14000000000000001"/>
    <x v="3"/>
  </r>
  <r>
    <d v="2014-11-14T00:00:00"/>
    <x v="280"/>
    <n v="3.73"/>
    <n v="0.1"/>
    <x v="4"/>
  </r>
  <r>
    <d v="2014-11-15T00:00:00"/>
    <x v="290"/>
    <n v="8.7200000000000006"/>
    <n v="0.23"/>
    <x v="1"/>
  </r>
  <r>
    <d v="2014-11-15T00:00:00"/>
    <x v="284"/>
    <n v="19.54"/>
    <n v="0.51"/>
    <x v="2"/>
  </r>
  <r>
    <d v="2014-11-15T00:00:00"/>
    <x v="291"/>
    <n v="2.29"/>
    <n v="0.06"/>
    <x v="3"/>
  </r>
  <r>
    <d v="2014-11-15T00:00:00"/>
    <x v="292"/>
    <n v="8.9499999999999993"/>
    <n v="0.24"/>
    <x v="1"/>
  </r>
  <r>
    <d v="2014-11-15T00:00:00"/>
    <x v="277"/>
    <n v="5.67"/>
    <n v="0.15"/>
    <x v="1"/>
  </r>
  <r>
    <d v="2014-11-15T00:00:00"/>
    <x v="293"/>
    <n v="8.83"/>
    <n v="0.23"/>
    <x v="3"/>
  </r>
  <r>
    <d v="2014-11-15T00:00:00"/>
    <x v="275"/>
    <n v="10.79"/>
    <n v="0.28000000000000003"/>
    <x v="3"/>
  </r>
  <r>
    <d v="2014-11-15T00:00:00"/>
    <x v="269"/>
    <n v="5.67"/>
    <n v="0.15"/>
    <x v="1"/>
  </r>
  <r>
    <d v="2014-11-15T00:00:00"/>
    <x v="282"/>
    <n v="14.31"/>
    <n v="0.38"/>
    <x v="0"/>
  </r>
  <r>
    <d v="2014-11-15T00:00:00"/>
    <x v="294"/>
    <n v="5.67"/>
    <n v="0.15"/>
    <x v="1"/>
  </r>
  <r>
    <d v="2014-11-15T00:00:00"/>
    <x v="269"/>
    <n v="6.75"/>
    <n v="0.18"/>
    <x v="1"/>
  </r>
  <r>
    <d v="2014-11-15T00:00:00"/>
    <x v="274"/>
    <n v="12.01"/>
    <n v="0.32"/>
    <x v="3"/>
  </r>
  <r>
    <d v="2014-11-15T00:00:00"/>
    <x v="295"/>
    <n v="5.23"/>
    <n v="0.14000000000000001"/>
    <x v="1"/>
  </r>
  <r>
    <d v="2014-11-15T00:00:00"/>
    <x v="289"/>
    <n v="13.81"/>
    <n v="0.36"/>
    <x v="3"/>
  </r>
  <r>
    <d v="2014-11-15T00:00:00"/>
    <x v="283"/>
    <n v="5.23"/>
    <n v="0.14000000000000001"/>
    <x v="4"/>
  </r>
  <r>
    <d v="2014-11-16T00:00:00"/>
    <x v="281"/>
    <n v="4.25"/>
    <n v="0.11"/>
    <x v="1"/>
  </r>
  <r>
    <d v="2014-11-16T00:00:00"/>
    <x v="296"/>
    <n v="5.23"/>
    <n v="0.14000000000000001"/>
    <x v="3"/>
  </r>
  <r>
    <d v="2014-11-16T00:00:00"/>
    <x v="297"/>
    <n v="6.23"/>
    <n v="0.16"/>
    <x v="2"/>
  </r>
  <r>
    <d v="2014-11-16T00:00:00"/>
    <x v="278"/>
    <n v="16.55"/>
    <n v="0.44"/>
    <x v="0"/>
  </r>
  <r>
    <d v="2014-11-16T00:00:00"/>
    <x v="280"/>
    <n v="5.78"/>
    <n v="0.15"/>
    <x v="1"/>
  </r>
  <r>
    <d v="2014-11-16T00:00:00"/>
    <x v="289"/>
    <n v="11.69"/>
    <n v="0.31"/>
    <x v="0"/>
  </r>
  <r>
    <d v="2014-11-16T00:00:00"/>
    <x v="290"/>
    <n v="11.78"/>
    <n v="0.31"/>
    <x v="2"/>
  </r>
  <r>
    <d v="2014-11-16T00:00:00"/>
    <x v="285"/>
    <n v="8.39"/>
    <n v="0.22"/>
    <x v="1"/>
  </r>
  <r>
    <d v="2014-11-16T00:00:00"/>
    <x v="294"/>
    <n v="6.75"/>
    <n v="0.18"/>
    <x v="1"/>
  </r>
  <r>
    <d v="2014-11-17T00:00:00"/>
    <x v="274"/>
    <n v="3.94"/>
    <n v="0.1"/>
    <x v="1"/>
  </r>
  <r>
    <d v="2014-11-17T00:00:00"/>
    <x v="291"/>
    <n v="3.57"/>
    <n v="0.09"/>
    <x v="1"/>
  </r>
  <r>
    <d v="2014-11-17T00:00:00"/>
    <x v="291"/>
    <n v="14.13"/>
    <n v="0.37"/>
    <x v="0"/>
  </r>
  <r>
    <d v="2014-11-17T00:00:00"/>
    <x v="288"/>
    <n v="5.57"/>
    <n v="0.15"/>
    <x v="2"/>
  </r>
  <r>
    <d v="2014-11-17T00:00:00"/>
    <x v="298"/>
    <n v="8.7200000000000006"/>
    <n v="0.23"/>
    <x v="2"/>
  </r>
  <r>
    <d v="2014-11-18T00:00:00"/>
    <x v="299"/>
    <n v="5.67"/>
    <n v="0.15"/>
    <x v="4"/>
  </r>
  <r>
    <d v="2014-11-18T00:00:00"/>
    <x v="282"/>
    <n v="3.94"/>
    <n v="0.1"/>
    <x v="3"/>
  </r>
  <r>
    <d v="2014-11-18T00:00:00"/>
    <x v="280"/>
    <n v="5.67"/>
    <n v="0.15"/>
    <x v="4"/>
  </r>
  <r>
    <d v="2014-11-19T00:00:00"/>
    <x v="296"/>
    <n v="6.34"/>
    <n v="0.17"/>
    <x v="1"/>
  </r>
  <r>
    <d v="2014-11-19T00:00:00"/>
    <x v="283"/>
    <n v="2.0099999999999998"/>
    <n v="0.05"/>
    <x v="3"/>
  </r>
  <r>
    <d v="2014-11-19T00:00:00"/>
    <x v="282"/>
    <n v="5.67"/>
    <n v="0.15"/>
    <x v="4"/>
  </r>
  <r>
    <d v="2014-11-19T00:00:00"/>
    <x v="277"/>
    <n v="6.43"/>
    <n v="0.17"/>
    <x v="0"/>
  </r>
  <r>
    <d v="2014-11-20T00:00:00"/>
    <x v="278"/>
    <n v="8.39"/>
    <n v="0.22"/>
    <x v="1"/>
  </r>
  <r>
    <d v="2014-11-20T00:00:00"/>
    <x v="281"/>
    <n v="5.67"/>
    <n v="0.15"/>
    <x v="0"/>
  </r>
  <r>
    <d v="2014-11-20T00:00:00"/>
    <x v="300"/>
    <n v="2.72"/>
    <n v="7.0000000000000007E-2"/>
    <x v="2"/>
  </r>
  <r>
    <d v="2014-11-21T00:00:00"/>
    <x v="291"/>
    <n v="7.31"/>
    <n v="0.19"/>
    <x v="3"/>
  </r>
  <r>
    <d v="2014-11-21T00:00:00"/>
    <x v="301"/>
    <n v="5.23"/>
    <n v="0.14000000000000001"/>
    <x v="1"/>
  </r>
  <r>
    <d v="2014-11-22T00:00:00"/>
    <x v="281"/>
    <n v="8.83"/>
    <n v="0.23"/>
    <x v="1"/>
  </r>
  <r>
    <d v="2014-11-22T00:00:00"/>
    <x v="278"/>
    <n v="2.0099999999999998"/>
    <n v="0.05"/>
    <x v="0"/>
  </r>
  <r>
    <d v="2014-11-22T00:00:00"/>
    <x v="297"/>
    <n v="8.89"/>
    <n v="0.23"/>
    <x v="1"/>
  </r>
  <r>
    <d v="2014-11-22T00:00:00"/>
    <x v="296"/>
    <n v="6.34"/>
    <n v="0.17"/>
    <x v="1"/>
  </r>
  <r>
    <d v="2014-11-22T00:00:00"/>
    <x v="281"/>
    <n v="14.31"/>
    <n v="0.38"/>
    <x v="4"/>
  </r>
  <r>
    <d v="2014-11-22T00:00:00"/>
    <x v="295"/>
    <n v="11.42"/>
    <n v="0.3"/>
    <x v="1"/>
  </r>
  <r>
    <d v="2014-11-22T00:00:00"/>
    <x v="277"/>
    <n v="9.4600000000000009"/>
    <n v="0.25"/>
    <x v="3"/>
  </r>
  <r>
    <d v="2014-11-23T00:00:00"/>
    <x v="296"/>
    <n v="6.58"/>
    <n v="0.17"/>
    <x v="0"/>
  </r>
  <r>
    <d v="2014-11-24T00:00:00"/>
    <x v="302"/>
    <n v="11.42"/>
    <n v="0.3"/>
    <x v="3"/>
  </r>
  <r>
    <d v="2014-11-24T00:00:00"/>
    <x v="303"/>
    <n v="2.29"/>
    <n v="0.06"/>
    <x v="1"/>
  </r>
  <r>
    <d v="2014-11-25T00:00:00"/>
    <x v="304"/>
    <n v="8.7200000000000006"/>
    <n v="0.23"/>
    <x v="4"/>
  </r>
  <r>
    <d v="2014-11-25T00:00:00"/>
    <x v="285"/>
    <n v="2.29"/>
    <n v="0.06"/>
    <x v="4"/>
  </r>
  <r>
    <d v="2014-11-25T00:00:00"/>
    <x v="284"/>
    <n v="6.58"/>
    <n v="0.17"/>
    <x v="4"/>
  </r>
  <r>
    <d v="2014-11-27T00:00:00"/>
    <x v="282"/>
    <n v="7.35"/>
    <n v="0.19"/>
    <x v="1"/>
  </r>
  <r>
    <d v="2014-11-27T00:00:00"/>
    <x v="293"/>
    <n v="6.43"/>
    <n v="0.17"/>
    <x v="3"/>
  </r>
  <r>
    <d v="2014-11-27T00:00:00"/>
    <x v="299"/>
    <n v="8.65"/>
    <n v="0.23"/>
    <x v="4"/>
  </r>
  <r>
    <d v="2014-11-27T00:00:00"/>
    <x v="305"/>
    <n v="13.82"/>
    <n v="0.36"/>
    <x v="4"/>
  </r>
  <r>
    <d v="2014-11-27T00:00:00"/>
    <x v="306"/>
    <n v="5.67"/>
    <n v="0.15"/>
    <x v="3"/>
  </r>
  <r>
    <d v="2014-11-27T00:00:00"/>
    <x v="292"/>
    <n v="6.75"/>
    <n v="0.18"/>
    <x v="2"/>
  </r>
  <r>
    <d v="2014-11-27T00:00:00"/>
    <x v="306"/>
    <n v="5.67"/>
    <n v="0.15"/>
    <x v="0"/>
  </r>
  <r>
    <d v="2014-11-27T00:00:00"/>
    <x v="299"/>
    <n v="14.31"/>
    <n v="0.38"/>
    <x v="4"/>
  </r>
  <r>
    <d v="2014-11-27T00:00:00"/>
    <x v="298"/>
    <n v="16.55"/>
    <n v="0.44"/>
    <x v="3"/>
  </r>
  <r>
    <d v="2014-11-27T00:00:00"/>
    <x v="285"/>
    <n v="11.44"/>
    <n v="0.3"/>
    <x v="3"/>
  </r>
  <r>
    <d v="2014-11-27T00:00:00"/>
    <x v="306"/>
    <n v="4.66"/>
    <n v="0.12"/>
    <x v="3"/>
  </r>
  <r>
    <d v="2014-11-27T00:00:00"/>
    <x v="307"/>
    <n v="3.73"/>
    <n v="0.1"/>
    <x v="1"/>
  </r>
  <r>
    <d v="2014-11-27T00:00:00"/>
    <x v="293"/>
    <n v="6.75"/>
    <n v="0.18"/>
    <x v="4"/>
  </r>
  <r>
    <d v="2014-11-27T00:00:00"/>
    <x v="308"/>
    <n v="2.72"/>
    <n v="7.0000000000000007E-2"/>
    <x v="1"/>
  </r>
  <r>
    <d v="2014-11-27T00:00:00"/>
    <x v="301"/>
    <n v="7.71"/>
    <n v="0.2"/>
    <x v="1"/>
  </r>
  <r>
    <d v="2014-11-27T00:00:00"/>
    <x v="282"/>
    <n v="6.58"/>
    <n v="0.17"/>
    <x v="1"/>
  </r>
  <r>
    <d v="2014-11-27T00:00:00"/>
    <x v="292"/>
    <n v="8.89"/>
    <n v="0.23"/>
    <x v="2"/>
  </r>
  <r>
    <d v="2014-11-27T00:00:00"/>
    <x v="292"/>
    <n v="5.47"/>
    <n v="0.14000000000000001"/>
    <x v="3"/>
  </r>
  <r>
    <d v="2014-11-28T00:00:00"/>
    <x v="299"/>
    <n v="12.01"/>
    <n v="0.32"/>
    <x v="2"/>
  </r>
  <r>
    <d v="2014-11-28T00:00:00"/>
    <x v="294"/>
    <n v="11.44"/>
    <n v="0.3"/>
    <x v="4"/>
  </r>
  <r>
    <d v="2014-11-28T00:00:00"/>
    <x v="292"/>
    <n v="14.13"/>
    <n v="0.37"/>
    <x v="4"/>
  </r>
  <r>
    <d v="2014-11-28T00:00:00"/>
    <x v="297"/>
    <n v="8.9499999999999993"/>
    <n v="0.24"/>
    <x v="1"/>
  </r>
  <r>
    <d v="2014-11-28T00:00:00"/>
    <x v="295"/>
    <n v="8.89"/>
    <n v="0.23"/>
    <x v="2"/>
  </r>
  <r>
    <d v="2014-11-28T00:00:00"/>
    <x v="284"/>
    <n v="6.43"/>
    <n v="0.17"/>
    <x v="0"/>
  </r>
  <r>
    <d v="2014-11-28T00:00:00"/>
    <x v="285"/>
    <n v="3.94"/>
    <n v="0.1"/>
    <x v="4"/>
  </r>
  <r>
    <d v="2014-11-28T00:00:00"/>
    <x v="295"/>
    <n v="6.23"/>
    <n v="0.16"/>
    <x v="4"/>
  </r>
  <r>
    <d v="2014-11-28T00:00:00"/>
    <x v="309"/>
    <n v="13.82"/>
    <n v="0.36"/>
    <x v="4"/>
  </r>
  <r>
    <d v="2014-11-28T00:00:00"/>
    <x v="299"/>
    <n v="4.66"/>
    <n v="0.12"/>
    <x v="3"/>
  </r>
  <r>
    <d v="2014-11-28T00:00:00"/>
    <x v="310"/>
    <n v="6.58"/>
    <n v="0.17"/>
    <x v="1"/>
  </r>
  <r>
    <d v="2014-11-28T00:00:00"/>
    <x v="299"/>
    <n v="5.23"/>
    <n v="0.14000000000000001"/>
    <x v="2"/>
  </r>
  <r>
    <d v="2014-11-28T00:00:00"/>
    <x v="309"/>
    <n v="14"/>
    <n v="0.37"/>
    <x v="1"/>
  </r>
  <r>
    <d v="2014-11-28T00:00:00"/>
    <x v="304"/>
    <n v="8.65"/>
    <n v="0.23"/>
    <x v="2"/>
  </r>
  <r>
    <d v="2014-11-28T00:00:00"/>
    <x v="303"/>
    <n v="19.54"/>
    <n v="0.51"/>
    <x v="1"/>
  </r>
  <r>
    <d v="2014-11-28T00:00:00"/>
    <x v="305"/>
    <n v="8.83"/>
    <n v="0.23"/>
    <x v="2"/>
  </r>
  <r>
    <d v="2014-11-28T00:00:00"/>
    <x v="305"/>
    <n v="5.64"/>
    <n v="0.15"/>
    <x v="4"/>
  </r>
  <r>
    <d v="2014-11-28T00:00:00"/>
    <x v="307"/>
    <n v="8.89"/>
    <n v="0.23"/>
    <x v="3"/>
  </r>
  <r>
    <d v="2014-11-28T00:00:00"/>
    <x v="308"/>
    <n v="16.829999999999998"/>
    <n v="0.44"/>
    <x v="2"/>
  </r>
  <r>
    <d v="2014-11-28T00:00:00"/>
    <x v="293"/>
    <n v="11.42"/>
    <n v="0.3"/>
    <x v="2"/>
  </r>
  <r>
    <d v="2014-11-29T00:00:00"/>
    <x v="298"/>
    <n v="5.64"/>
    <n v="0.15"/>
    <x v="4"/>
  </r>
  <r>
    <d v="2014-12-01T00:00:00"/>
    <x v="290"/>
    <n v="8.7200000000000006"/>
    <n v="0.23"/>
    <x v="1"/>
  </r>
  <r>
    <d v="2014-12-01T00:00:00"/>
    <x v="305"/>
    <n v="5.67"/>
    <n v="0.15"/>
    <x v="0"/>
  </r>
  <r>
    <d v="2014-12-01T00:00:00"/>
    <x v="307"/>
    <n v="3.88"/>
    <n v="0.1"/>
    <x v="0"/>
  </r>
  <r>
    <d v="2014-12-01T00:00:00"/>
    <x v="311"/>
    <n v="6.58"/>
    <n v="0.17"/>
    <x v="0"/>
  </r>
  <r>
    <d v="2014-12-01T00:00:00"/>
    <x v="305"/>
    <n v="5.67"/>
    <n v="0.15"/>
    <x v="2"/>
  </r>
  <r>
    <d v="2014-12-01T00:00:00"/>
    <x v="305"/>
    <n v="6.34"/>
    <n v="0.17"/>
    <x v="1"/>
  </r>
  <r>
    <d v="2014-12-01T00:00:00"/>
    <x v="290"/>
    <n v="6.58"/>
    <n v="0.17"/>
    <x v="1"/>
  </r>
  <r>
    <d v="2014-12-02T00:00:00"/>
    <x v="287"/>
    <n v="5.67"/>
    <n v="0.15"/>
    <x v="4"/>
  </r>
  <r>
    <d v="2014-12-02T00:00:00"/>
    <x v="308"/>
    <n v="4.25"/>
    <n v="0.11"/>
    <x v="4"/>
  </r>
  <r>
    <d v="2014-12-02T00:00:00"/>
    <x v="306"/>
    <n v="8.84"/>
    <n v="0.23"/>
    <x v="4"/>
  </r>
  <r>
    <d v="2014-12-02T00:00:00"/>
    <x v="301"/>
    <n v="3.57"/>
    <n v="0.09"/>
    <x v="0"/>
  </r>
  <r>
    <d v="2014-12-02T00:00:00"/>
    <x v="301"/>
    <n v="2.0099999999999998"/>
    <n v="0.05"/>
    <x v="2"/>
  </r>
  <r>
    <d v="2014-12-02T00:00:00"/>
    <x v="306"/>
    <n v="3.73"/>
    <n v="0.1"/>
    <x v="4"/>
  </r>
  <r>
    <d v="2014-12-03T00:00:00"/>
    <x v="289"/>
    <n v="3.57"/>
    <n v="0.09"/>
    <x v="0"/>
  </r>
  <r>
    <d v="2014-12-04T00:00:00"/>
    <x v="304"/>
    <n v="6.58"/>
    <n v="0.17"/>
    <x v="3"/>
  </r>
  <r>
    <d v="2014-12-04T00:00:00"/>
    <x v="312"/>
    <n v="5.64"/>
    <n v="0.15"/>
    <x v="1"/>
  </r>
  <r>
    <d v="2014-12-04T00:00:00"/>
    <x v="311"/>
    <n v="3.88"/>
    <n v="0.1"/>
    <x v="2"/>
  </r>
  <r>
    <d v="2014-12-04T00:00:00"/>
    <x v="313"/>
    <n v="3.79"/>
    <n v="0.1"/>
    <x v="1"/>
  </r>
  <r>
    <d v="2014-12-04T00:00:00"/>
    <x v="296"/>
    <n v="11.37"/>
    <n v="0.3"/>
    <x v="2"/>
  </r>
  <r>
    <d v="2014-12-04T00:00:00"/>
    <x v="305"/>
    <n v="16.55"/>
    <n v="0.44"/>
    <x v="1"/>
  </r>
  <r>
    <d v="2014-12-04T00:00:00"/>
    <x v="314"/>
    <n v="6.88"/>
    <n v="0.18"/>
    <x v="3"/>
  </r>
  <r>
    <d v="2014-12-09T00:00:00"/>
    <x v="314"/>
    <n v="5.64"/>
    <n v="0.15"/>
    <x v="3"/>
  </r>
  <r>
    <d v="2014-12-09T00:00:00"/>
    <x v="315"/>
    <n v="3.57"/>
    <n v="0.09"/>
    <x v="3"/>
  </r>
  <r>
    <d v="2014-12-09T00:00:00"/>
    <x v="316"/>
    <n v="9.4600000000000009"/>
    <n v="0.25"/>
    <x v="1"/>
  </r>
  <r>
    <d v="2014-12-09T00:00:00"/>
    <x v="306"/>
    <n v="4.25"/>
    <n v="0.11"/>
    <x v="0"/>
  </r>
  <r>
    <d v="2014-12-09T00:00:00"/>
    <x v="303"/>
    <n v="5.67"/>
    <n v="0.15"/>
    <x v="0"/>
  </r>
  <r>
    <d v="2014-12-09T00:00:00"/>
    <x v="309"/>
    <n v="6.34"/>
    <n v="0.17"/>
    <x v="2"/>
  </r>
  <r>
    <d v="2014-12-09T00:00:00"/>
    <x v="302"/>
    <n v="14.13"/>
    <n v="0.37"/>
    <x v="1"/>
  </r>
  <r>
    <d v="2014-12-09T00:00:00"/>
    <x v="316"/>
    <n v="8.83"/>
    <n v="0.23"/>
    <x v="0"/>
  </r>
  <r>
    <d v="2014-12-09T00:00:00"/>
    <x v="317"/>
    <n v="7.31"/>
    <n v="0.19"/>
    <x v="2"/>
  </r>
  <r>
    <d v="2014-12-09T00:00:00"/>
    <x v="318"/>
    <n v="9.74"/>
    <n v="0.26"/>
    <x v="1"/>
  </r>
  <r>
    <d v="2014-12-09T00:00:00"/>
    <x v="319"/>
    <n v="11.42"/>
    <n v="0.3"/>
    <x v="3"/>
  </r>
  <r>
    <d v="2014-12-09T00:00:00"/>
    <x v="307"/>
    <n v="11.44"/>
    <n v="0.3"/>
    <x v="3"/>
  </r>
  <r>
    <d v="2014-12-09T00:00:00"/>
    <x v="303"/>
    <n v="7.35"/>
    <n v="0.19"/>
    <x v="4"/>
  </r>
  <r>
    <d v="2014-12-09T00:00:00"/>
    <x v="304"/>
    <n v="7.3"/>
    <n v="0.19"/>
    <x v="2"/>
  </r>
  <r>
    <d v="2014-12-09T00:00:00"/>
    <x v="311"/>
    <n v="8.65"/>
    <n v="0.23"/>
    <x v="3"/>
  </r>
  <r>
    <d v="2014-12-09T00:00:00"/>
    <x v="302"/>
    <n v="8.39"/>
    <n v="0.22"/>
    <x v="2"/>
  </r>
  <r>
    <d v="2014-12-09T00:00:00"/>
    <x v="304"/>
    <n v="11.42"/>
    <n v="0.3"/>
    <x v="4"/>
  </r>
  <r>
    <d v="2014-12-09T00:00:00"/>
    <x v="305"/>
    <n v="9.74"/>
    <n v="0.26"/>
    <x v="2"/>
  </r>
  <r>
    <d v="2014-12-09T00:00:00"/>
    <x v="320"/>
    <n v="13.07"/>
    <n v="0.34"/>
    <x v="2"/>
  </r>
  <r>
    <d v="2014-12-09T00:00:00"/>
    <x v="319"/>
    <n v="6.75"/>
    <n v="0.18"/>
    <x v="3"/>
  </r>
  <r>
    <d v="2014-12-09T00:00:00"/>
    <x v="321"/>
    <n v="6.75"/>
    <n v="0.18"/>
    <x v="2"/>
  </r>
  <r>
    <d v="2014-12-10T00:00:00"/>
    <x v="301"/>
    <n v="9.06"/>
    <n v="0.24"/>
    <x v="3"/>
  </r>
  <r>
    <d v="2014-12-10T00:00:00"/>
    <x v="315"/>
    <n v="4.25"/>
    <n v="0.11"/>
    <x v="0"/>
  </r>
  <r>
    <d v="2014-12-10T00:00:00"/>
    <x v="304"/>
    <n v="7.06"/>
    <n v="0.19"/>
    <x v="2"/>
  </r>
  <r>
    <d v="2014-12-10T00:00:00"/>
    <x v="306"/>
    <n v="14.31"/>
    <n v="0.38"/>
    <x v="3"/>
  </r>
  <r>
    <d v="2014-12-10T00:00:00"/>
    <x v="322"/>
    <n v="5.64"/>
    <n v="0.15"/>
    <x v="0"/>
  </r>
  <r>
    <d v="2014-12-10T00:00:00"/>
    <x v="323"/>
    <n v="5.67"/>
    <n v="0.15"/>
    <x v="4"/>
  </r>
  <r>
    <d v="2014-12-10T00:00:00"/>
    <x v="301"/>
    <n v="11.69"/>
    <n v="0.31"/>
    <x v="2"/>
  </r>
  <r>
    <d v="2014-12-10T00:00:00"/>
    <x v="320"/>
    <n v="13.02"/>
    <n v="0.34"/>
    <x v="4"/>
  </r>
  <r>
    <d v="2014-12-10T00:00:00"/>
    <x v="292"/>
    <n v="4.25"/>
    <n v="0.11"/>
    <x v="4"/>
  </r>
  <r>
    <d v="2014-12-10T00:00:00"/>
    <x v="307"/>
    <n v="12.23"/>
    <n v="0.32"/>
    <x v="4"/>
  </r>
  <r>
    <d v="2014-12-10T00:00:00"/>
    <x v="324"/>
    <n v="14.13"/>
    <n v="0.37"/>
    <x v="0"/>
  </r>
  <r>
    <d v="2014-12-10T00:00:00"/>
    <x v="325"/>
    <n v="6.23"/>
    <n v="0.16"/>
    <x v="4"/>
  </r>
  <r>
    <d v="2014-12-10T00:00:00"/>
    <x v="319"/>
    <n v="8.5399999999999991"/>
    <n v="0.22"/>
    <x v="2"/>
  </r>
  <r>
    <d v="2014-12-10T00:00:00"/>
    <x v="314"/>
    <n v="7.55"/>
    <n v="0.2"/>
    <x v="2"/>
  </r>
  <r>
    <d v="2014-12-10T00:00:00"/>
    <x v="311"/>
    <n v="14"/>
    <n v="0.37"/>
    <x v="3"/>
  </r>
  <r>
    <d v="2014-12-10T00:00:00"/>
    <x v="292"/>
    <n v="13.02"/>
    <n v="0.34"/>
    <x v="2"/>
  </r>
  <r>
    <d v="2014-12-10T00:00:00"/>
    <x v="324"/>
    <n v="8.39"/>
    <n v="0.22"/>
    <x v="1"/>
  </r>
  <r>
    <d v="2014-12-10T00:00:00"/>
    <x v="301"/>
    <n v="5.23"/>
    <n v="0.14000000000000001"/>
    <x v="3"/>
  </r>
  <r>
    <d v="2014-12-10T00:00:00"/>
    <x v="303"/>
    <n v="2.0099999999999998"/>
    <n v="0.05"/>
    <x v="2"/>
  </r>
  <r>
    <d v="2014-12-10T00:00:00"/>
    <x v="325"/>
    <n v="7.06"/>
    <n v="0.19"/>
    <x v="0"/>
  </r>
  <r>
    <d v="2014-12-10T00:00:00"/>
    <x v="315"/>
    <n v="19.54"/>
    <n v="0.51"/>
    <x v="4"/>
  </r>
  <r>
    <d v="2014-12-10T00:00:00"/>
    <x v="304"/>
    <n v="5.23"/>
    <n v="0.14000000000000001"/>
    <x v="3"/>
  </r>
  <r>
    <d v="2014-12-11T00:00:00"/>
    <x v="320"/>
    <n v="9.06"/>
    <n v="0.24"/>
    <x v="3"/>
  </r>
  <r>
    <d v="2014-12-11T00:00:00"/>
    <x v="303"/>
    <n v="3.73"/>
    <n v="0.1"/>
    <x v="1"/>
  </r>
  <r>
    <d v="2014-12-12T00:00:00"/>
    <x v="326"/>
    <n v="5.67"/>
    <n v="0.15"/>
    <x v="2"/>
  </r>
  <r>
    <d v="2014-12-12T00:00:00"/>
    <x v="311"/>
    <n v="5.67"/>
    <n v="0.15"/>
    <x v="3"/>
  </r>
  <r>
    <d v="2014-12-12T00:00:00"/>
    <x v="307"/>
    <n v="3.57"/>
    <n v="0.09"/>
    <x v="2"/>
  </r>
  <r>
    <d v="2014-12-12T00:00:00"/>
    <x v="307"/>
    <n v="3.57"/>
    <n v="0.09"/>
    <x v="4"/>
  </r>
  <r>
    <d v="2014-12-12T00:00:00"/>
    <x v="327"/>
    <n v="2.29"/>
    <n v="0.06"/>
    <x v="2"/>
  </r>
  <r>
    <d v="2014-12-12T00:00:00"/>
    <x v="317"/>
    <n v="7.35"/>
    <n v="0.19"/>
    <x v="0"/>
  </r>
  <r>
    <d v="2014-12-12T00:00:00"/>
    <x v="322"/>
    <n v="3.94"/>
    <n v="0.1"/>
    <x v="3"/>
  </r>
  <r>
    <d v="2014-12-12T00:00:00"/>
    <x v="307"/>
    <n v="3.94"/>
    <n v="0.1"/>
    <x v="2"/>
  </r>
  <r>
    <d v="2014-12-12T00:00:00"/>
    <x v="319"/>
    <n v="13.07"/>
    <n v="0.34"/>
    <x v="4"/>
  </r>
  <r>
    <d v="2014-12-13T00:00:00"/>
    <x v="301"/>
    <n v="6.43"/>
    <n v="0.17"/>
    <x v="0"/>
  </r>
  <r>
    <d v="2014-12-13T00:00:00"/>
    <x v="312"/>
    <n v="6.43"/>
    <n v="0.17"/>
    <x v="4"/>
  </r>
  <r>
    <d v="2014-12-14T00:00:00"/>
    <x v="326"/>
    <n v="2.72"/>
    <n v="7.0000000000000007E-2"/>
    <x v="3"/>
  </r>
  <r>
    <d v="2014-12-14T00:00:00"/>
    <x v="316"/>
    <n v="6.43"/>
    <n v="0.17"/>
    <x v="1"/>
  </r>
  <r>
    <d v="2014-12-15T00:00:00"/>
    <x v="328"/>
    <n v="2.0099999999999998"/>
    <n v="0.05"/>
    <x v="4"/>
  </r>
  <r>
    <d v="2014-12-15T00:00:00"/>
    <x v="312"/>
    <n v="2.72"/>
    <n v="7.0000000000000007E-2"/>
    <x v="2"/>
  </r>
  <r>
    <d v="2014-12-15T00:00:00"/>
    <x v="323"/>
    <n v="2.0099999999999998"/>
    <n v="0.05"/>
    <x v="0"/>
  </r>
  <r>
    <d v="2014-12-16T00:00:00"/>
    <x v="302"/>
    <n v="11.42"/>
    <n v="0.3"/>
    <x v="0"/>
  </r>
  <r>
    <d v="2014-12-16T00:00:00"/>
    <x v="317"/>
    <n v="10.93"/>
    <n v="0.28999999999999998"/>
    <x v="4"/>
  </r>
  <r>
    <d v="2014-12-16T00:00:00"/>
    <x v="318"/>
    <n v="9.06"/>
    <n v="0.24"/>
    <x v="2"/>
  </r>
  <r>
    <d v="2014-12-16T00:00:00"/>
    <x v="310"/>
    <n v="5.67"/>
    <n v="0.15"/>
    <x v="4"/>
  </r>
  <r>
    <d v="2014-12-16T00:00:00"/>
    <x v="329"/>
    <n v="3.57"/>
    <n v="0.09"/>
    <x v="3"/>
  </r>
  <r>
    <d v="2014-12-16T00:00:00"/>
    <x v="322"/>
    <n v="3.79"/>
    <n v="0.1"/>
    <x v="0"/>
  </r>
  <r>
    <d v="2014-12-17T00:00:00"/>
    <x v="323"/>
    <n v="4.66"/>
    <n v="0.12"/>
    <x v="4"/>
  </r>
  <r>
    <d v="2014-12-17T00:00:00"/>
    <x v="315"/>
    <n v="6.43"/>
    <n v="0.17"/>
    <x v="1"/>
  </r>
  <r>
    <d v="2014-12-17T00:00:00"/>
    <x v="310"/>
    <n v="6.58"/>
    <n v="0.17"/>
    <x v="3"/>
  </r>
  <r>
    <d v="2014-12-18T00:00:00"/>
    <x v="310"/>
    <n v="4.66"/>
    <n v="0.12"/>
    <x v="1"/>
  </r>
  <r>
    <d v="2014-12-18T00:00:00"/>
    <x v="317"/>
    <n v="4.66"/>
    <n v="0.12"/>
    <x v="0"/>
  </r>
  <r>
    <d v="2014-12-18T00:00:00"/>
    <x v="309"/>
    <n v="3.73"/>
    <n v="0.1"/>
    <x v="0"/>
  </r>
  <r>
    <d v="2014-12-18T00:00:00"/>
    <x v="307"/>
    <n v="4.25"/>
    <n v="0.11"/>
    <x v="3"/>
  </r>
  <r>
    <d v="2014-12-18T00:00:00"/>
    <x v="328"/>
    <n v="6.34"/>
    <n v="0.17"/>
    <x v="0"/>
  </r>
  <r>
    <d v="2014-12-19T00:00:00"/>
    <x v="330"/>
    <n v="2.0099999999999998"/>
    <n v="0.05"/>
    <x v="1"/>
  </r>
  <r>
    <d v="2014-12-19T00:00:00"/>
    <x v="316"/>
    <n v="6.34"/>
    <n v="0.17"/>
    <x v="1"/>
  </r>
  <r>
    <d v="2014-12-20T00:00:00"/>
    <x v="328"/>
    <n v="3.94"/>
    <n v="0.1"/>
    <x v="3"/>
  </r>
  <r>
    <d v="2014-12-20T00:00:00"/>
    <x v="331"/>
    <n v="8.7200000000000006"/>
    <n v="0.23"/>
    <x v="3"/>
  </r>
  <r>
    <d v="2014-12-21T00:00:00"/>
    <x v="326"/>
    <n v="5.67"/>
    <n v="0.15"/>
    <x v="1"/>
  </r>
  <r>
    <d v="2014-12-21T00:00:00"/>
    <x v="331"/>
    <n v="6.58"/>
    <n v="0.17"/>
    <x v="0"/>
  </r>
  <r>
    <d v="2014-12-21T00:00:00"/>
    <x v="332"/>
    <n v="8.7200000000000006"/>
    <n v="0.23"/>
    <x v="1"/>
  </r>
  <r>
    <d v="2014-12-21T00:00:00"/>
    <x v="313"/>
    <n v="6.43"/>
    <n v="0.17"/>
    <x v="2"/>
  </r>
  <r>
    <d v="2014-12-21T00:00:00"/>
    <x v="314"/>
    <n v="3.73"/>
    <n v="0.1"/>
    <x v="2"/>
  </r>
  <r>
    <d v="2014-12-21T00:00:00"/>
    <x v="329"/>
    <n v="7.71"/>
    <n v="0.2"/>
    <x v="1"/>
  </r>
  <r>
    <d v="2014-12-21T00:00:00"/>
    <x v="316"/>
    <n v="7.31"/>
    <n v="0.19"/>
    <x v="0"/>
  </r>
  <r>
    <d v="2014-12-21T00:00:00"/>
    <x v="330"/>
    <n v="4.25"/>
    <n v="0.11"/>
    <x v="3"/>
  </r>
  <r>
    <d v="2014-12-22T00:00:00"/>
    <x v="333"/>
    <n v="6.43"/>
    <n v="0.17"/>
    <x v="2"/>
  </r>
  <r>
    <d v="2014-12-22T00:00:00"/>
    <x v="334"/>
    <n v="4.66"/>
    <n v="0.12"/>
    <x v="0"/>
  </r>
  <r>
    <d v="2014-12-22T00:00:00"/>
    <x v="319"/>
    <n v="6.23"/>
    <n v="0.16"/>
    <x v="0"/>
  </r>
  <r>
    <d v="2014-12-22T00:00:00"/>
    <x v="333"/>
    <n v="3.73"/>
    <n v="0.1"/>
    <x v="4"/>
  </r>
  <r>
    <d v="2014-12-22T00:00:00"/>
    <x v="319"/>
    <n v="3.79"/>
    <n v="0.1"/>
    <x v="2"/>
  </r>
  <r>
    <d v="2014-12-22T00:00:00"/>
    <x v="313"/>
    <n v="2.0099999999999998"/>
    <n v="0.05"/>
    <x v="1"/>
  </r>
  <r>
    <d v="2014-12-22T00:00:00"/>
    <x v="317"/>
    <n v="6.43"/>
    <n v="0.17"/>
    <x v="4"/>
  </r>
  <r>
    <d v="2014-12-22T00:00:00"/>
    <x v="332"/>
    <n v="2.72"/>
    <n v="7.0000000000000007E-2"/>
    <x v="4"/>
  </r>
  <r>
    <d v="2014-12-22T00:00:00"/>
    <x v="312"/>
    <n v="9.06"/>
    <n v="0.24"/>
    <x v="4"/>
  </r>
  <r>
    <d v="2014-12-22T00:00:00"/>
    <x v="316"/>
    <n v="5.67"/>
    <n v="0.15"/>
    <x v="4"/>
  </r>
  <r>
    <d v="2014-12-22T00:00:00"/>
    <x v="324"/>
    <n v="4.25"/>
    <n v="0.11"/>
    <x v="1"/>
  </r>
  <r>
    <d v="2014-12-22T00:00:00"/>
    <x v="324"/>
    <n v="3.57"/>
    <n v="0.09"/>
    <x v="2"/>
  </r>
  <r>
    <d v="2014-12-22T00:00:00"/>
    <x v="325"/>
    <n v="8.39"/>
    <n v="0.22"/>
    <x v="0"/>
  </r>
  <r>
    <d v="2014-12-22T00:00:00"/>
    <x v="331"/>
    <n v="2.29"/>
    <n v="0.06"/>
    <x v="0"/>
  </r>
  <r>
    <d v="2014-12-28T00:00:00"/>
    <x v="321"/>
    <n v="3.79"/>
    <n v="0.1"/>
    <x v="3"/>
  </r>
  <r>
    <d v="2014-12-28T00:00:00"/>
    <x v="319"/>
    <n v="7.55"/>
    <n v="0.2"/>
    <x v="4"/>
  </r>
  <r>
    <d v="2014-12-29T00:00:00"/>
    <x v="335"/>
    <n v="7.71"/>
    <n v="0.2"/>
    <x v="1"/>
  </r>
  <r>
    <d v="2014-12-29T00:00:00"/>
    <x v="315"/>
    <n v="6.34"/>
    <n v="0.17"/>
    <x v="3"/>
  </r>
  <r>
    <d v="2014-12-29T00:00:00"/>
    <x v="326"/>
    <n v="6.58"/>
    <n v="0.17"/>
    <x v="2"/>
  </r>
  <r>
    <d v="2014-12-29T00:00:00"/>
    <x v="335"/>
    <n v="6.34"/>
    <n v="0.17"/>
    <x v="1"/>
  </r>
  <r>
    <d v="2014-12-29T00:00:00"/>
    <x v="336"/>
    <n v="5.67"/>
    <n v="0.15"/>
    <x v="3"/>
  </r>
  <r>
    <d v="2014-12-29T00:00:00"/>
    <x v="324"/>
    <n v="4.25"/>
    <n v="0.1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14-01-02T00:00:00"/>
    <d v="2014-01-11T00:00:00"/>
    <n v="39.35"/>
    <n v="1.04"/>
    <x v="0"/>
    <n v="9"/>
  </r>
  <r>
    <d v="2014-01-02T00:00:00"/>
    <d v="2014-01-23T00:00:00"/>
    <n v="3.79"/>
    <n v="0.1"/>
    <x v="1"/>
    <n v="21"/>
  </r>
  <r>
    <d v="2014-01-02T00:00:00"/>
    <d v="2014-01-14T00:00:00"/>
    <n v="3.88"/>
    <n v="0.1"/>
    <x v="1"/>
    <n v="12"/>
  </r>
  <r>
    <d v="2014-01-02T00:00:00"/>
    <d v="2014-01-22T00:00:00"/>
    <n v="6.43"/>
    <n v="0.17"/>
    <x v="0"/>
    <n v="20"/>
  </r>
  <r>
    <d v="2014-01-02T00:00:00"/>
    <d v="2014-01-27T00:00:00"/>
    <n v="8.39"/>
    <n v="0.22"/>
    <x v="2"/>
    <n v="25"/>
  </r>
  <r>
    <d v="2014-01-02T00:00:00"/>
    <d v="2014-01-30T00:00:00"/>
    <n v="11.42"/>
    <n v="0.3"/>
    <x v="2"/>
    <n v="28"/>
  </r>
  <r>
    <d v="2014-01-03T00:00:00"/>
    <d v="2014-01-31T00:00:00"/>
    <n v="5.64"/>
    <n v="0.15"/>
    <x v="0"/>
    <n v="28"/>
  </r>
  <r>
    <d v="2014-01-03T00:00:00"/>
    <d v="2014-01-06T00:00:00"/>
    <n v="10.59"/>
    <n v="0.28000000000000003"/>
    <x v="0"/>
    <n v="3"/>
  </r>
  <r>
    <d v="2014-01-03T00:00:00"/>
    <d v="2014-01-30T00:00:00"/>
    <n v="4.25"/>
    <n v="0.11"/>
    <x v="2"/>
    <n v="27"/>
  </r>
  <r>
    <d v="2014-01-03T00:00:00"/>
    <d v="2014-01-21T00:00:00"/>
    <n v="5.64"/>
    <n v="0.15"/>
    <x v="3"/>
    <n v="18"/>
  </r>
  <r>
    <d v="2014-01-03T00:00:00"/>
    <d v="2014-01-30T00:00:00"/>
    <n v="5.78"/>
    <n v="0.15"/>
    <x v="0"/>
    <n v="27"/>
  </r>
  <r>
    <d v="2014-01-03T00:00:00"/>
    <d v="2014-01-30T00:00:00"/>
    <n v="2.29"/>
    <n v="0.06"/>
    <x v="3"/>
    <n v="27"/>
  </r>
  <r>
    <d v="2014-01-03T00:00:00"/>
    <d v="2014-01-26T00:00:00"/>
    <n v="5.23"/>
    <n v="0.14000000000000001"/>
    <x v="2"/>
    <n v="23"/>
  </r>
  <r>
    <d v="2014-01-03T00:00:00"/>
    <d v="2014-01-10T00:00:00"/>
    <n v="5.67"/>
    <n v="0.15"/>
    <x v="2"/>
    <n v="7"/>
  </r>
  <r>
    <d v="2014-01-04T00:00:00"/>
    <d v="2014-01-10T00:00:00"/>
    <n v="5.64"/>
    <n v="0.15"/>
    <x v="2"/>
    <n v="6"/>
  </r>
  <r>
    <d v="2014-01-04T00:00:00"/>
    <d v="2014-01-11T00:00:00"/>
    <n v="4.25"/>
    <n v="0.11"/>
    <x v="3"/>
    <n v="7"/>
  </r>
  <r>
    <d v="2014-01-04T00:00:00"/>
    <d v="2014-01-21T00:00:00"/>
    <n v="6.58"/>
    <n v="0.17"/>
    <x v="1"/>
    <n v="17"/>
  </r>
  <r>
    <d v="2014-01-05T00:00:00"/>
    <d v="2014-01-22T00:00:00"/>
    <n v="6.43"/>
    <n v="0.17"/>
    <x v="4"/>
    <n v="17"/>
  </r>
  <r>
    <d v="2014-01-05T00:00:00"/>
    <d v="2014-01-23T00:00:00"/>
    <n v="5.67"/>
    <n v="0.15"/>
    <x v="0"/>
    <n v="18"/>
  </r>
  <r>
    <d v="2014-01-06T00:00:00"/>
    <d v="2014-01-15T00:00:00"/>
    <n v="4.66"/>
    <n v="0.12"/>
    <x v="2"/>
    <n v="9"/>
  </r>
  <r>
    <d v="2014-01-07T00:00:00"/>
    <d v="2014-01-24T00:00:00"/>
    <n v="2.0099999999999998"/>
    <n v="0.05"/>
    <x v="3"/>
    <n v="17"/>
  </r>
  <r>
    <d v="2014-01-07T00:00:00"/>
    <d v="2014-01-31T00:00:00"/>
    <n v="3.57"/>
    <n v="0.09"/>
    <x v="4"/>
    <n v="24"/>
  </r>
  <r>
    <d v="2014-01-07T00:00:00"/>
    <d v="2014-01-10T00:00:00"/>
    <n v="2.29"/>
    <n v="0.06"/>
    <x v="0"/>
    <n v="3"/>
  </r>
  <r>
    <d v="2014-01-07T00:00:00"/>
    <d v="2014-01-10T00:00:00"/>
    <n v="2.72"/>
    <n v="7.0000000000000007E-2"/>
    <x v="3"/>
    <n v="3"/>
  </r>
  <r>
    <d v="2014-01-07T00:00:00"/>
    <d v="2014-01-12T00:00:00"/>
    <n v="3.73"/>
    <n v="0.1"/>
    <x v="4"/>
    <n v="5"/>
  </r>
  <r>
    <d v="2014-01-08T00:00:00"/>
    <d v="2014-01-26T00:00:00"/>
    <n v="6.58"/>
    <n v="0.17"/>
    <x v="4"/>
    <n v="18"/>
  </r>
  <r>
    <d v="2014-01-08T00:00:00"/>
    <d v="2014-01-25T00:00:00"/>
    <n v="6.58"/>
    <n v="0.17"/>
    <x v="2"/>
    <n v="17"/>
  </r>
  <r>
    <d v="2014-01-08T00:00:00"/>
    <d v="2014-01-19T00:00:00"/>
    <n v="5.67"/>
    <n v="0.15"/>
    <x v="0"/>
    <n v="11"/>
  </r>
  <r>
    <d v="2014-01-09T00:00:00"/>
    <d v="2014-02-04T00:00:00"/>
    <n v="9.1300000000000008"/>
    <n v="0.24"/>
    <x v="2"/>
    <n v="26"/>
  </r>
  <r>
    <d v="2014-01-09T00:00:00"/>
    <d v="2014-01-19T00:00:00"/>
    <n v="14.31"/>
    <n v="0.38"/>
    <x v="1"/>
    <n v="10"/>
  </r>
  <r>
    <d v="2014-01-09T00:00:00"/>
    <d v="2014-02-05T00:00:00"/>
    <n v="3.79"/>
    <n v="0.1"/>
    <x v="0"/>
    <n v="27"/>
  </r>
  <r>
    <d v="2014-01-09T00:00:00"/>
    <d v="2014-01-27T00:00:00"/>
    <n v="6.23"/>
    <n v="0.16"/>
    <x v="0"/>
    <n v="18"/>
  </r>
  <r>
    <d v="2014-01-10T00:00:00"/>
    <d v="2014-01-20T00:00:00"/>
    <n v="3.57"/>
    <n v="0.09"/>
    <x v="1"/>
    <n v="10"/>
  </r>
  <r>
    <d v="2014-01-10T00:00:00"/>
    <d v="2014-01-13T00:00:00"/>
    <n v="5.67"/>
    <n v="0.15"/>
    <x v="1"/>
    <n v="3"/>
  </r>
  <r>
    <d v="2014-01-10T00:00:00"/>
    <d v="2014-01-28T00:00:00"/>
    <n v="8.7200000000000006"/>
    <n v="0.23"/>
    <x v="0"/>
    <n v="18"/>
  </r>
  <r>
    <d v="2014-01-10T00:00:00"/>
    <d v="2014-01-15T00:00:00"/>
    <n v="4.66"/>
    <n v="0.12"/>
    <x v="4"/>
    <n v="5"/>
  </r>
  <r>
    <d v="2014-01-12T00:00:00"/>
    <d v="2014-01-20T00:00:00"/>
    <n v="5.67"/>
    <n v="0.15"/>
    <x v="4"/>
    <n v="8"/>
  </r>
  <r>
    <d v="2014-01-13T00:00:00"/>
    <d v="2014-01-15T00:00:00"/>
    <n v="7.06"/>
    <n v="0.19"/>
    <x v="2"/>
    <n v="2"/>
  </r>
  <r>
    <d v="2014-01-13T00:00:00"/>
    <d v="2014-01-22T00:00:00"/>
    <n v="5.67"/>
    <n v="0.15"/>
    <x v="0"/>
    <n v="9"/>
  </r>
  <r>
    <d v="2014-01-13T00:00:00"/>
    <d v="2014-02-01T00:00:00"/>
    <n v="6.34"/>
    <n v="0.17"/>
    <x v="4"/>
    <n v="19"/>
  </r>
  <r>
    <d v="2014-01-13T00:00:00"/>
    <d v="2014-01-17T00:00:00"/>
    <n v="7.31"/>
    <n v="0.19"/>
    <x v="4"/>
    <n v="4"/>
  </r>
  <r>
    <d v="2014-01-13T00:00:00"/>
    <d v="2014-01-29T00:00:00"/>
    <n v="6.75"/>
    <n v="0.18"/>
    <x v="4"/>
    <n v="16"/>
  </r>
  <r>
    <d v="2014-01-13T00:00:00"/>
    <d v="2014-02-10T00:00:00"/>
    <n v="3.57"/>
    <n v="0.09"/>
    <x v="2"/>
    <n v="28"/>
  </r>
  <r>
    <d v="2014-01-14T00:00:00"/>
    <d v="2014-01-25T00:00:00"/>
    <n v="8.5399999999999991"/>
    <n v="0.22"/>
    <x v="2"/>
    <n v="11"/>
  </r>
  <r>
    <d v="2014-01-14T00:00:00"/>
    <d v="2014-01-16T00:00:00"/>
    <n v="8.9499999999999993"/>
    <n v="0.24"/>
    <x v="3"/>
    <n v="2"/>
  </r>
  <r>
    <d v="2014-01-14T00:00:00"/>
    <d v="2014-02-07T00:00:00"/>
    <n v="6.34"/>
    <n v="0.17"/>
    <x v="1"/>
    <n v="24"/>
  </r>
  <r>
    <d v="2014-01-14T00:00:00"/>
    <d v="2014-02-02T00:00:00"/>
    <n v="12.23"/>
    <n v="0.32"/>
    <x v="4"/>
    <n v="19"/>
  </r>
  <r>
    <d v="2014-01-14T00:00:00"/>
    <d v="2014-01-29T00:00:00"/>
    <n v="8.7200000000000006"/>
    <n v="0.23"/>
    <x v="0"/>
    <n v="15"/>
  </r>
  <r>
    <d v="2014-01-14T00:00:00"/>
    <d v="2014-02-01T00:00:00"/>
    <n v="16.55"/>
    <n v="0.44"/>
    <x v="1"/>
    <n v="18"/>
  </r>
  <r>
    <d v="2014-01-14T00:00:00"/>
    <d v="2014-01-17T00:00:00"/>
    <n v="7.55"/>
    <n v="0.2"/>
    <x v="2"/>
    <n v="3"/>
  </r>
  <r>
    <d v="2014-01-14T00:00:00"/>
    <d v="2014-01-29T00:00:00"/>
    <n v="5.78"/>
    <n v="0.15"/>
    <x v="2"/>
    <n v="15"/>
  </r>
  <r>
    <d v="2014-01-14T00:00:00"/>
    <d v="2014-01-19T00:00:00"/>
    <n v="8.83"/>
    <n v="0.23"/>
    <x v="4"/>
    <n v="5"/>
  </r>
  <r>
    <d v="2014-01-14T00:00:00"/>
    <d v="2014-01-16T00:00:00"/>
    <n v="8.89"/>
    <n v="0.23"/>
    <x v="3"/>
    <n v="2"/>
  </r>
  <r>
    <d v="2014-01-14T00:00:00"/>
    <d v="2014-01-18T00:00:00"/>
    <n v="2.72"/>
    <n v="7.0000000000000007E-2"/>
    <x v="1"/>
    <n v="4"/>
  </r>
  <r>
    <d v="2014-01-14T00:00:00"/>
    <d v="2014-02-05T00:00:00"/>
    <n v="11.42"/>
    <n v="0.3"/>
    <x v="2"/>
    <n v="22"/>
  </r>
  <r>
    <d v="2014-01-14T00:00:00"/>
    <d v="2014-02-05T00:00:00"/>
    <n v="5.23"/>
    <n v="0.14000000000000001"/>
    <x v="2"/>
    <n v="22"/>
  </r>
  <r>
    <d v="2014-01-14T00:00:00"/>
    <d v="2014-01-18T00:00:00"/>
    <n v="6.58"/>
    <n v="0.17"/>
    <x v="3"/>
    <n v="4"/>
  </r>
  <r>
    <d v="2014-01-14T00:00:00"/>
    <d v="2014-02-09T00:00:00"/>
    <n v="9.74"/>
    <n v="0.26"/>
    <x v="3"/>
    <n v="26"/>
  </r>
  <r>
    <d v="2014-01-14T00:00:00"/>
    <d v="2014-01-20T00:00:00"/>
    <n v="6.75"/>
    <n v="0.18"/>
    <x v="1"/>
    <n v="6"/>
  </r>
  <r>
    <d v="2014-01-14T00:00:00"/>
    <d v="2014-02-01T00:00:00"/>
    <n v="16.829999999999998"/>
    <n v="0.44"/>
    <x v="3"/>
    <n v="18"/>
  </r>
  <r>
    <d v="2014-01-14T00:00:00"/>
    <d v="2014-02-06T00:00:00"/>
    <n v="10.79"/>
    <n v="0.28000000000000003"/>
    <x v="4"/>
    <n v="23"/>
  </r>
  <r>
    <d v="2014-01-14T00:00:00"/>
    <d v="2014-01-30T00:00:00"/>
    <n v="10.19"/>
    <n v="0.27"/>
    <x v="0"/>
    <n v="16"/>
  </r>
  <r>
    <d v="2014-01-14T00:00:00"/>
    <d v="2014-02-08T00:00:00"/>
    <n v="10.93"/>
    <n v="0.28999999999999998"/>
    <x v="1"/>
    <n v="25"/>
  </r>
  <r>
    <d v="2014-01-15T00:00:00"/>
    <d v="2014-01-22T00:00:00"/>
    <n v="9.74"/>
    <n v="0.26"/>
    <x v="0"/>
    <n v="7"/>
  </r>
  <r>
    <d v="2014-01-15T00:00:00"/>
    <d v="2014-01-30T00:00:00"/>
    <n v="14.31"/>
    <n v="0.38"/>
    <x v="1"/>
    <n v="15"/>
  </r>
  <r>
    <d v="2014-01-15T00:00:00"/>
    <d v="2014-01-24T00:00:00"/>
    <n v="7.35"/>
    <n v="0.19"/>
    <x v="3"/>
    <n v="9"/>
  </r>
  <r>
    <d v="2014-01-15T00:00:00"/>
    <d v="2014-01-31T00:00:00"/>
    <n v="9.74"/>
    <n v="0.26"/>
    <x v="0"/>
    <n v="16"/>
  </r>
  <r>
    <d v="2014-01-15T00:00:00"/>
    <d v="2014-01-27T00:00:00"/>
    <n v="14.13"/>
    <n v="0.37"/>
    <x v="2"/>
    <n v="12"/>
  </r>
  <r>
    <d v="2014-01-15T00:00:00"/>
    <d v="2014-01-19T00:00:00"/>
    <n v="12.01"/>
    <n v="0.32"/>
    <x v="4"/>
    <n v="4"/>
  </r>
  <r>
    <d v="2014-01-15T00:00:00"/>
    <d v="2014-01-30T00:00:00"/>
    <n v="13.07"/>
    <n v="0.34"/>
    <x v="1"/>
    <n v="15"/>
  </r>
  <r>
    <d v="2014-01-15T00:00:00"/>
    <d v="2014-01-20T00:00:00"/>
    <n v="14"/>
    <n v="0.37"/>
    <x v="0"/>
    <n v="5"/>
  </r>
  <r>
    <d v="2014-01-15T00:00:00"/>
    <d v="2014-02-01T00:00:00"/>
    <n v="13.02"/>
    <n v="0.34"/>
    <x v="2"/>
    <n v="17"/>
  </r>
  <r>
    <d v="2014-01-15T00:00:00"/>
    <d v="2014-01-19T00:00:00"/>
    <n v="6.75"/>
    <n v="0.18"/>
    <x v="0"/>
    <n v="4"/>
  </r>
  <r>
    <d v="2014-01-15T00:00:00"/>
    <d v="2014-01-31T00:00:00"/>
    <n v="3.88"/>
    <n v="0.1"/>
    <x v="2"/>
    <n v="16"/>
  </r>
  <r>
    <d v="2014-01-15T00:00:00"/>
    <d v="2014-01-18T00:00:00"/>
    <n v="4.66"/>
    <n v="0.12"/>
    <x v="1"/>
    <n v="3"/>
  </r>
  <r>
    <d v="2014-01-15T00:00:00"/>
    <d v="2014-01-22T00:00:00"/>
    <n v="2.29"/>
    <n v="0.06"/>
    <x v="3"/>
    <n v="7"/>
  </r>
  <r>
    <d v="2014-01-15T00:00:00"/>
    <d v="2014-01-26T00:00:00"/>
    <n v="7.31"/>
    <n v="0.19"/>
    <x v="1"/>
    <n v="11"/>
  </r>
  <r>
    <d v="2014-01-15T00:00:00"/>
    <d v="2014-02-12T00:00:00"/>
    <n v="6.23"/>
    <n v="0.16"/>
    <x v="1"/>
    <n v="28"/>
  </r>
  <r>
    <d v="2014-01-15T00:00:00"/>
    <d v="2014-01-24T00:00:00"/>
    <n v="3.88"/>
    <n v="0.1"/>
    <x v="2"/>
    <n v="9"/>
  </r>
  <r>
    <d v="2014-01-15T00:00:00"/>
    <d v="2014-01-23T00:00:00"/>
    <n v="8.51"/>
    <n v="0.22"/>
    <x v="2"/>
    <n v="8"/>
  </r>
  <r>
    <d v="2014-01-15T00:00:00"/>
    <d v="2014-01-18T00:00:00"/>
    <n v="8.51"/>
    <n v="0.22"/>
    <x v="3"/>
    <n v="3"/>
  </r>
  <r>
    <d v="2014-01-15T00:00:00"/>
    <d v="2014-02-06T00:00:00"/>
    <n v="9.1300000000000008"/>
    <n v="0.24"/>
    <x v="2"/>
    <n v="22"/>
  </r>
  <r>
    <d v="2014-01-15T00:00:00"/>
    <d v="2014-01-19T00:00:00"/>
    <n v="3.88"/>
    <n v="0.1"/>
    <x v="2"/>
    <n v="4"/>
  </r>
  <r>
    <d v="2014-01-15T00:00:00"/>
    <d v="2014-02-05T00:00:00"/>
    <n v="11.42"/>
    <n v="0.3"/>
    <x v="2"/>
    <n v="21"/>
  </r>
  <r>
    <d v="2014-01-15T00:00:00"/>
    <d v="2014-01-22T00:00:00"/>
    <n v="16.829999999999998"/>
    <n v="0.44"/>
    <x v="3"/>
    <n v="7"/>
  </r>
  <r>
    <d v="2014-01-17T00:00:00"/>
    <d v="2014-02-04T00:00:00"/>
    <n v="5.67"/>
    <n v="0.15"/>
    <x v="2"/>
    <n v="18"/>
  </r>
  <r>
    <d v="2014-01-17T00:00:00"/>
    <d v="2014-01-28T00:00:00"/>
    <n v="5.67"/>
    <n v="0.15"/>
    <x v="4"/>
    <n v="11"/>
  </r>
  <r>
    <d v="2014-01-17T00:00:00"/>
    <d v="2014-01-27T00:00:00"/>
    <n v="2.0099999999999998"/>
    <n v="0.05"/>
    <x v="0"/>
    <n v="10"/>
  </r>
  <r>
    <d v="2014-01-17T00:00:00"/>
    <d v="2014-02-08T00:00:00"/>
    <n v="2.0099999999999998"/>
    <n v="0.05"/>
    <x v="0"/>
    <n v="22"/>
  </r>
  <r>
    <d v="2014-01-18T00:00:00"/>
    <d v="2014-01-30T00:00:00"/>
    <n v="6.43"/>
    <n v="0.17"/>
    <x v="0"/>
    <n v="12"/>
  </r>
  <r>
    <d v="2014-01-18T00:00:00"/>
    <d v="2014-01-27T00:00:00"/>
    <n v="3.88"/>
    <n v="0.1"/>
    <x v="0"/>
    <n v="9"/>
  </r>
  <r>
    <d v="2014-01-18T00:00:00"/>
    <d v="2014-01-22T00:00:00"/>
    <n v="8.7200000000000006"/>
    <n v="0.23"/>
    <x v="3"/>
    <n v="4"/>
  </r>
  <r>
    <d v="2014-01-19T00:00:00"/>
    <d v="2014-02-15T00:00:00"/>
    <n v="6.58"/>
    <n v="0.17"/>
    <x v="0"/>
    <n v="27"/>
  </r>
  <r>
    <d v="2014-01-19T00:00:00"/>
    <d v="2014-02-15T00:00:00"/>
    <n v="6.43"/>
    <n v="0.17"/>
    <x v="2"/>
    <n v="27"/>
  </r>
  <r>
    <d v="2014-01-21T00:00:00"/>
    <d v="2014-02-06T00:00:00"/>
    <n v="11.44"/>
    <n v="0.3"/>
    <x v="4"/>
    <n v="16"/>
  </r>
  <r>
    <d v="2014-01-21T00:00:00"/>
    <d v="2014-01-28T00:00:00"/>
    <n v="10.59"/>
    <n v="0.28000000000000003"/>
    <x v="3"/>
    <n v="7"/>
  </r>
  <r>
    <d v="2014-01-21T00:00:00"/>
    <d v="2014-02-17T00:00:00"/>
    <n v="11.44"/>
    <n v="0.3"/>
    <x v="1"/>
    <n v="27"/>
  </r>
  <r>
    <d v="2014-01-21T00:00:00"/>
    <d v="2014-02-16T00:00:00"/>
    <n v="10.199999999999999"/>
    <n v="0.27"/>
    <x v="1"/>
    <n v="26"/>
  </r>
  <r>
    <d v="2014-01-21T00:00:00"/>
    <d v="2014-02-14T00:00:00"/>
    <n v="19.54"/>
    <n v="0.51"/>
    <x v="0"/>
    <n v="24"/>
  </r>
  <r>
    <d v="2014-01-21T00:00:00"/>
    <d v="2014-02-04T00:00:00"/>
    <n v="10.93"/>
    <n v="0.28999999999999998"/>
    <x v="3"/>
    <n v="14"/>
  </r>
  <r>
    <d v="2014-01-22T00:00:00"/>
    <d v="2014-01-29T00:00:00"/>
    <n v="6.43"/>
    <n v="0.17"/>
    <x v="0"/>
    <n v="7"/>
  </r>
  <r>
    <d v="2014-01-22T00:00:00"/>
    <d v="2014-02-11T00:00:00"/>
    <n v="5.67"/>
    <n v="0.15"/>
    <x v="3"/>
    <n v="20"/>
  </r>
  <r>
    <d v="2014-01-22T00:00:00"/>
    <d v="2014-02-12T00:00:00"/>
    <n v="14.13"/>
    <n v="0.37"/>
    <x v="0"/>
    <n v="21"/>
  </r>
  <r>
    <d v="2014-01-22T00:00:00"/>
    <d v="2014-02-19T00:00:00"/>
    <n v="5.47"/>
    <n v="0.14000000000000001"/>
    <x v="4"/>
    <n v="28"/>
  </r>
  <r>
    <d v="2014-01-23T00:00:00"/>
    <d v="2014-02-16T00:00:00"/>
    <n v="8.39"/>
    <n v="0.22"/>
    <x v="2"/>
    <n v="24"/>
  </r>
  <r>
    <d v="2014-01-23T00:00:00"/>
    <d v="2014-02-18T00:00:00"/>
    <n v="3.79"/>
    <n v="0.1"/>
    <x v="4"/>
    <n v="26"/>
  </r>
  <r>
    <d v="2014-01-23T00:00:00"/>
    <d v="2014-01-25T00:00:00"/>
    <n v="6.23"/>
    <n v="0.16"/>
    <x v="1"/>
    <n v="2"/>
  </r>
  <r>
    <d v="2014-01-24T00:00:00"/>
    <d v="2014-02-05T00:00:00"/>
    <n v="6.34"/>
    <n v="0.17"/>
    <x v="1"/>
    <n v="12"/>
  </r>
  <r>
    <d v="2014-01-24T00:00:00"/>
    <d v="2014-02-14T00:00:00"/>
    <n v="3.57"/>
    <n v="0.09"/>
    <x v="1"/>
    <n v="21"/>
  </r>
  <r>
    <d v="2014-01-25T00:00:00"/>
    <d v="2014-02-11T00:00:00"/>
    <n v="4.66"/>
    <n v="0.12"/>
    <x v="3"/>
    <n v="17"/>
  </r>
  <r>
    <d v="2014-01-26T00:00:00"/>
    <d v="2014-02-22T00:00:00"/>
    <n v="13.07"/>
    <n v="0.34"/>
    <x v="4"/>
    <n v="27"/>
  </r>
  <r>
    <d v="2014-01-26T00:00:00"/>
    <d v="2014-02-21T00:00:00"/>
    <n v="13.81"/>
    <n v="0.36"/>
    <x v="0"/>
    <n v="26"/>
  </r>
  <r>
    <d v="2014-01-26T00:00:00"/>
    <d v="2014-02-03T00:00:00"/>
    <n v="11.69"/>
    <n v="0.31"/>
    <x v="2"/>
    <n v="8"/>
  </r>
  <r>
    <d v="2014-01-26T00:00:00"/>
    <d v="2014-02-13T00:00:00"/>
    <n v="8.84"/>
    <n v="0.23"/>
    <x v="3"/>
    <n v="18"/>
  </r>
  <r>
    <d v="2014-01-26T00:00:00"/>
    <d v="2014-02-20T00:00:00"/>
    <n v="16.940000000000001"/>
    <n v="0.45"/>
    <x v="0"/>
    <n v="25"/>
  </r>
  <r>
    <d v="2014-01-26T00:00:00"/>
    <d v="2014-01-30T00:00:00"/>
    <n v="13.82"/>
    <n v="0.36"/>
    <x v="3"/>
    <n v="4"/>
  </r>
  <r>
    <d v="2014-01-26T00:00:00"/>
    <d v="2014-02-19T00:00:00"/>
    <n v="9.4600000000000009"/>
    <n v="0.25"/>
    <x v="1"/>
    <n v="24"/>
  </r>
  <r>
    <d v="2014-01-26T00:00:00"/>
    <d v="2014-02-14T00:00:00"/>
    <n v="8.89"/>
    <n v="0.23"/>
    <x v="1"/>
    <n v="19"/>
  </r>
  <r>
    <d v="2014-01-26T00:00:00"/>
    <d v="2014-02-03T00:00:00"/>
    <n v="5.57"/>
    <n v="0.15"/>
    <x v="3"/>
    <n v="8"/>
  </r>
  <r>
    <d v="2014-01-26T00:00:00"/>
    <d v="2014-01-30T00:00:00"/>
    <n v="7.35"/>
    <n v="0.19"/>
    <x v="2"/>
    <n v="4"/>
  </r>
  <r>
    <d v="2014-01-26T00:00:00"/>
    <d v="2014-02-11T00:00:00"/>
    <n v="12.23"/>
    <n v="0.32"/>
    <x v="3"/>
    <n v="16"/>
  </r>
  <r>
    <d v="2014-01-26T00:00:00"/>
    <d v="2014-02-20T00:00:00"/>
    <n v="5.23"/>
    <n v="0.14000000000000001"/>
    <x v="1"/>
    <n v="25"/>
  </r>
  <r>
    <d v="2014-01-27T00:00:00"/>
    <d v="2014-02-12T00:00:00"/>
    <n v="6.43"/>
    <n v="0.17"/>
    <x v="3"/>
    <n v="16"/>
  </r>
  <r>
    <d v="2014-01-27T00:00:00"/>
    <d v="2014-01-29T00:00:00"/>
    <n v="11.44"/>
    <n v="0.3"/>
    <x v="0"/>
    <n v="2"/>
  </r>
  <r>
    <d v="2014-01-27T00:00:00"/>
    <d v="2014-02-03T00:00:00"/>
    <n v="8.7200000000000006"/>
    <n v="0.23"/>
    <x v="0"/>
    <n v="7"/>
  </r>
  <r>
    <d v="2014-01-27T00:00:00"/>
    <d v="2014-02-15T00:00:00"/>
    <n v="10.199999999999999"/>
    <n v="0.27"/>
    <x v="3"/>
    <n v="19"/>
  </r>
  <r>
    <d v="2014-01-27T00:00:00"/>
    <d v="2014-01-29T00:00:00"/>
    <n v="10.199999999999999"/>
    <n v="0.27"/>
    <x v="2"/>
    <n v="2"/>
  </r>
  <r>
    <d v="2014-01-28T00:00:00"/>
    <d v="2014-02-23T00:00:00"/>
    <n v="4.66"/>
    <n v="0.12"/>
    <x v="4"/>
    <n v="26"/>
  </r>
  <r>
    <d v="2014-01-28T00:00:00"/>
    <d v="2014-02-05T00:00:00"/>
    <n v="11.69"/>
    <n v="0.31"/>
    <x v="1"/>
    <n v="8"/>
  </r>
  <r>
    <d v="2014-01-28T00:00:00"/>
    <d v="2014-02-03T00:00:00"/>
    <n v="6.88"/>
    <n v="0.18"/>
    <x v="4"/>
    <n v="6"/>
  </r>
  <r>
    <d v="2014-02-02T00:00:00"/>
    <d v="2014-02-13T00:00:00"/>
    <n v="9.74"/>
    <n v="0.26"/>
    <x v="2"/>
    <n v="11"/>
  </r>
  <r>
    <d v="2014-02-02T00:00:00"/>
    <d v="2014-02-11T00:00:00"/>
    <n v="9.06"/>
    <n v="0.24"/>
    <x v="2"/>
    <n v="9"/>
  </r>
  <r>
    <d v="2014-02-02T00:00:00"/>
    <d v="2014-02-24T00:00:00"/>
    <n v="14"/>
    <n v="0.37"/>
    <x v="2"/>
    <n v="22"/>
  </r>
  <r>
    <d v="2014-02-03T00:00:00"/>
    <d v="2014-02-27T00:00:00"/>
    <n v="10.59"/>
    <n v="0.28000000000000003"/>
    <x v="4"/>
    <n v="24"/>
  </r>
  <r>
    <d v="2014-02-03T00:00:00"/>
    <d v="2014-02-06T00:00:00"/>
    <n v="3.94"/>
    <n v="0.1"/>
    <x v="1"/>
    <n v="3"/>
  </r>
  <r>
    <d v="2014-02-03T00:00:00"/>
    <d v="2014-02-20T00:00:00"/>
    <n v="4.66"/>
    <n v="0.12"/>
    <x v="4"/>
    <n v="17"/>
  </r>
  <r>
    <d v="2014-02-03T00:00:00"/>
    <d v="2014-03-03T00:00:00"/>
    <n v="10.199999999999999"/>
    <n v="0.27"/>
    <x v="1"/>
    <n v="28"/>
  </r>
  <r>
    <d v="2014-02-07T00:00:00"/>
    <d v="2014-02-12T00:00:00"/>
    <n v="12.23"/>
    <n v="0.32"/>
    <x v="0"/>
    <n v="5"/>
  </r>
  <r>
    <d v="2014-02-07T00:00:00"/>
    <d v="2014-02-28T00:00:00"/>
    <n v="10.19"/>
    <n v="0.27"/>
    <x v="4"/>
    <n v="21"/>
  </r>
  <r>
    <d v="2014-02-07T00:00:00"/>
    <d v="2014-03-03T00:00:00"/>
    <n v="12.01"/>
    <n v="0.32"/>
    <x v="1"/>
    <n v="24"/>
  </r>
  <r>
    <d v="2014-02-07T00:00:00"/>
    <d v="2014-02-11T00:00:00"/>
    <n v="11.44"/>
    <n v="0.3"/>
    <x v="4"/>
    <n v="4"/>
  </r>
  <r>
    <d v="2014-02-07T00:00:00"/>
    <d v="2014-03-02T00:00:00"/>
    <n v="6.23"/>
    <n v="0.16"/>
    <x v="4"/>
    <n v="23"/>
  </r>
  <r>
    <d v="2014-02-07T00:00:00"/>
    <d v="2014-02-16T00:00:00"/>
    <n v="12.01"/>
    <n v="0.32"/>
    <x v="0"/>
    <n v="9"/>
  </r>
  <r>
    <d v="2014-02-07T00:00:00"/>
    <d v="2014-02-11T00:00:00"/>
    <n v="12.23"/>
    <n v="0.32"/>
    <x v="0"/>
    <n v="4"/>
  </r>
  <r>
    <d v="2014-02-07T00:00:00"/>
    <d v="2014-02-25T00:00:00"/>
    <n v="12.01"/>
    <n v="0.32"/>
    <x v="0"/>
    <n v="18"/>
  </r>
  <r>
    <d v="2014-02-07T00:00:00"/>
    <d v="2014-02-22T00:00:00"/>
    <n v="5.67"/>
    <n v="0.15"/>
    <x v="3"/>
    <n v="15"/>
  </r>
  <r>
    <d v="2014-02-07T00:00:00"/>
    <d v="2014-03-04T00:00:00"/>
    <n v="6.88"/>
    <n v="0.18"/>
    <x v="0"/>
    <n v="25"/>
  </r>
  <r>
    <d v="2014-02-07T00:00:00"/>
    <d v="2014-03-07T00:00:00"/>
    <n v="2.72"/>
    <n v="7.0000000000000007E-2"/>
    <x v="1"/>
    <n v="28"/>
  </r>
  <r>
    <d v="2014-02-07T00:00:00"/>
    <d v="2014-02-16T00:00:00"/>
    <n v="9.74"/>
    <n v="0.26"/>
    <x v="1"/>
    <n v="9"/>
  </r>
  <r>
    <d v="2014-02-07T00:00:00"/>
    <d v="2014-02-21T00:00:00"/>
    <n v="7.31"/>
    <n v="0.19"/>
    <x v="4"/>
    <n v="14"/>
  </r>
  <r>
    <d v="2014-02-07T00:00:00"/>
    <d v="2014-03-06T00:00:00"/>
    <n v="8.84"/>
    <n v="0.23"/>
    <x v="1"/>
    <n v="27"/>
  </r>
  <r>
    <d v="2014-02-07T00:00:00"/>
    <d v="2014-02-20T00:00:00"/>
    <n v="13.07"/>
    <n v="0.34"/>
    <x v="2"/>
    <n v="13"/>
  </r>
  <r>
    <d v="2014-02-07T00:00:00"/>
    <d v="2014-02-20T00:00:00"/>
    <n v="11.42"/>
    <n v="0.3"/>
    <x v="1"/>
    <n v="13"/>
  </r>
  <r>
    <d v="2014-02-07T00:00:00"/>
    <d v="2014-03-06T00:00:00"/>
    <n v="3.79"/>
    <n v="0.1"/>
    <x v="4"/>
    <n v="27"/>
  </r>
  <r>
    <d v="2014-02-07T00:00:00"/>
    <d v="2014-02-12T00:00:00"/>
    <n v="11.42"/>
    <n v="0.3"/>
    <x v="1"/>
    <n v="5"/>
  </r>
  <r>
    <d v="2014-02-07T00:00:00"/>
    <d v="2014-02-10T00:00:00"/>
    <n v="8.83"/>
    <n v="0.23"/>
    <x v="3"/>
    <n v="3"/>
  </r>
  <r>
    <d v="2014-02-07T00:00:00"/>
    <d v="2014-02-20T00:00:00"/>
    <n v="8.51"/>
    <n v="0.22"/>
    <x v="0"/>
    <n v="13"/>
  </r>
  <r>
    <d v="2014-02-07T00:00:00"/>
    <d v="2014-02-24T00:00:00"/>
    <n v="7.3"/>
    <n v="0.19"/>
    <x v="0"/>
    <n v="17"/>
  </r>
  <r>
    <d v="2014-02-10T00:00:00"/>
    <d v="2014-02-22T00:00:00"/>
    <n v="5.67"/>
    <n v="0.15"/>
    <x v="3"/>
    <n v="12"/>
  </r>
  <r>
    <d v="2014-02-10T00:00:00"/>
    <d v="2014-02-20T00:00:00"/>
    <n v="6.58"/>
    <n v="0.17"/>
    <x v="4"/>
    <n v="10"/>
  </r>
  <r>
    <d v="2014-02-10T00:00:00"/>
    <d v="2014-03-01T00:00:00"/>
    <n v="4.25"/>
    <n v="0.11"/>
    <x v="4"/>
    <n v="19"/>
  </r>
  <r>
    <d v="2014-02-12T00:00:00"/>
    <d v="2014-02-24T00:00:00"/>
    <n v="6.58"/>
    <n v="0.17"/>
    <x v="1"/>
    <n v="12"/>
  </r>
  <r>
    <d v="2014-02-14T00:00:00"/>
    <d v="2014-03-06T00:00:00"/>
    <n v="5.78"/>
    <n v="0.15"/>
    <x v="2"/>
    <n v="20"/>
  </r>
  <r>
    <d v="2014-02-14T00:00:00"/>
    <d v="2014-02-23T00:00:00"/>
    <n v="10.199999999999999"/>
    <n v="0.27"/>
    <x v="0"/>
    <n v="9"/>
  </r>
  <r>
    <d v="2014-02-14T00:00:00"/>
    <d v="2014-02-22T00:00:00"/>
    <n v="2.72"/>
    <n v="7.0000000000000007E-2"/>
    <x v="1"/>
    <n v="8"/>
  </r>
  <r>
    <d v="2014-02-14T00:00:00"/>
    <d v="2014-03-09T00:00:00"/>
    <n v="11.44"/>
    <n v="0.3"/>
    <x v="1"/>
    <n v="23"/>
  </r>
  <r>
    <d v="2014-02-14T00:00:00"/>
    <d v="2014-03-14T00:00:00"/>
    <n v="13.07"/>
    <n v="0.34"/>
    <x v="1"/>
    <n v="28"/>
  </r>
  <r>
    <d v="2014-02-14T00:00:00"/>
    <d v="2014-03-14T00:00:00"/>
    <n v="7.35"/>
    <n v="0.19"/>
    <x v="3"/>
    <n v="28"/>
  </r>
  <r>
    <d v="2014-02-15T00:00:00"/>
    <d v="2014-03-14T00:00:00"/>
    <n v="6.88"/>
    <n v="0.18"/>
    <x v="4"/>
    <n v="27"/>
  </r>
  <r>
    <d v="2014-02-15T00:00:00"/>
    <d v="2014-03-10T00:00:00"/>
    <n v="9.06"/>
    <n v="0.24"/>
    <x v="2"/>
    <n v="23"/>
  </r>
  <r>
    <d v="2014-02-19T00:00:00"/>
    <d v="2014-03-10T00:00:00"/>
    <n v="16.55"/>
    <n v="0.44"/>
    <x v="2"/>
    <n v="19"/>
  </r>
  <r>
    <d v="2014-02-19T00:00:00"/>
    <d v="2014-03-10T00:00:00"/>
    <n v="8.83"/>
    <n v="0.23"/>
    <x v="4"/>
    <n v="19"/>
  </r>
  <r>
    <d v="2014-02-19T00:00:00"/>
    <d v="2014-02-26T00:00:00"/>
    <n v="7.31"/>
    <n v="0.19"/>
    <x v="2"/>
    <n v="7"/>
  </r>
  <r>
    <d v="2014-02-19T00:00:00"/>
    <d v="2014-03-17T00:00:00"/>
    <n v="14.31"/>
    <n v="0.38"/>
    <x v="0"/>
    <n v="26"/>
  </r>
  <r>
    <d v="2014-02-19T00:00:00"/>
    <d v="2014-02-21T00:00:00"/>
    <n v="11.42"/>
    <n v="0.3"/>
    <x v="0"/>
    <n v="2"/>
  </r>
  <r>
    <d v="2014-02-19T00:00:00"/>
    <d v="2014-03-02T00:00:00"/>
    <n v="8.5399999999999991"/>
    <n v="0.22"/>
    <x v="4"/>
    <n v="11"/>
  </r>
  <r>
    <d v="2014-02-19T00:00:00"/>
    <d v="2014-03-19T00:00:00"/>
    <n v="5.57"/>
    <n v="0.15"/>
    <x v="3"/>
    <n v="28"/>
  </r>
  <r>
    <d v="2014-02-19T00:00:00"/>
    <d v="2014-03-19T00:00:00"/>
    <n v="7.55"/>
    <n v="0.2"/>
    <x v="3"/>
    <n v="28"/>
  </r>
  <r>
    <d v="2014-02-19T00:00:00"/>
    <d v="2014-03-09T00:00:00"/>
    <n v="10.79"/>
    <n v="0.28000000000000003"/>
    <x v="1"/>
    <n v="18"/>
  </r>
  <r>
    <d v="2014-02-19T00:00:00"/>
    <d v="2014-03-08T00:00:00"/>
    <n v="8.39"/>
    <n v="0.22"/>
    <x v="2"/>
    <n v="17"/>
  </r>
  <r>
    <d v="2014-02-19T00:00:00"/>
    <d v="2014-03-13T00:00:00"/>
    <n v="9.06"/>
    <n v="0.24"/>
    <x v="1"/>
    <n v="22"/>
  </r>
  <r>
    <d v="2014-02-19T00:00:00"/>
    <d v="2014-03-02T00:00:00"/>
    <n v="16.940000000000001"/>
    <n v="0.45"/>
    <x v="4"/>
    <n v="11"/>
  </r>
  <r>
    <d v="2014-02-19T00:00:00"/>
    <d v="2014-03-10T00:00:00"/>
    <n v="11.37"/>
    <n v="0.3"/>
    <x v="3"/>
    <n v="19"/>
  </r>
  <r>
    <d v="2014-02-19T00:00:00"/>
    <d v="2014-03-01T00:00:00"/>
    <n v="4.25"/>
    <n v="0.11"/>
    <x v="0"/>
    <n v="10"/>
  </r>
  <r>
    <d v="2014-02-19T00:00:00"/>
    <d v="2014-03-12T00:00:00"/>
    <n v="11.42"/>
    <n v="0.3"/>
    <x v="3"/>
    <n v="21"/>
  </r>
  <r>
    <d v="2014-02-19T00:00:00"/>
    <d v="2014-03-13T00:00:00"/>
    <n v="3.79"/>
    <n v="0.1"/>
    <x v="4"/>
    <n v="22"/>
  </r>
  <r>
    <d v="2014-02-19T00:00:00"/>
    <d v="2014-03-14T00:00:00"/>
    <n v="10.59"/>
    <n v="0.28000000000000003"/>
    <x v="3"/>
    <n v="23"/>
  </r>
  <r>
    <d v="2014-02-19T00:00:00"/>
    <d v="2014-03-07T00:00:00"/>
    <n v="8.9499999999999993"/>
    <n v="0.24"/>
    <x v="2"/>
    <n v="16"/>
  </r>
  <r>
    <d v="2014-02-19T00:00:00"/>
    <d v="2014-02-23T00:00:00"/>
    <n v="4.66"/>
    <n v="0.12"/>
    <x v="0"/>
    <n v="4"/>
  </r>
  <r>
    <d v="2014-02-19T00:00:00"/>
    <d v="2014-03-09T00:00:00"/>
    <n v="6.88"/>
    <n v="0.18"/>
    <x v="0"/>
    <n v="18"/>
  </r>
  <r>
    <d v="2014-02-22T00:00:00"/>
    <d v="2014-03-08T00:00:00"/>
    <n v="8.7200000000000006"/>
    <n v="0.23"/>
    <x v="3"/>
    <n v="14"/>
  </r>
  <r>
    <d v="2014-02-26T00:00:00"/>
    <d v="2014-02-28T00:00:00"/>
    <n v="12.23"/>
    <n v="0.32"/>
    <x v="2"/>
    <n v="2"/>
  </r>
  <r>
    <d v="2014-02-26T00:00:00"/>
    <d v="2014-03-10T00:00:00"/>
    <n v="10.199999999999999"/>
    <n v="0.27"/>
    <x v="3"/>
    <n v="12"/>
  </r>
  <r>
    <d v="2014-02-26T00:00:00"/>
    <d v="2014-03-05T00:00:00"/>
    <n v="7.06"/>
    <n v="0.19"/>
    <x v="0"/>
    <n v="7"/>
  </r>
  <r>
    <d v="2014-02-26T00:00:00"/>
    <d v="2014-03-18T00:00:00"/>
    <n v="5.64"/>
    <n v="0.15"/>
    <x v="1"/>
    <n v="20"/>
  </r>
  <r>
    <d v="2014-02-26T00:00:00"/>
    <d v="2014-03-23T00:00:00"/>
    <n v="9.06"/>
    <n v="0.24"/>
    <x v="3"/>
    <n v="25"/>
  </r>
  <r>
    <d v="2014-02-26T00:00:00"/>
    <d v="2014-03-19T00:00:00"/>
    <n v="6.23"/>
    <n v="0.16"/>
    <x v="2"/>
    <n v="21"/>
  </r>
  <r>
    <d v="2014-02-28T00:00:00"/>
    <d v="2014-03-23T00:00:00"/>
    <n v="3.57"/>
    <n v="0.09"/>
    <x v="3"/>
    <n v="23"/>
  </r>
  <r>
    <d v="2014-03-03T00:00:00"/>
    <d v="2014-03-16T00:00:00"/>
    <n v="8.89"/>
    <n v="0.23"/>
    <x v="4"/>
    <n v="13"/>
  </r>
  <r>
    <d v="2014-03-03T00:00:00"/>
    <d v="2014-03-28T00:00:00"/>
    <n v="6.34"/>
    <n v="0.17"/>
    <x v="0"/>
    <n v="25"/>
  </r>
  <r>
    <d v="2014-03-03T00:00:00"/>
    <d v="2014-03-19T00:00:00"/>
    <n v="11.69"/>
    <n v="0.31"/>
    <x v="1"/>
    <n v="16"/>
  </r>
  <r>
    <d v="2014-03-03T00:00:00"/>
    <d v="2014-03-14T00:00:00"/>
    <n v="3.79"/>
    <n v="0.1"/>
    <x v="3"/>
    <n v="11"/>
  </r>
  <r>
    <d v="2014-03-03T00:00:00"/>
    <d v="2014-03-28T00:00:00"/>
    <n v="9.1300000000000008"/>
    <n v="0.24"/>
    <x v="2"/>
    <n v="25"/>
  </r>
  <r>
    <d v="2014-03-03T00:00:00"/>
    <d v="2014-03-24T00:00:00"/>
    <n v="5.78"/>
    <n v="0.15"/>
    <x v="1"/>
    <n v="21"/>
  </r>
  <r>
    <d v="2014-03-03T00:00:00"/>
    <d v="2014-03-21T00:00:00"/>
    <n v="7.06"/>
    <n v="0.19"/>
    <x v="1"/>
    <n v="18"/>
  </r>
  <r>
    <d v="2014-03-03T00:00:00"/>
    <d v="2014-03-14T00:00:00"/>
    <n v="7.31"/>
    <n v="0.19"/>
    <x v="3"/>
    <n v="11"/>
  </r>
  <r>
    <d v="2014-03-03T00:00:00"/>
    <d v="2014-03-13T00:00:00"/>
    <n v="8.9499999999999993"/>
    <n v="0.24"/>
    <x v="3"/>
    <n v="10"/>
  </r>
  <r>
    <d v="2014-03-03T00:00:00"/>
    <d v="2014-03-21T00:00:00"/>
    <n v="2.0099999999999998"/>
    <n v="0.05"/>
    <x v="0"/>
    <n v="18"/>
  </r>
  <r>
    <d v="2014-03-03T00:00:00"/>
    <d v="2014-03-07T00:00:00"/>
    <n v="19.54"/>
    <n v="0.51"/>
    <x v="4"/>
    <n v="4"/>
  </r>
  <r>
    <d v="2014-03-03T00:00:00"/>
    <d v="2014-03-20T00:00:00"/>
    <n v="13.02"/>
    <n v="0.34"/>
    <x v="0"/>
    <n v="17"/>
  </r>
  <r>
    <d v="2014-03-03T00:00:00"/>
    <d v="2014-03-22T00:00:00"/>
    <n v="11.69"/>
    <n v="0.31"/>
    <x v="1"/>
    <n v="19"/>
  </r>
  <r>
    <d v="2014-03-03T00:00:00"/>
    <d v="2014-03-31T00:00:00"/>
    <n v="13.02"/>
    <n v="0.34"/>
    <x v="2"/>
    <n v="28"/>
  </r>
  <r>
    <d v="2014-03-03T00:00:00"/>
    <d v="2014-03-15T00:00:00"/>
    <n v="3.57"/>
    <n v="0.09"/>
    <x v="4"/>
    <n v="12"/>
  </r>
  <r>
    <d v="2014-03-03T00:00:00"/>
    <d v="2014-03-10T00:00:00"/>
    <n v="7.06"/>
    <n v="0.19"/>
    <x v="4"/>
    <n v="7"/>
  </r>
  <r>
    <d v="2014-03-06T00:00:00"/>
    <d v="2014-03-19T00:00:00"/>
    <n v="6.34"/>
    <n v="0.17"/>
    <x v="4"/>
    <n v="13"/>
  </r>
  <r>
    <d v="2014-03-06T00:00:00"/>
    <d v="2014-03-20T00:00:00"/>
    <n v="2.72"/>
    <n v="7.0000000000000007E-2"/>
    <x v="2"/>
    <n v="14"/>
  </r>
  <r>
    <d v="2014-03-07T00:00:00"/>
    <d v="2014-03-12T00:00:00"/>
    <n v="3.73"/>
    <n v="0.1"/>
    <x v="0"/>
    <n v="5"/>
  </r>
  <r>
    <d v="2014-03-09T00:00:00"/>
    <d v="2014-03-21T00:00:00"/>
    <n v="10.59"/>
    <n v="0.28000000000000003"/>
    <x v="1"/>
    <n v="12"/>
  </r>
  <r>
    <d v="2014-03-10T00:00:00"/>
    <d v="2014-04-04T00:00:00"/>
    <n v="3.73"/>
    <n v="0.1"/>
    <x v="0"/>
    <n v="25"/>
  </r>
  <r>
    <d v="2014-03-10T00:00:00"/>
    <d v="2014-03-22T00:00:00"/>
    <n v="5.78"/>
    <n v="0.15"/>
    <x v="2"/>
    <n v="12"/>
  </r>
  <r>
    <d v="2014-03-10T00:00:00"/>
    <d v="2014-03-22T00:00:00"/>
    <n v="10.79"/>
    <n v="0.28000000000000003"/>
    <x v="2"/>
    <n v="12"/>
  </r>
  <r>
    <d v="2014-03-10T00:00:00"/>
    <d v="2014-03-28T00:00:00"/>
    <n v="5.47"/>
    <n v="0.14000000000000001"/>
    <x v="3"/>
    <n v="18"/>
  </r>
  <r>
    <d v="2014-03-10T00:00:00"/>
    <d v="2014-03-22T00:00:00"/>
    <n v="5.57"/>
    <n v="0.15"/>
    <x v="2"/>
    <n v="12"/>
  </r>
  <r>
    <d v="2014-03-11T00:00:00"/>
    <d v="2014-04-07T00:00:00"/>
    <n v="4.66"/>
    <n v="0.12"/>
    <x v="0"/>
    <n v="27"/>
  </r>
  <r>
    <d v="2014-03-11T00:00:00"/>
    <d v="2014-04-02T00:00:00"/>
    <n v="8.9499999999999993"/>
    <n v="0.24"/>
    <x v="3"/>
    <n v="22"/>
  </r>
  <r>
    <d v="2014-03-12T00:00:00"/>
    <d v="2014-03-21T00:00:00"/>
    <n v="3.94"/>
    <n v="0.1"/>
    <x v="4"/>
    <n v="9"/>
  </r>
  <r>
    <d v="2014-03-15T00:00:00"/>
    <d v="2014-03-26T00:00:00"/>
    <n v="5.78"/>
    <n v="0.15"/>
    <x v="1"/>
    <n v="11"/>
  </r>
  <r>
    <d v="2014-03-15T00:00:00"/>
    <d v="2014-04-06T00:00:00"/>
    <n v="13.81"/>
    <n v="0.36"/>
    <x v="2"/>
    <n v="22"/>
  </r>
  <r>
    <d v="2014-03-15T00:00:00"/>
    <d v="2014-04-10T00:00:00"/>
    <n v="5.23"/>
    <n v="0.14000000000000001"/>
    <x v="1"/>
    <n v="26"/>
  </r>
  <r>
    <d v="2014-03-15T00:00:00"/>
    <d v="2014-03-30T00:00:00"/>
    <n v="10.93"/>
    <n v="0.28999999999999998"/>
    <x v="1"/>
    <n v="15"/>
  </r>
  <r>
    <d v="2014-03-15T00:00:00"/>
    <d v="2014-04-02T00:00:00"/>
    <n v="8.9499999999999993"/>
    <n v="0.24"/>
    <x v="3"/>
    <n v="18"/>
  </r>
  <r>
    <d v="2014-03-15T00:00:00"/>
    <d v="2014-04-02T00:00:00"/>
    <n v="16.829999999999998"/>
    <n v="0.44"/>
    <x v="4"/>
    <n v="18"/>
  </r>
  <r>
    <d v="2014-03-15T00:00:00"/>
    <d v="2014-03-20T00:00:00"/>
    <n v="14"/>
    <n v="0.37"/>
    <x v="2"/>
    <n v="5"/>
  </r>
  <r>
    <d v="2014-03-15T00:00:00"/>
    <d v="2014-04-06T00:00:00"/>
    <n v="5.23"/>
    <n v="0.14000000000000001"/>
    <x v="1"/>
    <n v="22"/>
  </r>
  <r>
    <d v="2014-03-15T00:00:00"/>
    <d v="2014-03-26T00:00:00"/>
    <n v="16.55"/>
    <n v="0.44"/>
    <x v="1"/>
    <n v="11"/>
  </r>
  <r>
    <d v="2014-03-15T00:00:00"/>
    <d v="2014-03-26T00:00:00"/>
    <n v="12.23"/>
    <n v="0.32"/>
    <x v="4"/>
    <n v="11"/>
  </r>
  <r>
    <d v="2014-03-15T00:00:00"/>
    <d v="2014-03-22T00:00:00"/>
    <n v="8.39"/>
    <n v="0.22"/>
    <x v="2"/>
    <n v="7"/>
  </r>
  <r>
    <d v="2014-03-15T00:00:00"/>
    <d v="2014-03-23T00:00:00"/>
    <n v="5.67"/>
    <n v="0.15"/>
    <x v="0"/>
    <n v="8"/>
  </r>
  <r>
    <d v="2014-03-15T00:00:00"/>
    <d v="2014-03-21T00:00:00"/>
    <n v="14.13"/>
    <n v="0.37"/>
    <x v="3"/>
    <n v="6"/>
  </r>
  <r>
    <d v="2014-03-15T00:00:00"/>
    <d v="2014-03-25T00:00:00"/>
    <n v="11.69"/>
    <n v="0.31"/>
    <x v="3"/>
    <n v="10"/>
  </r>
  <r>
    <d v="2014-03-15T00:00:00"/>
    <d v="2014-03-30T00:00:00"/>
    <n v="16.940000000000001"/>
    <n v="0.45"/>
    <x v="2"/>
    <n v="15"/>
  </r>
  <r>
    <d v="2014-03-15T00:00:00"/>
    <d v="2014-04-04T00:00:00"/>
    <n v="14"/>
    <n v="0.37"/>
    <x v="3"/>
    <n v="20"/>
  </r>
  <r>
    <d v="2014-03-17T00:00:00"/>
    <d v="2014-04-14T00:00:00"/>
    <n v="8.84"/>
    <n v="0.23"/>
    <x v="2"/>
    <n v="28"/>
  </r>
  <r>
    <d v="2014-03-17T00:00:00"/>
    <d v="2014-04-05T00:00:00"/>
    <n v="6.75"/>
    <n v="0.18"/>
    <x v="3"/>
    <n v="19"/>
  </r>
  <r>
    <d v="2014-03-17T00:00:00"/>
    <d v="2014-03-30T00:00:00"/>
    <n v="6.23"/>
    <n v="0.16"/>
    <x v="0"/>
    <n v="13"/>
  </r>
  <r>
    <d v="2014-03-17T00:00:00"/>
    <d v="2014-04-12T00:00:00"/>
    <n v="8.7200000000000006"/>
    <n v="0.23"/>
    <x v="1"/>
    <n v="26"/>
  </r>
  <r>
    <d v="2014-03-18T00:00:00"/>
    <d v="2014-03-21T00:00:00"/>
    <n v="6.34"/>
    <n v="0.17"/>
    <x v="0"/>
    <n v="3"/>
  </r>
  <r>
    <d v="2014-03-18T00:00:00"/>
    <d v="2014-04-05T00:00:00"/>
    <n v="2.29"/>
    <n v="0.06"/>
    <x v="3"/>
    <n v="18"/>
  </r>
  <r>
    <d v="2014-03-18T00:00:00"/>
    <d v="2014-04-05T00:00:00"/>
    <n v="4.25"/>
    <n v="0.11"/>
    <x v="3"/>
    <n v="18"/>
  </r>
  <r>
    <d v="2014-03-21T00:00:00"/>
    <d v="2014-04-13T00:00:00"/>
    <n v="16.55"/>
    <n v="0.44"/>
    <x v="0"/>
    <n v="23"/>
  </r>
  <r>
    <d v="2014-03-21T00:00:00"/>
    <d v="2014-04-16T00:00:00"/>
    <n v="7.55"/>
    <n v="0.2"/>
    <x v="4"/>
    <n v="26"/>
  </r>
  <r>
    <d v="2014-03-21T00:00:00"/>
    <d v="2014-04-02T00:00:00"/>
    <n v="16.55"/>
    <n v="0.44"/>
    <x v="0"/>
    <n v="12"/>
  </r>
  <r>
    <d v="2014-03-21T00:00:00"/>
    <d v="2014-04-10T00:00:00"/>
    <n v="3.79"/>
    <n v="0.1"/>
    <x v="4"/>
    <n v="20"/>
  </r>
  <r>
    <d v="2014-03-21T00:00:00"/>
    <d v="2014-03-27T00:00:00"/>
    <n v="8.51"/>
    <n v="0.22"/>
    <x v="1"/>
    <n v="6"/>
  </r>
  <r>
    <d v="2014-03-21T00:00:00"/>
    <d v="2014-03-26T00:00:00"/>
    <n v="7.71"/>
    <n v="0.2"/>
    <x v="2"/>
    <n v="5"/>
  </r>
  <r>
    <d v="2014-03-27T00:00:00"/>
    <d v="2014-04-13T00:00:00"/>
    <n v="3.79"/>
    <n v="0.1"/>
    <x v="2"/>
    <n v="17"/>
  </r>
  <r>
    <d v="2014-03-27T00:00:00"/>
    <d v="2014-04-18T00:00:00"/>
    <n v="16.55"/>
    <n v="0.44"/>
    <x v="3"/>
    <n v="22"/>
  </r>
  <r>
    <d v="2014-03-27T00:00:00"/>
    <d v="2014-03-30T00:00:00"/>
    <n v="10.19"/>
    <n v="0.27"/>
    <x v="0"/>
    <n v="3"/>
  </r>
  <r>
    <d v="2014-03-27T00:00:00"/>
    <d v="2014-04-02T00:00:00"/>
    <n v="8.39"/>
    <n v="0.22"/>
    <x v="0"/>
    <n v="6"/>
  </r>
  <r>
    <d v="2014-03-27T00:00:00"/>
    <d v="2014-04-23T00:00:00"/>
    <n v="8.89"/>
    <n v="0.23"/>
    <x v="2"/>
    <n v="27"/>
  </r>
  <r>
    <d v="2014-03-27T00:00:00"/>
    <d v="2014-04-19T00:00:00"/>
    <n v="7.35"/>
    <n v="0.19"/>
    <x v="2"/>
    <n v="23"/>
  </r>
  <r>
    <d v="2014-04-02T00:00:00"/>
    <d v="2014-04-11T00:00:00"/>
    <n v="6.88"/>
    <n v="0.18"/>
    <x v="3"/>
    <n v="9"/>
  </r>
  <r>
    <d v="2014-04-02T00:00:00"/>
    <d v="2014-04-11T00:00:00"/>
    <n v="13.02"/>
    <n v="0.34"/>
    <x v="4"/>
    <n v="9"/>
  </r>
  <r>
    <d v="2014-04-02T00:00:00"/>
    <d v="2014-04-21T00:00:00"/>
    <n v="10.59"/>
    <n v="0.28000000000000003"/>
    <x v="4"/>
    <n v="19"/>
  </r>
  <r>
    <d v="2014-04-02T00:00:00"/>
    <d v="2014-04-22T00:00:00"/>
    <n v="16.940000000000001"/>
    <n v="0.45"/>
    <x v="3"/>
    <n v="20"/>
  </r>
  <r>
    <d v="2014-04-02T00:00:00"/>
    <d v="2014-04-19T00:00:00"/>
    <n v="11.44"/>
    <n v="0.3"/>
    <x v="3"/>
    <n v="17"/>
  </r>
  <r>
    <d v="2014-04-02T00:00:00"/>
    <d v="2014-04-04T00:00:00"/>
    <n v="3.79"/>
    <n v="0.1"/>
    <x v="3"/>
    <n v="2"/>
  </r>
  <r>
    <d v="2014-04-03T00:00:00"/>
    <d v="2014-04-29T00:00:00"/>
    <n v="10.19"/>
    <n v="0.27"/>
    <x v="2"/>
    <n v="26"/>
  </r>
  <r>
    <d v="2014-04-08T00:00:00"/>
    <d v="2014-04-18T00:00:00"/>
    <n v="7.35"/>
    <n v="0.19"/>
    <x v="0"/>
    <n v="10"/>
  </r>
  <r>
    <d v="2014-04-08T00:00:00"/>
    <d v="2014-04-23T00:00:00"/>
    <n v="9.74"/>
    <n v="0.26"/>
    <x v="1"/>
    <n v="15"/>
  </r>
  <r>
    <d v="2014-04-08T00:00:00"/>
    <d v="2014-04-29T00:00:00"/>
    <n v="8.65"/>
    <n v="0.23"/>
    <x v="4"/>
    <n v="21"/>
  </r>
  <r>
    <d v="2014-04-08T00:00:00"/>
    <d v="2014-04-30T00:00:00"/>
    <n v="7.06"/>
    <n v="0.19"/>
    <x v="2"/>
    <n v="22"/>
  </r>
  <r>
    <d v="2014-04-08T00:00:00"/>
    <d v="2014-05-03T00:00:00"/>
    <n v="14"/>
    <n v="0.37"/>
    <x v="2"/>
    <n v="25"/>
  </r>
  <r>
    <d v="2014-04-08T00:00:00"/>
    <d v="2014-05-05T00:00:00"/>
    <n v="16.940000000000001"/>
    <n v="0.45"/>
    <x v="3"/>
    <n v="27"/>
  </r>
  <r>
    <d v="2014-04-14T00:00:00"/>
    <d v="2014-04-30T00:00:00"/>
    <n v="16.55"/>
    <n v="0.44"/>
    <x v="3"/>
    <n v="16"/>
  </r>
  <r>
    <d v="2014-04-14T00:00:00"/>
    <d v="2014-05-07T00:00:00"/>
    <n v="14.13"/>
    <n v="0.37"/>
    <x v="1"/>
    <n v="23"/>
  </r>
  <r>
    <d v="2014-04-14T00:00:00"/>
    <d v="2014-05-02T00:00:00"/>
    <n v="11.42"/>
    <n v="0.3"/>
    <x v="0"/>
    <n v="18"/>
  </r>
  <r>
    <d v="2014-04-14T00:00:00"/>
    <d v="2014-05-03T00:00:00"/>
    <n v="16.829999999999998"/>
    <n v="0.44"/>
    <x v="0"/>
    <n v="19"/>
  </r>
  <r>
    <d v="2014-04-14T00:00:00"/>
    <d v="2014-05-09T00:00:00"/>
    <n v="9.06"/>
    <n v="0.24"/>
    <x v="3"/>
    <n v="25"/>
  </r>
  <r>
    <d v="2014-04-14T00:00:00"/>
    <d v="2014-04-26T00:00:00"/>
    <n v="11.69"/>
    <n v="0.31"/>
    <x v="0"/>
    <n v="12"/>
  </r>
  <r>
    <d v="2014-04-18T00:00:00"/>
    <d v="2014-05-13T00:00:00"/>
    <n v="6.58"/>
    <n v="0.17"/>
    <x v="4"/>
    <n v="25"/>
  </r>
  <r>
    <d v="2014-04-20T00:00:00"/>
    <d v="2014-04-26T00:00:00"/>
    <n v="11.44"/>
    <n v="0.3"/>
    <x v="1"/>
    <n v="6"/>
  </r>
  <r>
    <d v="2014-04-20T00:00:00"/>
    <d v="2014-05-04T00:00:00"/>
    <n v="6.75"/>
    <n v="0.18"/>
    <x v="1"/>
    <n v="14"/>
  </r>
  <r>
    <d v="2014-04-23T00:00:00"/>
    <d v="2014-05-12T00:00:00"/>
    <n v="7.71"/>
    <n v="0.2"/>
    <x v="0"/>
    <n v="19"/>
  </r>
  <r>
    <d v="2014-04-23T00:00:00"/>
    <d v="2014-04-25T00:00:00"/>
    <n v="6.75"/>
    <n v="0.18"/>
    <x v="3"/>
    <n v="2"/>
  </r>
  <r>
    <d v="2014-04-24T00:00:00"/>
    <d v="2014-04-29T00:00:00"/>
    <n v="3.57"/>
    <n v="0.09"/>
    <x v="2"/>
    <n v="5"/>
  </r>
  <r>
    <d v="2014-04-26T00:00:00"/>
    <d v="2014-05-23T00:00:00"/>
    <n v="10.19"/>
    <n v="0.27"/>
    <x v="4"/>
    <n v="27"/>
  </r>
  <r>
    <d v="2014-04-26T00:00:00"/>
    <d v="2014-05-20T00:00:00"/>
    <n v="11.78"/>
    <n v="0.31"/>
    <x v="4"/>
    <n v="24"/>
  </r>
  <r>
    <d v="2014-04-26T00:00:00"/>
    <d v="2014-05-12T00:00:00"/>
    <n v="3.79"/>
    <n v="0.1"/>
    <x v="4"/>
    <n v="16"/>
  </r>
  <r>
    <d v="2014-04-26T00:00:00"/>
    <d v="2014-05-02T00:00:00"/>
    <n v="6.75"/>
    <n v="0.18"/>
    <x v="1"/>
    <n v="6"/>
  </r>
  <r>
    <d v="2014-04-26T00:00:00"/>
    <d v="2014-05-08T00:00:00"/>
    <n v="12.01"/>
    <n v="0.32"/>
    <x v="2"/>
    <n v="12"/>
  </r>
  <r>
    <d v="2014-04-26T00:00:00"/>
    <d v="2014-05-05T00:00:00"/>
    <n v="2.0099999999999998"/>
    <n v="0.05"/>
    <x v="2"/>
    <n v="9"/>
  </r>
  <r>
    <d v="2014-04-28T00:00:00"/>
    <d v="2014-05-09T00:00:00"/>
    <n v="9.06"/>
    <n v="0.24"/>
    <x v="0"/>
    <n v="11"/>
  </r>
  <r>
    <d v="2014-05-02T00:00:00"/>
    <d v="2014-05-27T00:00:00"/>
    <n v="13.81"/>
    <n v="0.36"/>
    <x v="4"/>
    <n v="25"/>
  </r>
  <r>
    <d v="2014-05-02T00:00:00"/>
    <d v="2014-05-23T00:00:00"/>
    <n v="5.47"/>
    <n v="0.14000000000000001"/>
    <x v="4"/>
    <n v="21"/>
  </r>
  <r>
    <d v="2014-05-02T00:00:00"/>
    <d v="2014-05-18T00:00:00"/>
    <n v="9.06"/>
    <n v="0.24"/>
    <x v="0"/>
    <n v="16"/>
  </r>
  <r>
    <d v="2014-05-05T00:00:00"/>
    <d v="2014-05-21T00:00:00"/>
    <n v="8.39"/>
    <n v="0.22"/>
    <x v="0"/>
    <n v="16"/>
  </r>
  <r>
    <d v="2014-05-05T00:00:00"/>
    <d v="2014-05-17T00:00:00"/>
    <n v="3.73"/>
    <n v="0.1"/>
    <x v="0"/>
    <n v="12"/>
  </r>
  <r>
    <d v="2014-05-06T00:00:00"/>
    <d v="2014-05-14T00:00:00"/>
    <n v="7.31"/>
    <n v="0.19"/>
    <x v="3"/>
    <n v="8"/>
  </r>
  <r>
    <d v="2014-05-08T00:00:00"/>
    <d v="2014-05-21T00:00:00"/>
    <n v="14.31"/>
    <n v="0.38"/>
    <x v="1"/>
    <n v="13"/>
  </r>
  <r>
    <d v="2014-05-08T00:00:00"/>
    <d v="2014-06-04T00:00:00"/>
    <n v="14.13"/>
    <n v="0.37"/>
    <x v="3"/>
    <n v="27"/>
  </r>
  <r>
    <d v="2014-05-08T00:00:00"/>
    <d v="2014-05-18T00:00:00"/>
    <n v="3.88"/>
    <n v="0.1"/>
    <x v="0"/>
    <n v="10"/>
  </r>
  <r>
    <d v="2014-05-08T00:00:00"/>
    <d v="2014-05-10T00:00:00"/>
    <n v="7.35"/>
    <n v="0.19"/>
    <x v="1"/>
    <n v="2"/>
  </r>
  <r>
    <d v="2014-05-08T00:00:00"/>
    <d v="2014-05-17T00:00:00"/>
    <n v="12.01"/>
    <n v="0.32"/>
    <x v="3"/>
    <n v="9"/>
  </r>
  <r>
    <d v="2014-05-08T00:00:00"/>
    <d v="2014-05-16T00:00:00"/>
    <n v="13.07"/>
    <n v="0.34"/>
    <x v="4"/>
    <n v="8"/>
  </r>
  <r>
    <d v="2014-05-14T00:00:00"/>
    <d v="2014-05-30T00:00:00"/>
    <n v="7.35"/>
    <n v="0.19"/>
    <x v="3"/>
    <n v="16"/>
  </r>
  <r>
    <d v="2014-05-14T00:00:00"/>
    <d v="2014-05-17T00:00:00"/>
    <n v="11.37"/>
    <n v="0.3"/>
    <x v="2"/>
    <n v="3"/>
  </r>
  <r>
    <d v="2014-05-14T00:00:00"/>
    <d v="2014-05-19T00:00:00"/>
    <n v="13.81"/>
    <n v="0.36"/>
    <x v="4"/>
    <n v="5"/>
  </r>
  <r>
    <d v="2014-05-14T00:00:00"/>
    <d v="2014-05-21T00:00:00"/>
    <n v="5.64"/>
    <n v="0.15"/>
    <x v="1"/>
    <n v="7"/>
  </r>
  <r>
    <d v="2014-05-14T00:00:00"/>
    <d v="2014-05-23T00:00:00"/>
    <n v="7.55"/>
    <n v="0.2"/>
    <x v="2"/>
    <n v="9"/>
  </r>
  <r>
    <d v="2014-05-14T00:00:00"/>
    <d v="2014-05-28T00:00:00"/>
    <n v="5.23"/>
    <n v="0.14000000000000001"/>
    <x v="4"/>
    <n v="14"/>
  </r>
  <r>
    <d v="2014-05-14T00:00:00"/>
    <d v="2014-06-01T00:00:00"/>
    <n v="7.55"/>
    <n v="0.2"/>
    <x v="2"/>
    <n v="18"/>
  </r>
  <r>
    <d v="2014-05-20T00:00:00"/>
    <d v="2014-06-02T00:00:00"/>
    <n v="8.89"/>
    <n v="0.23"/>
    <x v="4"/>
    <n v="13"/>
  </r>
  <r>
    <d v="2014-05-20T00:00:00"/>
    <d v="2014-06-13T00:00:00"/>
    <n v="8.65"/>
    <n v="0.23"/>
    <x v="4"/>
    <n v="24"/>
  </r>
  <r>
    <d v="2014-05-20T00:00:00"/>
    <d v="2014-05-29T00:00:00"/>
    <n v="7.3"/>
    <n v="0.19"/>
    <x v="1"/>
    <n v="9"/>
  </r>
  <r>
    <d v="2014-05-20T00:00:00"/>
    <d v="2014-06-11T00:00:00"/>
    <n v="10.59"/>
    <n v="0.28000000000000003"/>
    <x v="0"/>
    <n v="22"/>
  </r>
  <r>
    <d v="2014-05-20T00:00:00"/>
    <d v="2014-05-30T00:00:00"/>
    <n v="11.37"/>
    <n v="0.3"/>
    <x v="0"/>
    <n v="10"/>
  </r>
  <r>
    <d v="2014-05-20T00:00:00"/>
    <d v="2014-06-03T00:00:00"/>
    <n v="10.79"/>
    <n v="0.28000000000000003"/>
    <x v="3"/>
    <n v="14"/>
  </r>
  <r>
    <d v="2014-05-26T00:00:00"/>
    <d v="2014-06-03T00:00:00"/>
    <n v="11.44"/>
    <n v="0.3"/>
    <x v="3"/>
    <n v="8"/>
  </r>
  <r>
    <d v="2014-05-26T00:00:00"/>
    <d v="2014-06-06T00:00:00"/>
    <n v="13.07"/>
    <n v="0.34"/>
    <x v="2"/>
    <n v="11"/>
  </r>
  <r>
    <d v="2014-05-26T00:00:00"/>
    <d v="2014-06-11T00:00:00"/>
    <n v="5.57"/>
    <n v="0.15"/>
    <x v="1"/>
    <n v="16"/>
  </r>
  <r>
    <d v="2014-05-26T00:00:00"/>
    <d v="2014-05-28T00:00:00"/>
    <n v="11.78"/>
    <n v="0.31"/>
    <x v="0"/>
    <n v="2"/>
  </r>
  <r>
    <d v="2014-05-26T00:00:00"/>
    <d v="2014-05-29T00:00:00"/>
    <n v="11.78"/>
    <n v="0.31"/>
    <x v="2"/>
    <n v="3"/>
  </r>
  <r>
    <d v="2014-05-26T00:00:00"/>
    <d v="2014-06-12T00:00:00"/>
    <n v="9.74"/>
    <n v="0.26"/>
    <x v="4"/>
    <n v="17"/>
  </r>
  <r>
    <d v="2014-06-01T00:00:00"/>
    <d v="2014-06-28T00:00:00"/>
    <n v="12.01"/>
    <n v="0.32"/>
    <x v="1"/>
    <n v="27"/>
  </r>
  <r>
    <d v="2014-06-01T00:00:00"/>
    <d v="2014-06-08T00:00:00"/>
    <n v="9.4600000000000009"/>
    <n v="0.25"/>
    <x v="4"/>
    <n v="7"/>
  </r>
  <r>
    <d v="2014-06-01T00:00:00"/>
    <d v="2014-06-05T00:00:00"/>
    <n v="11.37"/>
    <n v="0.3"/>
    <x v="1"/>
    <n v="4"/>
  </r>
  <r>
    <d v="2014-06-01T00:00:00"/>
    <d v="2014-06-17T00:00:00"/>
    <n v="5.78"/>
    <n v="0.15"/>
    <x v="4"/>
    <n v="16"/>
  </r>
  <r>
    <d v="2014-06-01T00:00:00"/>
    <d v="2014-06-22T00:00:00"/>
    <n v="12.01"/>
    <n v="0.32"/>
    <x v="0"/>
    <n v="21"/>
  </r>
  <r>
    <d v="2014-06-01T00:00:00"/>
    <d v="2014-06-25T00:00:00"/>
    <n v="7.55"/>
    <n v="0.2"/>
    <x v="0"/>
    <n v="24"/>
  </r>
  <r>
    <d v="2014-06-01T00:00:00"/>
    <d v="2014-06-04T00:00:00"/>
    <n v="9.74"/>
    <n v="0.26"/>
    <x v="4"/>
    <n v="3"/>
  </r>
  <r>
    <d v="2014-06-02T00:00:00"/>
    <d v="2014-06-12T00:00:00"/>
    <n v="2.72"/>
    <n v="7.0000000000000007E-2"/>
    <x v="2"/>
    <n v="10"/>
  </r>
  <r>
    <d v="2014-06-02T00:00:00"/>
    <d v="2014-06-11T00:00:00"/>
    <n v="3.57"/>
    <n v="0.09"/>
    <x v="4"/>
    <n v="9"/>
  </r>
  <r>
    <d v="2014-06-02T00:00:00"/>
    <d v="2014-06-23T00:00:00"/>
    <n v="7.55"/>
    <n v="0.2"/>
    <x v="1"/>
    <n v="21"/>
  </r>
  <r>
    <d v="2014-06-02T00:00:00"/>
    <d v="2014-06-22T00:00:00"/>
    <n v="3.57"/>
    <n v="0.09"/>
    <x v="2"/>
    <n v="20"/>
  </r>
  <r>
    <d v="2014-06-03T00:00:00"/>
    <d v="2014-06-13T00:00:00"/>
    <n v="2.29"/>
    <n v="0.06"/>
    <x v="0"/>
    <n v="10"/>
  </r>
  <r>
    <d v="2014-06-03T00:00:00"/>
    <d v="2014-06-27T00:00:00"/>
    <n v="9.06"/>
    <n v="0.24"/>
    <x v="3"/>
    <n v="24"/>
  </r>
  <r>
    <d v="2014-06-04T00:00:00"/>
    <d v="2014-06-08T00:00:00"/>
    <n v="4.25"/>
    <n v="0.11"/>
    <x v="2"/>
    <n v="4"/>
  </r>
  <r>
    <d v="2014-06-04T00:00:00"/>
    <d v="2014-06-14T00:00:00"/>
    <n v="7.31"/>
    <n v="0.19"/>
    <x v="1"/>
    <n v="10"/>
  </r>
  <r>
    <d v="2014-06-04T00:00:00"/>
    <d v="2014-06-10T00:00:00"/>
    <n v="9.06"/>
    <n v="0.24"/>
    <x v="2"/>
    <n v="6"/>
  </r>
  <r>
    <d v="2014-06-05T00:00:00"/>
    <d v="2014-06-09T00:00:00"/>
    <n v="6.43"/>
    <n v="0.17"/>
    <x v="4"/>
    <n v="4"/>
  </r>
  <r>
    <d v="2014-06-07T00:00:00"/>
    <d v="2014-06-18T00:00:00"/>
    <n v="2.0099999999999998"/>
    <n v="0.05"/>
    <x v="4"/>
    <n v="11"/>
  </r>
  <r>
    <d v="2014-06-07T00:00:00"/>
    <d v="2014-06-12T00:00:00"/>
    <n v="8.51"/>
    <n v="0.22"/>
    <x v="4"/>
    <n v="5"/>
  </r>
  <r>
    <d v="2014-06-07T00:00:00"/>
    <d v="2014-06-27T00:00:00"/>
    <n v="16.55"/>
    <n v="0.44"/>
    <x v="3"/>
    <n v="20"/>
  </r>
  <r>
    <d v="2014-06-07T00:00:00"/>
    <d v="2014-06-14T00:00:00"/>
    <n v="9.1300000000000008"/>
    <n v="0.24"/>
    <x v="4"/>
    <n v="7"/>
  </r>
  <r>
    <d v="2014-06-07T00:00:00"/>
    <d v="2014-06-26T00:00:00"/>
    <n v="10.199999999999999"/>
    <n v="0.27"/>
    <x v="0"/>
    <n v="19"/>
  </r>
  <r>
    <d v="2014-06-09T00:00:00"/>
    <d v="2014-07-03T00:00:00"/>
    <n v="6.23"/>
    <n v="0.16"/>
    <x v="2"/>
    <n v="24"/>
  </r>
  <r>
    <d v="2014-06-13T00:00:00"/>
    <d v="2014-07-07T00:00:00"/>
    <n v="8.51"/>
    <n v="0.22"/>
    <x v="4"/>
    <n v="24"/>
  </r>
  <r>
    <d v="2014-06-13T00:00:00"/>
    <d v="2014-06-21T00:00:00"/>
    <n v="13.82"/>
    <n v="0.36"/>
    <x v="3"/>
    <n v="8"/>
  </r>
  <r>
    <d v="2014-06-13T00:00:00"/>
    <d v="2014-07-05T00:00:00"/>
    <n v="6.34"/>
    <n v="0.17"/>
    <x v="1"/>
    <n v="22"/>
  </r>
  <r>
    <d v="2014-06-13T00:00:00"/>
    <d v="2014-07-09T00:00:00"/>
    <n v="10.19"/>
    <n v="0.27"/>
    <x v="1"/>
    <n v="26"/>
  </r>
  <r>
    <d v="2014-06-13T00:00:00"/>
    <d v="2014-06-15T00:00:00"/>
    <n v="14"/>
    <n v="0.37"/>
    <x v="4"/>
    <n v="2"/>
  </r>
  <r>
    <d v="2014-06-13T00:00:00"/>
    <d v="2014-06-24T00:00:00"/>
    <n v="14"/>
    <n v="0.37"/>
    <x v="3"/>
    <n v="11"/>
  </r>
  <r>
    <d v="2014-06-13T00:00:00"/>
    <d v="2014-06-26T00:00:00"/>
    <n v="10.19"/>
    <n v="0.27"/>
    <x v="2"/>
    <n v="13"/>
  </r>
  <r>
    <d v="2014-06-13T00:00:00"/>
    <d v="2014-06-28T00:00:00"/>
    <n v="8.89"/>
    <n v="0.23"/>
    <x v="0"/>
    <n v="15"/>
  </r>
  <r>
    <d v="2014-06-13T00:00:00"/>
    <d v="2014-06-24T00:00:00"/>
    <n v="11.44"/>
    <n v="0.3"/>
    <x v="1"/>
    <n v="11"/>
  </r>
  <r>
    <d v="2014-06-13T00:00:00"/>
    <d v="2014-07-07T00:00:00"/>
    <n v="10.93"/>
    <n v="0.28999999999999998"/>
    <x v="2"/>
    <n v="24"/>
  </r>
  <r>
    <d v="2014-06-13T00:00:00"/>
    <d v="2014-07-02T00:00:00"/>
    <n v="6.34"/>
    <n v="0.17"/>
    <x v="3"/>
    <n v="19"/>
  </r>
  <r>
    <d v="2014-06-13T00:00:00"/>
    <d v="2014-06-23T00:00:00"/>
    <n v="5.67"/>
    <n v="0.15"/>
    <x v="0"/>
    <n v="10"/>
  </r>
  <r>
    <d v="2014-06-13T00:00:00"/>
    <d v="2014-07-01T00:00:00"/>
    <n v="8.51"/>
    <n v="0.22"/>
    <x v="1"/>
    <n v="18"/>
  </r>
  <r>
    <d v="2014-06-13T00:00:00"/>
    <d v="2014-06-27T00:00:00"/>
    <n v="16.829999999999998"/>
    <n v="0.44"/>
    <x v="0"/>
    <n v="14"/>
  </r>
  <r>
    <d v="2014-06-13T00:00:00"/>
    <d v="2014-06-24T00:00:00"/>
    <n v="11.69"/>
    <n v="0.31"/>
    <x v="0"/>
    <n v="11"/>
  </r>
  <r>
    <d v="2014-06-16T00:00:00"/>
    <d v="2014-06-18T00:00:00"/>
    <n v="7.71"/>
    <n v="0.2"/>
    <x v="4"/>
    <n v="2"/>
  </r>
  <r>
    <d v="2014-06-16T00:00:00"/>
    <d v="2014-07-14T00:00:00"/>
    <n v="5.67"/>
    <n v="0.15"/>
    <x v="0"/>
    <n v="28"/>
  </r>
  <r>
    <d v="2014-06-19T00:00:00"/>
    <d v="2014-07-17T00:00:00"/>
    <n v="7.3"/>
    <n v="0.19"/>
    <x v="1"/>
    <n v="28"/>
  </r>
  <r>
    <d v="2014-06-19T00:00:00"/>
    <d v="2014-06-23T00:00:00"/>
    <n v="5.64"/>
    <n v="0.15"/>
    <x v="0"/>
    <n v="4"/>
  </r>
  <r>
    <d v="2014-06-19T00:00:00"/>
    <d v="2014-06-25T00:00:00"/>
    <n v="10.79"/>
    <n v="0.28000000000000003"/>
    <x v="0"/>
    <n v="6"/>
  </r>
  <r>
    <d v="2014-06-19T00:00:00"/>
    <d v="2014-07-10T00:00:00"/>
    <n v="10.199999999999999"/>
    <n v="0.27"/>
    <x v="1"/>
    <n v="21"/>
  </r>
  <r>
    <d v="2014-06-19T00:00:00"/>
    <d v="2014-07-01T00:00:00"/>
    <n v="16.55"/>
    <n v="0.44"/>
    <x v="4"/>
    <n v="12"/>
  </r>
  <r>
    <d v="2014-06-19T00:00:00"/>
    <d v="2014-07-09T00:00:00"/>
    <n v="8.9499999999999993"/>
    <n v="0.24"/>
    <x v="1"/>
    <n v="20"/>
  </r>
  <r>
    <d v="2014-06-25T00:00:00"/>
    <d v="2014-07-05T00:00:00"/>
    <n v="5.64"/>
    <n v="0.15"/>
    <x v="3"/>
    <n v="10"/>
  </r>
  <r>
    <d v="2014-06-25T00:00:00"/>
    <d v="2014-07-20T00:00:00"/>
    <n v="6.34"/>
    <n v="0.17"/>
    <x v="4"/>
    <n v="25"/>
  </r>
  <r>
    <d v="2014-06-25T00:00:00"/>
    <d v="2014-07-12T00:00:00"/>
    <n v="11.69"/>
    <n v="0.31"/>
    <x v="1"/>
    <n v="17"/>
  </r>
  <r>
    <d v="2014-06-25T00:00:00"/>
    <d v="2014-07-19T00:00:00"/>
    <n v="11.42"/>
    <n v="0.3"/>
    <x v="0"/>
    <n v="24"/>
  </r>
  <r>
    <d v="2014-06-25T00:00:00"/>
    <d v="2014-07-02T00:00:00"/>
    <n v="8.5399999999999991"/>
    <n v="0.22"/>
    <x v="1"/>
    <n v="7"/>
  </r>
  <r>
    <d v="2014-06-25T00:00:00"/>
    <d v="2014-07-11T00:00:00"/>
    <n v="10.199999999999999"/>
    <n v="0.27"/>
    <x v="4"/>
    <n v="16"/>
  </r>
  <r>
    <d v="2014-06-25T00:00:00"/>
    <d v="2014-07-13T00:00:00"/>
    <n v="8.39"/>
    <n v="0.22"/>
    <x v="1"/>
    <n v="18"/>
  </r>
  <r>
    <d v="2014-06-25T00:00:00"/>
    <d v="2014-07-06T00:00:00"/>
    <n v="9.4600000000000009"/>
    <n v="0.25"/>
    <x v="3"/>
    <n v="11"/>
  </r>
  <r>
    <d v="2014-06-25T00:00:00"/>
    <d v="2014-07-23T00:00:00"/>
    <n v="11.37"/>
    <n v="0.3"/>
    <x v="0"/>
    <n v="28"/>
  </r>
  <r>
    <d v="2014-06-25T00:00:00"/>
    <d v="2014-07-21T00:00:00"/>
    <n v="3.79"/>
    <n v="0.1"/>
    <x v="0"/>
    <n v="26"/>
  </r>
  <r>
    <d v="2014-06-25T00:00:00"/>
    <d v="2014-07-15T00:00:00"/>
    <n v="8.84"/>
    <n v="0.23"/>
    <x v="2"/>
    <n v="20"/>
  </r>
  <r>
    <d v="2014-06-25T00:00:00"/>
    <d v="2014-07-05T00:00:00"/>
    <n v="19.54"/>
    <n v="0.51"/>
    <x v="3"/>
    <n v="10"/>
  </r>
  <r>
    <d v="2014-06-25T00:00:00"/>
    <d v="2014-07-01T00:00:00"/>
    <n v="3.79"/>
    <n v="0.1"/>
    <x v="0"/>
    <n v="6"/>
  </r>
  <r>
    <d v="2014-06-25T00:00:00"/>
    <d v="2014-07-08T00:00:00"/>
    <n v="9.74"/>
    <n v="0.26"/>
    <x v="1"/>
    <n v="13"/>
  </r>
  <r>
    <d v="2014-06-25T00:00:00"/>
    <d v="2014-07-17T00:00:00"/>
    <n v="10.199999999999999"/>
    <n v="0.27"/>
    <x v="2"/>
    <n v="22"/>
  </r>
  <r>
    <d v="2014-06-25T00:00:00"/>
    <d v="2014-07-16T00:00:00"/>
    <n v="3.88"/>
    <n v="0.1"/>
    <x v="3"/>
    <n v="21"/>
  </r>
  <r>
    <d v="2014-06-28T00:00:00"/>
    <d v="2014-07-15T00:00:00"/>
    <n v="4.66"/>
    <n v="0.12"/>
    <x v="3"/>
    <n v="17"/>
  </r>
  <r>
    <d v="2014-07-01T00:00:00"/>
    <d v="2014-07-20T00:00:00"/>
    <n v="16.55"/>
    <n v="0.44"/>
    <x v="1"/>
    <n v="19"/>
  </r>
  <r>
    <d v="2014-07-01T00:00:00"/>
    <d v="2014-07-15T00:00:00"/>
    <n v="13.81"/>
    <n v="0.36"/>
    <x v="4"/>
    <n v="14"/>
  </r>
  <r>
    <d v="2014-07-01T00:00:00"/>
    <d v="2014-07-17T00:00:00"/>
    <n v="8.51"/>
    <n v="0.22"/>
    <x v="0"/>
    <n v="16"/>
  </r>
  <r>
    <d v="2014-07-01T00:00:00"/>
    <d v="2014-07-07T00:00:00"/>
    <n v="8.65"/>
    <n v="0.23"/>
    <x v="2"/>
    <n v="6"/>
  </r>
  <r>
    <d v="2014-07-01T00:00:00"/>
    <d v="2014-07-12T00:00:00"/>
    <n v="11.69"/>
    <n v="0.31"/>
    <x v="3"/>
    <n v="11"/>
  </r>
  <r>
    <d v="2014-07-01T00:00:00"/>
    <d v="2014-07-08T00:00:00"/>
    <n v="7.06"/>
    <n v="0.19"/>
    <x v="4"/>
    <n v="7"/>
  </r>
  <r>
    <d v="2014-07-07T00:00:00"/>
    <d v="2014-07-17T00:00:00"/>
    <n v="11.44"/>
    <n v="0.3"/>
    <x v="0"/>
    <n v="10"/>
  </r>
  <r>
    <d v="2014-07-07T00:00:00"/>
    <d v="2014-07-11T00:00:00"/>
    <n v="8.9499999999999993"/>
    <n v="0.24"/>
    <x v="3"/>
    <n v="4"/>
  </r>
  <r>
    <d v="2014-07-07T00:00:00"/>
    <d v="2014-07-27T00:00:00"/>
    <n v="9.4600000000000009"/>
    <n v="0.25"/>
    <x v="1"/>
    <n v="20"/>
  </r>
  <r>
    <d v="2014-07-07T00:00:00"/>
    <d v="2014-07-21T00:00:00"/>
    <n v="5.23"/>
    <n v="0.14000000000000001"/>
    <x v="4"/>
    <n v="14"/>
  </r>
  <r>
    <d v="2014-07-07T00:00:00"/>
    <d v="2014-07-27T00:00:00"/>
    <n v="11.78"/>
    <n v="0.31"/>
    <x v="3"/>
    <n v="20"/>
  </r>
  <r>
    <d v="2014-07-07T00:00:00"/>
    <d v="2014-07-16T00:00:00"/>
    <n v="5.64"/>
    <n v="0.15"/>
    <x v="4"/>
    <n v="9"/>
  </r>
  <r>
    <d v="2014-07-07T00:00:00"/>
    <d v="2014-07-19T00:00:00"/>
    <n v="10.199999999999999"/>
    <n v="0.27"/>
    <x v="2"/>
    <n v="12"/>
  </r>
  <r>
    <d v="2014-07-07T00:00:00"/>
    <d v="2014-08-01T00:00:00"/>
    <n v="3.88"/>
    <n v="0.1"/>
    <x v="0"/>
    <n v="25"/>
  </r>
  <r>
    <d v="2014-07-07T00:00:00"/>
    <d v="2014-07-15T00:00:00"/>
    <n v="4.66"/>
    <n v="0.12"/>
    <x v="3"/>
    <n v="8"/>
  </r>
  <r>
    <d v="2014-07-07T00:00:00"/>
    <d v="2014-07-18T00:00:00"/>
    <n v="10.19"/>
    <n v="0.27"/>
    <x v="1"/>
    <n v="11"/>
  </r>
  <r>
    <d v="2014-07-07T00:00:00"/>
    <d v="2014-07-24T00:00:00"/>
    <n v="10.19"/>
    <n v="0.27"/>
    <x v="1"/>
    <n v="17"/>
  </r>
  <r>
    <d v="2014-07-07T00:00:00"/>
    <d v="2014-07-28T00:00:00"/>
    <n v="3.79"/>
    <n v="0.1"/>
    <x v="1"/>
    <n v="21"/>
  </r>
  <r>
    <d v="2014-07-07T00:00:00"/>
    <d v="2014-07-27T00:00:00"/>
    <n v="9.06"/>
    <n v="0.24"/>
    <x v="2"/>
    <n v="20"/>
  </r>
  <r>
    <d v="2014-07-07T00:00:00"/>
    <d v="2014-07-11T00:00:00"/>
    <n v="6.23"/>
    <n v="0.16"/>
    <x v="4"/>
    <n v="4"/>
  </r>
  <r>
    <d v="2014-07-07T00:00:00"/>
    <d v="2014-08-01T00:00:00"/>
    <n v="10.79"/>
    <n v="0.28000000000000003"/>
    <x v="4"/>
    <n v="25"/>
  </r>
  <r>
    <d v="2014-07-10T00:00:00"/>
    <d v="2014-07-27T00:00:00"/>
    <n v="5.67"/>
    <n v="0.15"/>
    <x v="0"/>
    <n v="17"/>
  </r>
  <r>
    <d v="2014-07-11T00:00:00"/>
    <d v="2014-08-04T00:00:00"/>
    <n v="2.29"/>
    <n v="0.06"/>
    <x v="4"/>
    <n v="24"/>
  </r>
  <r>
    <d v="2014-07-13T00:00:00"/>
    <d v="2014-08-02T00:00:00"/>
    <n v="10.93"/>
    <n v="0.28999999999999998"/>
    <x v="2"/>
    <n v="20"/>
  </r>
  <r>
    <d v="2014-07-13T00:00:00"/>
    <d v="2014-07-21T00:00:00"/>
    <n v="16.55"/>
    <n v="0.44"/>
    <x v="3"/>
    <n v="8"/>
  </r>
  <r>
    <d v="2014-07-14T00:00:00"/>
    <d v="2014-07-16T00:00:00"/>
    <n v="6.43"/>
    <n v="0.17"/>
    <x v="1"/>
    <n v="2"/>
  </r>
  <r>
    <d v="2014-07-15T00:00:00"/>
    <d v="2014-08-12T00:00:00"/>
    <n v="3.94"/>
    <n v="0.1"/>
    <x v="1"/>
    <n v="28"/>
  </r>
  <r>
    <d v="2014-07-15T00:00:00"/>
    <d v="2014-07-27T00:00:00"/>
    <n v="3.79"/>
    <n v="0.1"/>
    <x v="4"/>
    <n v="12"/>
  </r>
  <r>
    <d v="2014-07-15T00:00:00"/>
    <d v="2014-08-05T00:00:00"/>
    <n v="6.58"/>
    <n v="0.17"/>
    <x v="4"/>
    <n v="21"/>
  </r>
  <r>
    <d v="2014-07-17T00:00:00"/>
    <d v="2014-08-02T00:00:00"/>
    <n v="5.67"/>
    <n v="0.15"/>
    <x v="2"/>
    <n v="16"/>
  </r>
  <r>
    <d v="2014-07-19T00:00:00"/>
    <d v="2014-08-06T00:00:00"/>
    <n v="10.19"/>
    <n v="0.27"/>
    <x v="1"/>
    <n v="18"/>
  </r>
  <r>
    <d v="2014-07-19T00:00:00"/>
    <d v="2014-07-28T00:00:00"/>
    <n v="7.06"/>
    <n v="0.19"/>
    <x v="2"/>
    <n v="9"/>
  </r>
  <r>
    <d v="2014-07-19T00:00:00"/>
    <d v="2014-08-09T00:00:00"/>
    <n v="6.75"/>
    <n v="0.18"/>
    <x v="0"/>
    <n v="21"/>
  </r>
  <r>
    <d v="2014-07-19T00:00:00"/>
    <d v="2014-08-10T00:00:00"/>
    <n v="8.83"/>
    <n v="0.23"/>
    <x v="1"/>
    <n v="22"/>
  </r>
  <r>
    <d v="2014-07-19T00:00:00"/>
    <d v="2014-08-09T00:00:00"/>
    <n v="8.39"/>
    <n v="0.22"/>
    <x v="2"/>
    <n v="21"/>
  </r>
  <r>
    <d v="2014-07-19T00:00:00"/>
    <d v="2014-08-02T00:00:00"/>
    <n v="6.23"/>
    <n v="0.16"/>
    <x v="4"/>
    <n v="14"/>
  </r>
  <r>
    <d v="2014-07-19T00:00:00"/>
    <d v="2014-08-08T00:00:00"/>
    <n v="3.79"/>
    <n v="0.1"/>
    <x v="3"/>
    <n v="20"/>
  </r>
  <r>
    <d v="2014-07-19T00:00:00"/>
    <d v="2014-08-15T00:00:00"/>
    <n v="11.37"/>
    <n v="0.3"/>
    <x v="0"/>
    <n v="27"/>
  </r>
  <r>
    <d v="2014-07-19T00:00:00"/>
    <d v="2014-07-27T00:00:00"/>
    <n v="5.64"/>
    <n v="0.15"/>
    <x v="0"/>
    <n v="8"/>
  </r>
  <r>
    <d v="2014-07-19T00:00:00"/>
    <d v="2014-08-07T00:00:00"/>
    <n v="7.55"/>
    <n v="0.2"/>
    <x v="2"/>
    <n v="19"/>
  </r>
  <r>
    <d v="2014-07-19T00:00:00"/>
    <d v="2014-08-02T00:00:00"/>
    <n v="10.199999999999999"/>
    <n v="0.27"/>
    <x v="3"/>
    <n v="14"/>
  </r>
  <r>
    <d v="2014-07-19T00:00:00"/>
    <d v="2014-08-11T00:00:00"/>
    <n v="2.0099999999999998"/>
    <n v="0.05"/>
    <x v="1"/>
    <n v="23"/>
  </r>
  <r>
    <d v="2014-07-19T00:00:00"/>
    <d v="2014-08-11T00:00:00"/>
    <n v="13.81"/>
    <n v="0.36"/>
    <x v="4"/>
    <n v="23"/>
  </r>
  <r>
    <d v="2014-07-21T00:00:00"/>
    <d v="2014-08-17T00:00:00"/>
    <n v="8.7200000000000006"/>
    <n v="0.23"/>
    <x v="2"/>
    <n v="27"/>
  </r>
  <r>
    <d v="2014-07-21T00:00:00"/>
    <d v="2014-08-08T00:00:00"/>
    <n v="11.44"/>
    <n v="0.3"/>
    <x v="4"/>
    <n v="18"/>
  </r>
  <r>
    <d v="2014-07-21T00:00:00"/>
    <d v="2014-08-03T00:00:00"/>
    <n v="3.94"/>
    <n v="0.1"/>
    <x v="2"/>
    <n v="13"/>
  </r>
  <r>
    <d v="2014-07-25T00:00:00"/>
    <d v="2014-08-20T00:00:00"/>
    <n v="9.4600000000000009"/>
    <n v="0.25"/>
    <x v="4"/>
    <n v="26"/>
  </r>
  <r>
    <d v="2014-07-25T00:00:00"/>
    <d v="2014-08-02T00:00:00"/>
    <n v="11.69"/>
    <n v="0.31"/>
    <x v="3"/>
    <n v="8"/>
  </r>
  <r>
    <d v="2014-07-25T00:00:00"/>
    <d v="2014-08-19T00:00:00"/>
    <n v="8.83"/>
    <n v="0.23"/>
    <x v="2"/>
    <n v="25"/>
  </r>
  <r>
    <d v="2014-07-25T00:00:00"/>
    <d v="2014-08-15T00:00:00"/>
    <n v="8.83"/>
    <n v="0.23"/>
    <x v="1"/>
    <n v="21"/>
  </r>
  <r>
    <d v="2014-07-25T00:00:00"/>
    <d v="2014-08-15T00:00:00"/>
    <n v="9.1300000000000008"/>
    <n v="0.24"/>
    <x v="3"/>
    <n v="21"/>
  </r>
  <r>
    <d v="2014-07-25T00:00:00"/>
    <d v="2014-08-22T00:00:00"/>
    <n v="9.06"/>
    <n v="0.24"/>
    <x v="0"/>
    <n v="28"/>
  </r>
  <r>
    <d v="2014-07-31T00:00:00"/>
    <d v="2014-08-22T00:00:00"/>
    <n v="10.19"/>
    <n v="0.27"/>
    <x v="0"/>
    <n v="22"/>
  </r>
  <r>
    <d v="2014-07-31T00:00:00"/>
    <d v="2014-08-21T00:00:00"/>
    <n v="14"/>
    <n v="0.37"/>
    <x v="3"/>
    <n v="21"/>
  </r>
  <r>
    <d v="2014-07-31T00:00:00"/>
    <d v="2014-08-07T00:00:00"/>
    <n v="11.44"/>
    <n v="0.3"/>
    <x v="0"/>
    <n v="7"/>
  </r>
  <r>
    <d v="2014-07-31T00:00:00"/>
    <d v="2014-08-20T00:00:00"/>
    <n v="7.31"/>
    <n v="0.19"/>
    <x v="2"/>
    <n v="20"/>
  </r>
  <r>
    <d v="2014-07-31T00:00:00"/>
    <d v="2014-08-12T00:00:00"/>
    <n v="9.4600000000000009"/>
    <n v="0.25"/>
    <x v="2"/>
    <n v="12"/>
  </r>
  <r>
    <d v="2014-07-31T00:00:00"/>
    <d v="2014-08-05T00:00:00"/>
    <n v="8.83"/>
    <n v="0.23"/>
    <x v="4"/>
    <n v="5"/>
  </r>
  <r>
    <d v="2014-07-31T00:00:00"/>
    <d v="2014-08-04T00:00:00"/>
    <n v="6.88"/>
    <n v="0.18"/>
    <x v="2"/>
    <n v="4"/>
  </r>
  <r>
    <d v="2014-07-31T00:00:00"/>
    <d v="2014-08-02T00:00:00"/>
    <n v="6.75"/>
    <n v="0.18"/>
    <x v="4"/>
    <n v="2"/>
  </r>
  <r>
    <d v="2014-07-31T00:00:00"/>
    <d v="2014-08-18T00:00:00"/>
    <n v="19.54"/>
    <n v="0.51"/>
    <x v="4"/>
    <n v="18"/>
  </r>
  <r>
    <d v="2014-07-31T00:00:00"/>
    <d v="2014-08-05T00:00:00"/>
    <n v="14.31"/>
    <n v="0.38"/>
    <x v="1"/>
    <n v="5"/>
  </r>
  <r>
    <d v="2014-07-31T00:00:00"/>
    <d v="2014-08-19T00:00:00"/>
    <n v="3.79"/>
    <n v="0.1"/>
    <x v="2"/>
    <n v="19"/>
  </r>
  <r>
    <d v="2014-07-31T00:00:00"/>
    <d v="2014-08-17T00:00:00"/>
    <n v="8.89"/>
    <n v="0.23"/>
    <x v="0"/>
    <n v="17"/>
  </r>
  <r>
    <d v="2014-07-31T00:00:00"/>
    <d v="2014-08-16T00:00:00"/>
    <n v="7.71"/>
    <n v="0.2"/>
    <x v="0"/>
    <n v="16"/>
  </r>
  <r>
    <d v="2014-07-31T00:00:00"/>
    <d v="2014-08-13T00:00:00"/>
    <n v="16.829999999999998"/>
    <n v="0.44"/>
    <x v="1"/>
    <n v="13"/>
  </r>
  <r>
    <d v="2014-07-31T00:00:00"/>
    <d v="2014-08-06T00:00:00"/>
    <n v="5.23"/>
    <n v="0.14000000000000001"/>
    <x v="1"/>
    <n v="6"/>
  </r>
  <r>
    <d v="2014-07-31T00:00:00"/>
    <d v="2014-08-02T00:00:00"/>
    <n v="10.79"/>
    <n v="0.28000000000000003"/>
    <x v="0"/>
    <n v="2"/>
  </r>
  <r>
    <d v="2014-07-31T00:00:00"/>
    <d v="2014-08-17T00:00:00"/>
    <n v="12.23"/>
    <n v="0.32"/>
    <x v="2"/>
    <n v="17"/>
  </r>
  <r>
    <d v="2014-07-31T00:00:00"/>
    <d v="2014-08-19T00:00:00"/>
    <n v="5.78"/>
    <n v="0.15"/>
    <x v="1"/>
    <n v="19"/>
  </r>
  <r>
    <d v="2014-08-06T00:00:00"/>
    <d v="2014-08-14T00:00:00"/>
    <n v="5.23"/>
    <n v="0.14000000000000001"/>
    <x v="4"/>
    <n v="8"/>
  </r>
  <r>
    <d v="2014-08-06T00:00:00"/>
    <d v="2014-08-17T00:00:00"/>
    <n v="9.06"/>
    <n v="0.24"/>
    <x v="2"/>
    <n v="11"/>
  </r>
  <r>
    <d v="2014-08-06T00:00:00"/>
    <d v="2014-09-03T00:00:00"/>
    <n v="12.23"/>
    <n v="0.32"/>
    <x v="3"/>
    <n v="28"/>
  </r>
  <r>
    <d v="2014-08-06T00:00:00"/>
    <d v="2014-08-30T00:00:00"/>
    <n v="8.83"/>
    <n v="0.23"/>
    <x v="3"/>
    <n v="24"/>
  </r>
  <r>
    <d v="2014-08-06T00:00:00"/>
    <d v="2014-08-25T00:00:00"/>
    <n v="10.93"/>
    <n v="0.28999999999999998"/>
    <x v="0"/>
    <n v="19"/>
  </r>
  <r>
    <d v="2014-08-09T00:00:00"/>
    <d v="2014-08-23T00:00:00"/>
    <n v="3.94"/>
    <n v="0.1"/>
    <x v="2"/>
    <n v="14"/>
  </r>
  <r>
    <d v="2014-08-12T00:00:00"/>
    <d v="2014-09-03T00:00:00"/>
    <n v="19.54"/>
    <n v="0.51"/>
    <x v="1"/>
    <n v="22"/>
  </r>
  <r>
    <d v="2014-08-12T00:00:00"/>
    <d v="2014-08-21T00:00:00"/>
    <n v="6.75"/>
    <n v="0.18"/>
    <x v="2"/>
    <n v="9"/>
  </r>
  <r>
    <d v="2014-08-12T00:00:00"/>
    <d v="2014-09-06T00:00:00"/>
    <n v="7.55"/>
    <n v="0.2"/>
    <x v="0"/>
    <n v="25"/>
  </r>
  <r>
    <d v="2014-08-12T00:00:00"/>
    <d v="2014-09-04T00:00:00"/>
    <n v="3.73"/>
    <n v="0.1"/>
    <x v="0"/>
    <n v="23"/>
  </r>
  <r>
    <d v="2014-08-12T00:00:00"/>
    <d v="2014-08-23T00:00:00"/>
    <n v="8.51"/>
    <n v="0.22"/>
    <x v="2"/>
    <n v="11"/>
  </r>
  <r>
    <d v="2014-08-12T00:00:00"/>
    <d v="2014-08-27T00:00:00"/>
    <n v="6.88"/>
    <n v="0.18"/>
    <x v="4"/>
    <n v="15"/>
  </r>
  <r>
    <d v="2014-08-12T00:00:00"/>
    <d v="2014-08-23T00:00:00"/>
    <n v="6.75"/>
    <n v="0.18"/>
    <x v="3"/>
    <n v="11"/>
  </r>
  <r>
    <d v="2014-08-12T00:00:00"/>
    <d v="2014-08-24T00:00:00"/>
    <n v="11.42"/>
    <n v="0.3"/>
    <x v="0"/>
    <n v="12"/>
  </r>
  <r>
    <d v="2014-08-12T00:00:00"/>
    <d v="2014-08-15T00:00:00"/>
    <n v="16.940000000000001"/>
    <n v="0.45"/>
    <x v="4"/>
    <n v="3"/>
  </r>
  <r>
    <d v="2014-08-12T00:00:00"/>
    <d v="2014-08-16T00:00:00"/>
    <n v="6.34"/>
    <n v="0.17"/>
    <x v="1"/>
    <n v="4"/>
  </r>
  <r>
    <d v="2014-08-12T00:00:00"/>
    <d v="2014-08-19T00:00:00"/>
    <n v="8.83"/>
    <n v="0.23"/>
    <x v="3"/>
    <n v="7"/>
  </r>
  <r>
    <d v="2014-08-12T00:00:00"/>
    <d v="2014-08-25T00:00:00"/>
    <n v="6.34"/>
    <n v="0.17"/>
    <x v="4"/>
    <n v="13"/>
  </r>
  <r>
    <d v="2014-08-12T00:00:00"/>
    <d v="2014-08-29T00:00:00"/>
    <n v="8.84"/>
    <n v="0.23"/>
    <x v="4"/>
    <n v="17"/>
  </r>
  <r>
    <d v="2014-08-12T00:00:00"/>
    <d v="2014-08-18T00:00:00"/>
    <n v="8.65"/>
    <n v="0.23"/>
    <x v="2"/>
    <n v="6"/>
  </r>
  <r>
    <d v="2014-08-12T00:00:00"/>
    <d v="2014-09-05T00:00:00"/>
    <n v="8.51"/>
    <n v="0.22"/>
    <x v="3"/>
    <n v="24"/>
  </r>
  <r>
    <d v="2014-08-12T00:00:00"/>
    <d v="2014-09-08T00:00:00"/>
    <n v="9.74"/>
    <n v="0.26"/>
    <x v="0"/>
    <n v="27"/>
  </r>
  <r>
    <d v="2014-08-12T00:00:00"/>
    <d v="2014-09-05T00:00:00"/>
    <n v="13.02"/>
    <n v="0.34"/>
    <x v="2"/>
    <n v="24"/>
  </r>
  <r>
    <d v="2014-08-14T00:00:00"/>
    <d v="2014-08-18T00:00:00"/>
    <n v="4.66"/>
    <n v="0.12"/>
    <x v="4"/>
    <n v="4"/>
  </r>
  <r>
    <d v="2014-08-18T00:00:00"/>
    <d v="2014-09-02T00:00:00"/>
    <n v="14.13"/>
    <n v="0.37"/>
    <x v="3"/>
    <n v="15"/>
  </r>
  <r>
    <d v="2014-08-18T00:00:00"/>
    <d v="2014-09-10T00:00:00"/>
    <n v="11.37"/>
    <n v="0.3"/>
    <x v="2"/>
    <n v="23"/>
  </r>
  <r>
    <d v="2014-08-18T00:00:00"/>
    <d v="2014-09-08T00:00:00"/>
    <n v="3.79"/>
    <n v="0.1"/>
    <x v="4"/>
    <n v="21"/>
  </r>
  <r>
    <d v="2014-08-18T00:00:00"/>
    <d v="2014-08-24T00:00:00"/>
    <n v="11.42"/>
    <n v="0.3"/>
    <x v="1"/>
    <n v="6"/>
  </r>
  <r>
    <d v="2014-08-18T00:00:00"/>
    <d v="2014-09-10T00:00:00"/>
    <n v="8.84"/>
    <n v="0.23"/>
    <x v="4"/>
    <n v="23"/>
  </r>
  <r>
    <d v="2014-08-18T00:00:00"/>
    <d v="2014-08-24T00:00:00"/>
    <n v="11.69"/>
    <n v="0.31"/>
    <x v="1"/>
    <n v="6"/>
  </r>
  <r>
    <d v="2014-08-24T00:00:00"/>
    <d v="2014-08-28T00:00:00"/>
    <n v="5.78"/>
    <n v="0.15"/>
    <x v="3"/>
    <n v="4"/>
  </r>
  <r>
    <d v="2014-08-24T00:00:00"/>
    <d v="2014-08-26T00:00:00"/>
    <n v="19.54"/>
    <n v="0.51"/>
    <x v="0"/>
    <n v="2"/>
  </r>
  <r>
    <d v="2014-08-24T00:00:00"/>
    <d v="2014-09-09T00:00:00"/>
    <n v="9.06"/>
    <n v="0.24"/>
    <x v="2"/>
    <n v="16"/>
  </r>
  <r>
    <d v="2014-08-24T00:00:00"/>
    <d v="2014-09-08T00:00:00"/>
    <n v="13.81"/>
    <n v="0.36"/>
    <x v="1"/>
    <n v="15"/>
  </r>
  <r>
    <d v="2014-08-24T00:00:00"/>
    <d v="2014-09-04T00:00:00"/>
    <n v="11.42"/>
    <n v="0.3"/>
    <x v="0"/>
    <n v="11"/>
  </r>
  <r>
    <d v="2014-08-24T00:00:00"/>
    <d v="2014-08-30T00:00:00"/>
    <n v="14.31"/>
    <n v="0.38"/>
    <x v="2"/>
    <n v="6"/>
  </r>
  <r>
    <d v="2014-08-24T00:00:00"/>
    <d v="2014-09-12T00:00:00"/>
    <n v="8.83"/>
    <n v="0.23"/>
    <x v="4"/>
    <n v="19"/>
  </r>
  <r>
    <d v="2014-08-24T00:00:00"/>
    <d v="2014-09-03T00:00:00"/>
    <n v="14.31"/>
    <n v="0.38"/>
    <x v="4"/>
    <n v="10"/>
  </r>
  <r>
    <d v="2014-08-24T00:00:00"/>
    <d v="2014-09-13T00:00:00"/>
    <n v="11.37"/>
    <n v="0.3"/>
    <x v="2"/>
    <n v="20"/>
  </r>
  <r>
    <d v="2014-08-24T00:00:00"/>
    <d v="2014-09-12T00:00:00"/>
    <n v="11.44"/>
    <n v="0.3"/>
    <x v="2"/>
    <n v="19"/>
  </r>
  <r>
    <d v="2014-08-24T00:00:00"/>
    <d v="2014-09-20T00:00:00"/>
    <n v="8.65"/>
    <n v="0.23"/>
    <x v="3"/>
    <n v="27"/>
  </r>
  <r>
    <d v="2014-08-25T00:00:00"/>
    <d v="2014-09-04T00:00:00"/>
    <n v="11.42"/>
    <n v="0.3"/>
    <x v="0"/>
    <n v="10"/>
  </r>
  <r>
    <d v="2014-08-25T00:00:00"/>
    <d v="2014-09-04T00:00:00"/>
    <n v="8.39"/>
    <n v="0.22"/>
    <x v="2"/>
    <n v="10"/>
  </r>
  <r>
    <d v="2014-08-25T00:00:00"/>
    <d v="2014-09-05T00:00:00"/>
    <n v="9.74"/>
    <n v="0.26"/>
    <x v="3"/>
    <n v="11"/>
  </r>
  <r>
    <d v="2014-08-25T00:00:00"/>
    <d v="2014-09-21T00:00:00"/>
    <n v="5.23"/>
    <n v="0.14000000000000001"/>
    <x v="1"/>
    <n v="27"/>
  </r>
  <r>
    <d v="2014-08-25T00:00:00"/>
    <d v="2014-09-12T00:00:00"/>
    <n v="8.39"/>
    <n v="0.22"/>
    <x v="4"/>
    <n v="18"/>
  </r>
  <r>
    <d v="2014-08-26T00:00:00"/>
    <d v="2014-09-14T00:00:00"/>
    <n v="5.23"/>
    <n v="0.14000000000000001"/>
    <x v="3"/>
    <n v="19"/>
  </r>
  <r>
    <d v="2014-08-27T00:00:00"/>
    <d v="2014-09-02T00:00:00"/>
    <n v="6.34"/>
    <n v="0.17"/>
    <x v="3"/>
    <n v="6"/>
  </r>
  <r>
    <d v="2014-08-30T00:00:00"/>
    <d v="2014-09-26T00:00:00"/>
    <n v="10.93"/>
    <n v="0.28999999999999998"/>
    <x v="3"/>
    <n v="27"/>
  </r>
  <r>
    <d v="2014-08-30T00:00:00"/>
    <d v="2014-09-12T00:00:00"/>
    <n v="8.89"/>
    <n v="0.23"/>
    <x v="2"/>
    <n v="13"/>
  </r>
  <r>
    <d v="2014-08-30T00:00:00"/>
    <d v="2014-09-01T00:00:00"/>
    <n v="5.57"/>
    <n v="0.15"/>
    <x v="2"/>
    <n v="2"/>
  </r>
  <r>
    <d v="2014-08-30T00:00:00"/>
    <d v="2014-09-25T00:00:00"/>
    <n v="6.23"/>
    <n v="0.16"/>
    <x v="4"/>
    <n v="26"/>
  </r>
  <r>
    <d v="2014-08-30T00:00:00"/>
    <d v="2014-09-14T00:00:00"/>
    <n v="11.42"/>
    <n v="0.3"/>
    <x v="3"/>
    <n v="15"/>
  </r>
  <r>
    <d v="2014-08-30T00:00:00"/>
    <d v="2014-09-21T00:00:00"/>
    <n v="16.940000000000001"/>
    <n v="0.45"/>
    <x v="4"/>
    <n v="22"/>
  </r>
  <r>
    <d v="2014-09-03T00:00:00"/>
    <d v="2014-09-19T00:00:00"/>
    <n v="7.06"/>
    <n v="0.19"/>
    <x v="3"/>
    <n v="16"/>
  </r>
  <r>
    <d v="2014-09-04T00:00:00"/>
    <d v="2014-09-17T00:00:00"/>
    <n v="5.64"/>
    <n v="0.15"/>
    <x v="3"/>
    <n v="13"/>
  </r>
  <r>
    <d v="2014-09-04T00:00:00"/>
    <d v="2014-09-16T00:00:00"/>
    <n v="7.3"/>
    <n v="0.19"/>
    <x v="4"/>
    <n v="12"/>
  </r>
  <r>
    <d v="2014-09-04T00:00:00"/>
    <d v="2014-09-14T00:00:00"/>
    <n v="7.06"/>
    <n v="0.19"/>
    <x v="4"/>
    <n v="10"/>
  </r>
  <r>
    <d v="2014-09-04T00:00:00"/>
    <d v="2014-09-14T00:00:00"/>
    <n v="5.64"/>
    <n v="0.15"/>
    <x v="0"/>
    <n v="10"/>
  </r>
  <r>
    <d v="2014-09-04T00:00:00"/>
    <d v="2014-09-07T00:00:00"/>
    <n v="3.73"/>
    <n v="0.1"/>
    <x v="1"/>
    <n v="3"/>
  </r>
  <r>
    <d v="2014-09-04T00:00:00"/>
    <d v="2014-09-26T00:00:00"/>
    <n v="13.81"/>
    <n v="0.36"/>
    <x v="1"/>
    <n v="22"/>
  </r>
  <r>
    <d v="2014-09-04T00:00:00"/>
    <d v="2014-09-14T00:00:00"/>
    <n v="5.47"/>
    <n v="0.14000000000000001"/>
    <x v="2"/>
    <n v="10"/>
  </r>
  <r>
    <d v="2014-09-04T00:00:00"/>
    <d v="2014-10-02T00:00:00"/>
    <n v="7.31"/>
    <n v="0.19"/>
    <x v="1"/>
    <n v="28"/>
  </r>
  <r>
    <d v="2014-09-04T00:00:00"/>
    <d v="2014-09-06T00:00:00"/>
    <n v="3.73"/>
    <n v="0.1"/>
    <x v="4"/>
    <n v="2"/>
  </r>
  <r>
    <d v="2014-09-04T00:00:00"/>
    <d v="2014-09-25T00:00:00"/>
    <n v="8.39"/>
    <n v="0.22"/>
    <x v="3"/>
    <n v="21"/>
  </r>
  <r>
    <d v="2014-09-04T00:00:00"/>
    <d v="2014-09-15T00:00:00"/>
    <n v="13.07"/>
    <n v="0.34"/>
    <x v="2"/>
    <n v="11"/>
  </r>
  <r>
    <d v="2014-09-04T00:00:00"/>
    <d v="2014-09-09T00:00:00"/>
    <n v="7.35"/>
    <n v="0.19"/>
    <x v="4"/>
    <n v="5"/>
  </r>
  <r>
    <d v="2014-09-04T00:00:00"/>
    <d v="2014-09-14T00:00:00"/>
    <n v="14.31"/>
    <n v="0.38"/>
    <x v="0"/>
    <n v="10"/>
  </r>
  <r>
    <d v="2014-09-04T00:00:00"/>
    <d v="2014-10-02T00:00:00"/>
    <n v="5.57"/>
    <n v="0.15"/>
    <x v="3"/>
    <n v="28"/>
  </r>
  <r>
    <d v="2014-09-04T00:00:00"/>
    <d v="2014-09-06T00:00:00"/>
    <n v="5.23"/>
    <n v="0.14000000000000001"/>
    <x v="2"/>
    <n v="2"/>
  </r>
  <r>
    <d v="2014-09-04T00:00:00"/>
    <d v="2014-09-18T00:00:00"/>
    <n v="10.79"/>
    <n v="0.28000000000000003"/>
    <x v="3"/>
    <n v="14"/>
  </r>
  <r>
    <d v="2014-09-04T00:00:00"/>
    <d v="2014-09-10T00:00:00"/>
    <n v="2.72"/>
    <n v="7.0000000000000007E-2"/>
    <x v="2"/>
    <n v="6"/>
  </r>
  <r>
    <d v="2014-09-05T00:00:00"/>
    <d v="2014-10-01T00:00:00"/>
    <n v="7.55"/>
    <n v="0.2"/>
    <x v="4"/>
    <n v="26"/>
  </r>
  <r>
    <d v="2014-09-05T00:00:00"/>
    <d v="2014-09-24T00:00:00"/>
    <n v="6.43"/>
    <n v="0.17"/>
    <x v="2"/>
    <n v="19"/>
  </r>
  <r>
    <d v="2014-09-05T00:00:00"/>
    <d v="2014-09-23T00:00:00"/>
    <n v="3.88"/>
    <n v="0.1"/>
    <x v="1"/>
    <n v="18"/>
  </r>
  <r>
    <d v="2014-09-05T00:00:00"/>
    <d v="2014-09-07T00:00:00"/>
    <n v="5.67"/>
    <n v="0.15"/>
    <x v="3"/>
    <n v="2"/>
  </r>
  <r>
    <d v="2014-09-05T00:00:00"/>
    <d v="2014-09-07T00:00:00"/>
    <n v="12.01"/>
    <n v="0.32"/>
    <x v="3"/>
    <n v="2"/>
  </r>
  <r>
    <d v="2014-09-05T00:00:00"/>
    <d v="2014-09-26T00:00:00"/>
    <n v="6.58"/>
    <n v="0.17"/>
    <x v="1"/>
    <n v="21"/>
  </r>
  <r>
    <d v="2014-09-05T00:00:00"/>
    <d v="2014-10-02T00:00:00"/>
    <n v="3.79"/>
    <n v="0.1"/>
    <x v="4"/>
    <n v="27"/>
  </r>
  <r>
    <d v="2014-09-05T00:00:00"/>
    <d v="2014-09-09T00:00:00"/>
    <n v="8.83"/>
    <n v="0.23"/>
    <x v="2"/>
    <n v="4"/>
  </r>
  <r>
    <d v="2014-09-05T00:00:00"/>
    <d v="2014-09-09T00:00:00"/>
    <n v="14.31"/>
    <n v="0.38"/>
    <x v="4"/>
    <n v="4"/>
  </r>
  <r>
    <d v="2014-09-05T00:00:00"/>
    <d v="2014-09-18T00:00:00"/>
    <n v="5.47"/>
    <n v="0.14000000000000001"/>
    <x v="4"/>
    <n v="13"/>
  </r>
  <r>
    <d v="2014-09-05T00:00:00"/>
    <d v="2014-09-25T00:00:00"/>
    <n v="8.9499999999999993"/>
    <n v="0.24"/>
    <x v="3"/>
    <n v="20"/>
  </r>
  <r>
    <d v="2014-09-05T00:00:00"/>
    <d v="2014-09-30T00:00:00"/>
    <n v="4.25"/>
    <n v="0.11"/>
    <x v="0"/>
    <n v="25"/>
  </r>
  <r>
    <d v="2014-09-05T00:00:00"/>
    <d v="2014-09-12T00:00:00"/>
    <n v="6.88"/>
    <n v="0.18"/>
    <x v="0"/>
    <n v="7"/>
  </r>
  <r>
    <d v="2014-09-05T00:00:00"/>
    <d v="2014-09-29T00:00:00"/>
    <n v="8.89"/>
    <n v="0.23"/>
    <x v="4"/>
    <n v="24"/>
  </r>
  <r>
    <d v="2014-09-07T00:00:00"/>
    <d v="2014-10-04T00:00:00"/>
    <n v="6.43"/>
    <n v="0.17"/>
    <x v="0"/>
    <n v="27"/>
  </r>
  <r>
    <d v="2014-09-08T00:00:00"/>
    <d v="2014-10-06T00:00:00"/>
    <n v="6.58"/>
    <n v="0.17"/>
    <x v="0"/>
    <n v="28"/>
  </r>
  <r>
    <d v="2014-09-08T00:00:00"/>
    <d v="2014-09-16T00:00:00"/>
    <n v="5.67"/>
    <n v="0.15"/>
    <x v="2"/>
    <n v="8"/>
  </r>
  <r>
    <d v="2014-09-08T00:00:00"/>
    <d v="2014-09-30T00:00:00"/>
    <n v="3.57"/>
    <n v="0.09"/>
    <x v="4"/>
    <n v="22"/>
  </r>
  <r>
    <d v="2014-09-08T00:00:00"/>
    <d v="2014-09-13T00:00:00"/>
    <n v="3.73"/>
    <n v="0.1"/>
    <x v="4"/>
    <n v="5"/>
  </r>
  <r>
    <d v="2014-09-11T00:00:00"/>
    <d v="2014-09-18T00:00:00"/>
    <n v="8.5399999999999991"/>
    <n v="0.22"/>
    <x v="3"/>
    <n v="7"/>
  </r>
  <r>
    <d v="2014-09-11T00:00:00"/>
    <d v="2014-09-16T00:00:00"/>
    <n v="16.829999999999998"/>
    <n v="0.44"/>
    <x v="4"/>
    <n v="5"/>
  </r>
  <r>
    <d v="2014-09-11T00:00:00"/>
    <d v="2014-10-06T00:00:00"/>
    <n v="11.42"/>
    <n v="0.3"/>
    <x v="1"/>
    <n v="25"/>
  </r>
  <r>
    <d v="2014-09-11T00:00:00"/>
    <d v="2014-09-17T00:00:00"/>
    <n v="8.84"/>
    <n v="0.23"/>
    <x v="2"/>
    <n v="6"/>
  </r>
  <r>
    <d v="2014-09-11T00:00:00"/>
    <d v="2014-09-24T00:00:00"/>
    <n v="6.75"/>
    <n v="0.18"/>
    <x v="1"/>
    <n v="13"/>
  </r>
  <r>
    <d v="2014-09-11T00:00:00"/>
    <d v="2014-10-07T00:00:00"/>
    <n v="7.35"/>
    <n v="0.19"/>
    <x v="0"/>
    <n v="26"/>
  </r>
  <r>
    <d v="2014-09-15T00:00:00"/>
    <d v="2014-10-09T00:00:00"/>
    <n v="3.57"/>
    <n v="0.09"/>
    <x v="3"/>
    <n v="24"/>
  </r>
  <r>
    <d v="2014-09-15T00:00:00"/>
    <d v="2014-09-23T00:00:00"/>
    <n v="9.06"/>
    <n v="0.24"/>
    <x v="0"/>
    <n v="8"/>
  </r>
  <r>
    <d v="2014-09-16T00:00:00"/>
    <d v="2014-09-24T00:00:00"/>
    <n v="9.4600000000000009"/>
    <n v="0.25"/>
    <x v="3"/>
    <n v="8"/>
  </r>
  <r>
    <d v="2014-09-16T00:00:00"/>
    <d v="2014-10-12T00:00:00"/>
    <n v="8.9499999999999993"/>
    <n v="0.24"/>
    <x v="0"/>
    <n v="26"/>
  </r>
  <r>
    <d v="2014-09-16T00:00:00"/>
    <d v="2014-10-11T00:00:00"/>
    <n v="9.06"/>
    <n v="0.24"/>
    <x v="2"/>
    <n v="25"/>
  </r>
  <r>
    <d v="2014-09-16T00:00:00"/>
    <d v="2014-09-22T00:00:00"/>
    <n v="6.88"/>
    <n v="0.18"/>
    <x v="4"/>
    <n v="6"/>
  </r>
  <r>
    <d v="2014-09-16T00:00:00"/>
    <d v="2014-10-05T00:00:00"/>
    <n v="9.1300000000000008"/>
    <n v="0.24"/>
    <x v="3"/>
    <n v="19"/>
  </r>
  <r>
    <d v="2014-09-16T00:00:00"/>
    <d v="2014-10-12T00:00:00"/>
    <n v="12.01"/>
    <n v="0.32"/>
    <x v="4"/>
    <n v="26"/>
  </r>
  <r>
    <d v="2014-09-16T00:00:00"/>
    <d v="2014-10-08T00:00:00"/>
    <n v="19.54"/>
    <n v="0.51"/>
    <x v="0"/>
    <n v="22"/>
  </r>
  <r>
    <d v="2014-09-16T00:00:00"/>
    <d v="2014-10-06T00:00:00"/>
    <n v="10.199999999999999"/>
    <n v="0.27"/>
    <x v="0"/>
    <n v="20"/>
  </r>
  <r>
    <d v="2014-09-16T00:00:00"/>
    <d v="2014-09-28T00:00:00"/>
    <n v="14.31"/>
    <n v="0.38"/>
    <x v="1"/>
    <n v="12"/>
  </r>
  <r>
    <d v="2014-09-16T00:00:00"/>
    <d v="2014-10-12T00:00:00"/>
    <n v="8.89"/>
    <n v="0.23"/>
    <x v="1"/>
    <n v="26"/>
  </r>
  <r>
    <d v="2014-09-16T00:00:00"/>
    <d v="2014-10-13T00:00:00"/>
    <n v="11.44"/>
    <n v="0.3"/>
    <x v="2"/>
    <n v="27"/>
  </r>
  <r>
    <d v="2014-09-16T00:00:00"/>
    <d v="2014-09-29T00:00:00"/>
    <n v="6.43"/>
    <n v="0.17"/>
    <x v="0"/>
    <n v="13"/>
  </r>
  <r>
    <d v="2014-09-16T00:00:00"/>
    <d v="2014-09-25T00:00:00"/>
    <n v="7.31"/>
    <n v="0.19"/>
    <x v="0"/>
    <n v="9"/>
  </r>
  <r>
    <d v="2014-09-16T00:00:00"/>
    <d v="2014-10-12T00:00:00"/>
    <n v="8.5399999999999991"/>
    <n v="0.22"/>
    <x v="3"/>
    <n v="26"/>
  </r>
  <r>
    <d v="2014-09-16T00:00:00"/>
    <d v="2014-09-19T00:00:00"/>
    <n v="4.25"/>
    <n v="0.11"/>
    <x v="1"/>
    <n v="3"/>
  </r>
  <r>
    <d v="2014-09-16T00:00:00"/>
    <d v="2014-10-10T00:00:00"/>
    <n v="7.3"/>
    <n v="0.19"/>
    <x v="2"/>
    <n v="24"/>
  </r>
  <r>
    <d v="2014-09-16T00:00:00"/>
    <d v="2014-10-07T00:00:00"/>
    <n v="11.37"/>
    <n v="0.3"/>
    <x v="1"/>
    <n v="21"/>
  </r>
  <r>
    <d v="2014-09-16T00:00:00"/>
    <d v="2014-09-21T00:00:00"/>
    <n v="14.13"/>
    <n v="0.37"/>
    <x v="2"/>
    <n v="5"/>
  </r>
  <r>
    <d v="2014-09-16T00:00:00"/>
    <d v="2014-10-13T00:00:00"/>
    <n v="11.44"/>
    <n v="0.3"/>
    <x v="2"/>
    <n v="27"/>
  </r>
  <r>
    <d v="2014-09-17T00:00:00"/>
    <d v="2014-10-15T00:00:00"/>
    <n v="9.4600000000000009"/>
    <n v="0.25"/>
    <x v="1"/>
    <n v="28"/>
  </r>
  <r>
    <d v="2014-09-17T00:00:00"/>
    <d v="2014-09-20T00:00:00"/>
    <n v="4.25"/>
    <n v="0.11"/>
    <x v="2"/>
    <n v="3"/>
  </r>
  <r>
    <d v="2014-09-17T00:00:00"/>
    <d v="2014-09-29T00:00:00"/>
    <n v="7.31"/>
    <n v="0.19"/>
    <x v="3"/>
    <n v="12"/>
  </r>
  <r>
    <d v="2014-09-17T00:00:00"/>
    <d v="2014-10-01T00:00:00"/>
    <n v="14"/>
    <n v="0.37"/>
    <x v="1"/>
    <n v="14"/>
  </r>
  <r>
    <d v="2014-09-17T00:00:00"/>
    <d v="2014-09-25T00:00:00"/>
    <n v="6.23"/>
    <n v="0.16"/>
    <x v="2"/>
    <n v="8"/>
  </r>
  <r>
    <d v="2014-09-17T00:00:00"/>
    <d v="2014-09-22T00:00:00"/>
    <n v="9.1300000000000008"/>
    <n v="0.24"/>
    <x v="4"/>
    <n v="5"/>
  </r>
  <r>
    <d v="2014-09-17T00:00:00"/>
    <d v="2014-10-07T00:00:00"/>
    <n v="10.59"/>
    <n v="0.28000000000000003"/>
    <x v="0"/>
    <n v="20"/>
  </r>
  <r>
    <d v="2014-09-17T00:00:00"/>
    <d v="2014-09-20T00:00:00"/>
    <n v="9.06"/>
    <n v="0.24"/>
    <x v="2"/>
    <n v="3"/>
  </r>
  <r>
    <d v="2014-09-17T00:00:00"/>
    <d v="2014-09-19T00:00:00"/>
    <n v="7.06"/>
    <n v="0.19"/>
    <x v="2"/>
    <n v="2"/>
  </r>
  <r>
    <d v="2014-09-17T00:00:00"/>
    <d v="2014-10-04T00:00:00"/>
    <n v="6.75"/>
    <n v="0.18"/>
    <x v="0"/>
    <n v="17"/>
  </r>
  <r>
    <d v="2014-09-17T00:00:00"/>
    <d v="2014-09-29T00:00:00"/>
    <n v="7.3"/>
    <n v="0.19"/>
    <x v="3"/>
    <n v="12"/>
  </r>
  <r>
    <d v="2014-09-17T00:00:00"/>
    <d v="2014-09-20T00:00:00"/>
    <n v="13.02"/>
    <n v="0.34"/>
    <x v="0"/>
    <n v="3"/>
  </r>
  <r>
    <d v="2014-09-17T00:00:00"/>
    <d v="2014-09-23T00:00:00"/>
    <n v="14.13"/>
    <n v="0.37"/>
    <x v="4"/>
    <n v="6"/>
  </r>
  <r>
    <d v="2014-09-17T00:00:00"/>
    <d v="2014-09-24T00:00:00"/>
    <n v="10.59"/>
    <n v="0.28000000000000003"/>
    <x v="4"/>
    <n v="7"/>
  </r>
  <r>
    <d v="2014-09-17T00:00:00"/>
    <d v="2014-10-05T00:00:00"/>
    <n v="5.57"/>
    <n v="0.15"/>
    <x v="1"/>
    <n v="18"/>
  </r>
  <r>
    <d v="2014-09-18T00:00:00"/>
    <d v="2014-09-24T00:00:00"/>
    <n v="5.57"/>
    <n v="0.15"/>
    <x v="2"/>
    <n v="6"/>
  </r>
  <r>
    <d v="2014-09-19T00:00:00"/>
    <d v="2014-10-07T00:00:00"/>
    <n v="8.7200000000000006"/>
    <n v="0.23"/>
    <x v="2"/>
    <n v="18"/>
  </r>
  <r>
    <d v="2014-09-20T00:00:00"/>
    <d v="2014-09-22T00:00:00"/>
    <n v="6.43"/>
    <n v="0.17"/>
    <x v="3"/>
    <n v="2"/>
  </r>
  <r>
    <d v="2014-09-22T00:00:00"/>
    <d v="2014-10-17T00:00:00"/>
    <n v="3.57"/>
    <n v="0.09"/>
    <x v="2"/>
    <n v="25"/>
  </r>
  <r>
    <d v="2014-09-23T00:00:00"/>
    <d v="2014-10-12T00:00:00"/>
    <n v="13.82"/>
    <n v="0.36"/>
    <x v="3"/>
    <n v="19"/>
  </r>
  <r>
    <d v="2014-09-23T00:00:00"/>
    <d v="2014-09-28T00:00:00"/>
    <n v="11.37"/>
    <n v="0.3"/>
    <x v="0"/>
    <n v="5"/>
  </r>
  <r>
    <d v="2014-09-23T00:00:00"/>
    <d v="2014-10-13T00:00:00"/>
    <n v="6.58"/>
    <n v="0.17"/>
    <x v="3"/>
    <n v="20"/>
  </r>
  <r>
    <d v="2014-09-23T00:00:00"/>
    <d v="2014-10-15T00:00:00"/>
    <n v="11.69"/>
    <n v="0.31"/>
    <x v="0"/>
    <n v="22"/>
  </r>
  <r>
    <d v="2014-09-23T00:00:00"/>
    <d v="2014-09-25T00:00:00"/>
    <n v="12.01"/>
    <n v="0.32"/>
    <x v="4"/>
    <n v="2"/>
  </r>
  <r>
    <d v="2014-09-23T00:00:00"/>
    <d v="2014-10-12T00:00:00"/>
    <n v="6.43"/>
    <n v="0.17"/>
    <x v="2"/>
    <n v="19"/>
  </r>
  <r>
    <d v="2014-09-24T00:00:00"/>
    <d v="2014-10-09T00:00:00"/>
    <n v="14.13"/>
    <n v="0.37"/>
    <x v="2"/>
    <n v="15"/>
  </r>
  <r>
    <d v="2014-09-26T00:00:00"/>
    <d v="2014-10-16T00:00:00"/>
    <n v="3.73"/>
    <n v="0.1"/>
    <x v="2"/>
    <n v="20"/>
  </r>
  <r>
    <d v="2014-09-28T00:00:00"/>
    <d v="2014-10-24T00:00:00"/>
    <n v="2.29"/>
    <n v="0.06"/>
    <x v="1"/>
    <n v="26"/>
  </r>
  <r>
    <d v="2014-09-28T00:00:00"/>
    <d v="2014-10-14T00:00:00"/>
    <n v="14.13"/>
    <n v="0.37"/>
    <x v="4"/>
    <n v="16"/>
  </r>
  <r>
    <d v="2014-09-28T00:00:00"/>
    <d v="2014-10-13T00:00:00"/>
    <n v="11.37"/>
    <n v="0.3"/>
    <x v="3"/>
    <n v="15"/>
  </r>
  <r>
    <d v="2014-09-28T00:00:00"/>
    <d v="2014-10-05T00:00:00"/>
    <n v="16.940000000000001"/>
    <n v="0.45"/>
    <x v="2"/>
    <n v="7"/>
  </r>
  <r>
    <d v="2014-09-28T00:00:00"/>
    <d v="2014-10-01T00:00:00"/>
    <n v="11.42"/>
    <n v="0.3"/>
    <x v="4"/>
    <n v="3"/>
  </r>
  <r>
    <d v="2014-09-28T00:00:00"/>
    <d v="2014-10-01T00:00:00"/>
    <n v="4.25"/>
    <n v="0.11"/>
    <x v="3"/>
    <n v="3"/>
  </r>
  <r>
    <d v="2014-09-28T00:00:00"/>
    <d v="2014-10-18T00:00:00"/>
    <n v="5.78"/>
    <n v="0.15"/>
    <x v="2"/>
    <n v="20"/>
  </r>
  <r>
    <d v="2014-09-28T00:00:00"/>
    <d v="2014-10-06T00:00:00"/>
    <n v="5.23"/>
    <n v="0.14000000000000001"/>
    <x v="0"/>
    <n v="8"/>
  </r>
  <r>
    <d v="2014-09-28T00:00:00"/>
    <d v="2014-10-21T00:00:00"/>
    <n v="10.79"/>
    <n v="0.28000000000000003"/>
    <x v="4"/>
    <n v="23"/>
  </r>
  <r>
    <d v="2014-09-28T00:00:00"/>
    <d v="2014-10-11T00:00:00"/>
    <n v="5.78"/>
    <n v="0.15"/>
    <x v="1"/>
    <n v="13"/>
  </r>
  <r>
    <d v="2014-09-29T00:00:00"/>
    <d v="2014-10-07T00:00:00"/>
    <n v="11.37"/>
    <n v="0.3"/>
    <x v="3"/>
    <n v="8"/>
  </r>
  <r>
    <d v="2014-09-29T00:00:00"/>
    <d v="2014-10-15T00:00:00"/>
    <n v="8.9499999999999993"/>
    <n v="0.24"/>
    <x v="4"/>
    <n v="16"/>
  </r>
  <r>
    <d v="2014-09-29T00:00:00"/>
    <d v="2014-10-17T00:00:00"/>
    <n v="10.199999999999999"/>
    <n v="0.27"/>
    <x v="4"/>
    <n v="18"/>
  </r>
  <r>
    <d v="2014-09-29T00:00:00"/>
    <d v="2014-10-09T00:00:00"/>
    <n v="9.1300000000000008"/>
    <n v="0.24"/>
    <x v="3"/>
    <n v="10"/>
  </r>
  <r>
    <d v="2014-09-29T00:00:00"/>
    <d v="2014-10-20T00:00:00"/>
    <n v="6.23"/>
    <n v="0.16"/>
    <x v="1"/>
    <n v="21"/>
  </r>
  <r>
    <d v="2014-09-29T00:00:00"/>
    <d v="2014-10-20T00:00:00"/>
    <n v="8.84"/>
    <n v="0.23"/>
    <x v="3"/>
    <n v="21"/>
  </r>
  <r>
    <d v="2014-09-29T00:00:00"/>
    <d v="2014-10-07T00:00:00"/>
    <n v="6.88"/>
    <n v="0.18"/>
    <x v="1"/>
    <n v="8"/>
  </r>
  <r>
    <d v="2014-09-29T00:00:00"/>
    <d v="2014-10-09T00:00:00"/>
    <n v="8.84"/>
    <n v="0.23"/>
    <x v="2"/>
    <n v="10"/>
  </r>
  <r>
    <d v="2014-09-29T00:00:00"/>
    <d v="2014-10-05T00:00:00"/>
    <n v="3.57"/>
    <n v="0.09"/>
    <x v="0"/>
    <n v="6"/>
  </r>
  <r>
    <d v="2014-09-29T00:00:00"/>
    <d v="2014-10-14T00:00:00"/>
    <n v="5.64"/>
    <n v="0.15"/>
    <x v="0"/>
    <n v="15"/>
  </r>
  <r>
    <d v="2014-09-29T00:00:00"/>
    <d v="2014-10-26T00:00:00"/>
    <n v="9.06"/>
    <n v="0.24"/>
    <x v="1"/>
    <n v="27"/>
  </r>
  <r>
    <d v="2014-09-29T00:00:00"/>
    <d v="2014-10-04T00:00:00"/>
    <n v="7.55"/>
    <n v="0.2"/>
    <x v="2"/>
    <n v="5"/>
  </r>
  <r>
    <d v="2014-09-29T00:00:00"/>
    <d v="2014-10-17T00:00:00"/>
    <n v="13.02"/>
    <n v="0.34"/>
    <x v="0"/>
    <n v="18"/>
  </r>
  <r>
    <d v="2014-09-29T00:00:00"/>
    <d v="2014-10-01T00:00:00"/>
    <n v="8.9499999999999993"/>
    <n v="0.24"/>
    <x v="3"/>
    <n v="2"/>
  </r>
  <r>
    <d v="2014-09-29T00:00:00"/>
    <d v="2014-10-06T00:00:00"/>
    <n v="10.93"/>
    <n v="0.28999999999999998"/>
    <x v="4"/>
    <n v="7"/>
  </r>
  <r>
    <d v="2014-09-29T00:00:00"/>
    <d v="2014-10-19T00:00:00"/>
    <n v="7.3"/>
    <n v="0.19"/>
    <x v="0"/>
    <n v="20"/>
  </r>
  <r>
    <d v="2014-09-29T00:00:00"/>
    <d v="2014-10-27T00:00:00"/>
    <n v="7.31"/>
    <n v="0.19"/>
    <x v="1"/>
    <n v="28"/>
  </r>
  <r>
    <d v="2014-09-29T00:00:00"/>
    <d v="2014-10-06T00:00:00"/>
    <n v="13.07"/>
    <n v="0.34"/>
    <x v="0"/>
    <n v="7"/>
  </r>
  <r>
    <d v="2014-09-29T00:00:00"/>
    <d v="2014-10-11T00:00:00"/>
    <n v="5.67"/>
    <n v="0.15"/>
    <x v="3"/>
    <n v="12"/>
  </r>
  <r>
    <d v="2014-09-30T00:00:00"/>
    <d v="2014-10-13T00:00:00"/>
    <n v="2.72"/>
    <n v="7.0000000000000007E-2"/>
    <x v="1"/>
    <n v="13"/>
  </r>
  <r>
    <d v="2014-10-01T00:00:00"/>
    <d v="2014-10-07T00:00:00"/>
    <n v="5.67"/>
    <n v="0.15"/>
    <x v="3"/>
    <n v="6"/>
  </r>
  <r>
    <d v="2014-10-01T00:00:00"/>
    <d v="2014-10-16T00:00:00"/>
    <n v="5.67"/>
    <n v="0.15"/>
    <x v="0"/>
    <n v="15"/>
  </r>
  <r>
    <d v="2014-10-02T00:00:00"/>
    <d v="2014-10-05T00:00:00"/>
    <n v="3.94"/>
    <n v="0.1"/>
    <x v="0"/>
    <n v="3"/>
  </r>
  <r>
    <d v="2014-10-02T00:00:00"/>
    <d v="2014-10-30T00:00:00"/>
    <n v="5.64"/>
    <n v="0.15"/>
    <x v="4"/>
    <n v="28"/>
  </r>
  <r>
    <d v="2014-10-03T00:00:00"/>
    <d v="2014-10-20T00:00:00"/>
    <n v="2.0099999999999998"/>
    <n v="0.05"/>
    <x v="1"/>
    <n v="17"/>
  </r>
  <r>
    <d v="2014-10-03T00:00:00"/>
    <d v="2014-10-26T00:00:00"/>
    <n v="3.73"/>
    <n v="0.1"/>
    <x v="3"/>
    <n v="23"/>
  </r>
  <r>
    <d v="2014-10-03T00:00:00"/>
    <d v="2014-10-09T00:00:00"/>
    <n v="3.73"/>
    <n v="0.1"/>
    <x v="2"/>
    <n v="6"/>
  </r>
  <r>
    <d v="2014-10-05T00:00:00"/>
    <d v="2014-10-25T00:00:00"/>
    <n v="4.25"/>
    <n v="0.11"/>
    <x v="0"/>
    <n v="20"/>
  </r>
  <r>
    <d v="2014-10-05T00:00:00"/>
    <d v="2014-10-16T00:00:00"/>
    <n v="11.42"/>
    <n v="0.3"/>
    <x v="3"/>
    <n v="11"/>
  </r>
  <r>
    <d v="2014-10-05T00:00:00"/>
    <d v="2014-10-27T00:00:00"/>
    <n v="13.07"/>
    <n v="0.34"/>
    <x v="4"/>
    <n v="22"/>
  </r>
  <r>
    <d v="2014-10-06T00:00:00"/>
    <d v="2014-10-27T00:00:00"/>
    <n v="5.67"/>
    <n v="0.15"/>
    <x v="2"/>
    <n v="21"/>
  </r>
  <r>
    <d v="2014-10-06T00:00:00"/>
    <d v="2014-10-10T00:00:00"/>
    <n v="6.23"/>
    <n v="0.16"/>
    <x v="3"/>
    <n v="4"/>
  </r>
  <r>
    <d v="2014-10-06T00:00:00"/>
    <d v="2014-10-28T00:00:00"/>
    <n v="19.940000000000001"/>
    <n v="0.52"/>
    <x v="3"/>
    <n v="22"/>
  </r>
  <r>
    <d v="2014-10-06T00:00:00"/>
    <d v="2014-10-13T00:00:00"/>
    <n v="6.88"/>
    <n v="0.18"/>
    <x v="4"/>
    <n v="7"/>
  </r>
  <r>
    <d v="2014-10-06T00:00:00"/>
    <d v="2014-10-17T00:00:00"/>
    <n v="8.39"/>
    <n v="0.22"/>
    <x v="1"/>
    <n v="11"/>
  </r>
  <r>
    <d v="2014-10-10T00:00:00"/>
    <d v="2014-10-24T00:00:00"/>
    <n v="11.44"/>
    <n v="0.3"/>
    <x v="3"/>
    <n v="14"/>
  </r>
  <r>
    <d v="2014-10-10T00:00:00"/>
    <d v="2014-10-25T00:00:00"/>
    <n v="9.4600000000000009"/>
    <n v="0.25"/>
    <x v="0"/>
    <n v="15"/>
  </r>
  <r>
    <d v="2014-10-10T00:00:00"/>
    <d v="2014-10-14T00:00:00"/>
    <n v="5.67"/>
    <n v="0.15"/>
    <x v="3"/>
    <n v="4"/>
  </r>
  <r>
    <d v="2014-10-10T00:00:00"/>
    <d v="2014-11-04T00:00:00"/>
    <n v="13.82"/>
    <n v="0.36"/>
    <x v="2"/>
    <n v="25"/>
  </r>
  <r>
    <d v="2014-10-10T00:00:00"/>
    <d v="2014-10-17T00:00:00"/>
    <n v="6.43"/>
    <n v="0.17"/>
    <x v="0"/>
    <n v="7"/>
  </r>
  <r>
    <d v="2014-10-10T00:00:00"/>
    <d v="2014-10-16T00:00:00"/>
    <n v="2.0099999999999998"/>
    <n v="0.05"/>
    <x v="2"/>
    <n v="6"/>
  </r>
  <r>
    <d v="2014-10-10T00:00:00"/>
    <d v="2014-11-07T00:00:00"/>
    <n v="6.43"/>
    <n v="0.17"/>
    <x v="0"/>
    <n v="28"/>
  </r>
  <r>
    <d v="2014-10-10T00:00:00"/>
    <d v="2014-11-01T00:00:00"/>
    <n v="7.35"/>
    <n v="0.19"/>
    <x v="1"/>
    <n v="22"/>
  </r>
  <r>
    <d v="2014-10-10T00:00:00"/>
    <d v="2014-11-04T00:00:00"/>
    <n v="16.55"/>
    <n v="0.44"/>
    <x v="1"/>
    <n v="25"/>
  </r>
  <r>
    <d v="2014-10-10T00:00:00"/>
    <d v="2014-10-16T00:00:00"/>
    <n v="9.06"/>
    <n v="0.24"/>
    <x v="1"/>
    <n v="6"/>
  </r>
  <r>
    <d v="2014-10-10T00:00:00"/>
    <d v="2014-11-02T00:00:00"/>
    <n v="10.59"/>
    <n v="0.28000000000000003"/>
    <x v="3"/>
    <n v="23"/>
  </r>
  <r>
    <d v="2014-10-10T00:00:00"/>
    <d v="2014-10-18T00:00:00"/>
    <n v="7.71"/>
    <n v="0.2"/>
    <x v="4"/>
    <n v="8"/>
  </r>
  <r>
    <d v="2014-10-10T00:00:00"/>
    <d v="2014-11-06T00:00:00"/>
    <n v="10.19"/>
    <n v="0.27"/>
    <x v="3"/>
    <n v="27"/>
  </r>
  <r>
    <d v="2014-10-10T00:00:00"/>
    <d v="2014-10-16T00:00:00"/>
    <n v="4.25"/>
    <n v="0.11"/>
    <x v="3"/>
    <n v="6"/>
  </r>
  <r>
    <d v="2014-10-10T00:00:00"/>
    <d v="2014-10-14T00:00:00"/>
    <n v="9.06"/>
    <n v="0.24"/>
    <x v="4"/>
    <n v="4"/>
  </r>
  <r>
    <d v="2014-10-11T00:00:00"/>
    <d v="2014-10-20T00:00:00"/>
    <n v="8.65"/>
    <n v="0.23"/>
    <x v="3"/>
    <n v="9"/>
  </r>
  <r>
    <d v="2014-10-11T00:00:00"/>
    <d v="2014-10-23T00:00:00"/>
    <n v="8.84"/>
    <n v="0.23"/>
    <x v="3"/>
    <n v="12"/>
  </r>
  <r>
    <d v="2014-10-11T00:00:00"/>
    <d v="2014-10-20T00:00:00"/>
    <n v="4.25"/>
    <n v="0.11"/>
    <x v="0"/>
    <n v="9"/>
  </r>
  <r>
    <d v="2014-10-11T00:00:00"/>
    <d v="2014-10-15T00:00:00"/>
    <n v="5.47"/>
    <n v="0.14000000000000001"/>
    <x v="0"/>
    <n v="4"/>
  </r>
  <r>
    <d v="2014-10-11T00:00:00"/>
    <d v="2014-10-25T00:00:00"/>
    <n v="14.31"/>
    <n v="0.38"/>
    <x v="4"/>
    <n v="14"/>
  </r>
  <r>
    <d v="2014-10-11T00:00:00"/>
    <d v="2014-11-06T00:00:00"/>
    <n v="13.81"/>
    <n v="0.36"/>
    <x v="1"/>
    <n v="26"/>
  </r>
  <r>
    <d v="2014-10-11T00:00:00"/>
    <d v="2014-10-31T00:00:00"/>
    <n v="9.74"/>
    <n v="0.26"/>
    <x v="4"/>
    <n v="20"/>
  </r>
  <r>
    <d v="2014-10-11T00:00:00"/>
    <d v="2014-11-08T00:00:00"/>
    <n v="9.4600000000000009"/>
    <n v="0.25"/>
    <x v="0"/>
    <n v="28"/>
  </r>
  <r>
    <d v="2014-10-11T00:00:00"/>
    <d v="2014-10-28T00:00:00"/>
    <n v="7.31"/>
    <n v="0.19"/>
    <x v="2"/>
    <n v="17"/>
  </r>
  <r>
    <d v="2014-10-11T00:00:00"/>
    <d v="2014-11-02T00:00:00"/>
    <n v="11.78"/>
    <n v="0.31"/>
    <x v="3"/>
    <n v="22"/>
  </r>
  <r>
    <d v="2014-10-11T00:00:00"/>
    <d v="2014-10-28T00:00:00"/>
    <n v="13.82"/>
    <n v="0.36"/>
    <x v="3"/>
    <n v="17"/>
  </r>
  <r>
    <d v="2014-10-13T00:00:00"/>
    <d v="2014-11-07T00:00:00"/>
    <n v="3.94"/>
    <n v="0.1"/>
    <x v="0"/>
    <n v="25"/>
  </r>
  <r>
    <d v="2014-10-13T00:00:00"/>
    <d v="2014-10-22T00:00:00"/>
    <n v="6.58"/>
    <n v="0.17"/>
    <x v="0"/>
    <n v="9"/>
  </r>
  <r>
    <d v="2014-10-13T00:00:00"/>
    <d v="2014-10-19T00:00:00"/>
    <n v="6.34"/>
    <n v="0.17"/>
    <x v="3"/>
    <n v="6"/>
  </r>
  <r>
    <d v="2014-10-13T00:00:00"/>
    <d v="2014-10-31T00:00:00"/>
    <n v="6.58"/>
    <n v="0.17"/>
    <x v="3"/>
    <n v="18"/>
  </r>
  <r>
    <d v="2014-10-13T00:00:00"/>
    <d v="2014-11-06T00:00:00"/>
    <n v="6.34"/>
    <n v="0.17"/>
    <x v="4"/>
    <n v="24"/>
  </r>
  <r>
    <d v="2014-10-14T00:00:00"/>
    <d v="2014-10-29T00:00:00"/>
    <n v="6.43"/>
    <n v="0.17"/>
    <x v="1"/>
    <n v="15"/>
  </r>
  <r>
    <d v="2014-10-15T00:00:00"/>
    <d v="2014-11-11T00:00:00"/>
    <n v="2.0099999999999998"/>
    <n v="0.05"/>
    <x v="1"/>
    <n v="27"/>
  </r>
  <r>
    <d v="2014-10-15T00:00:00"/>
    <d v="2014-11-10T00:00:00"/>
    <n v="2.72"/>
    <n v="7.0000000000000007E-2"/>
    <x v="3"/>
    <n v="26"/>
  </r>
  <r>
    <d v="2014-10-16T00:00:00"/>
    <d v="2014-10-22T00:00:00"/>
    <n v="3.73"/>
    <n v="0.1"/>
    <x v="0"/>
    <n v="6"/>
  </r>
  <r>
    <d v="2014-10-17T00:00:00"/>
    <d v="2014-10-25T00:00:00"/>
    <n v="5.64"/>
    <n v="0.15"/>
    <x v="1"/>
    <n v="8"/>
  </r>
  <r>
    <d v="2014-10-17T00:00:00"/>
    <d v="2014-10-30T00:00:00"/>
    <n v="11.78"/>
    <n v="0.31"/>
    <x v="0"/>
    <n v="13"/>
  </r>
  <r>
    <d v="2014-10-17T00:00:00"/>
    <d v="2014-10-19T00:00:00"/>
    <n v="9.4600000000000009"/>
    <n v="0.25"/>
    <x v="0"/>
    <n v="2"/>
  </r>
  <r>
    <d v="2014-10-17T00:00:00"/>
    <d v="2014-11-02T00:00:00"/>
    <n v="4.25"/>
    <n v="0.11"/>
    <x v="4"/>
    <n v="16"/>
  </r>
  <r>
    <d v="2014-10-17T00:00:00"/>
    <d v="2014-11-12T00:00:00"/>
    <n v="11.42"/>
    <n v="0.3"/>
    <x v="3"/>
    <n v="26"/>
  </r>
  <r>
    <d v="2014-10-17T00:00:00"/>
    <d v="2014-11-12T00:00:00"/>
    <n v="8.5399999999999991"/>
    <n v="0.22"/>
    <x v="4"/>
    <n v="26"/>
  </r>
  <r>
    <d v="2014-10-18T00:00:00"/>
    <d v="2014-10-24T00:00:00"/>
    <n v="2.72"/>
    <n v="7.0000000000000007E-2"/>
    <x v="2"/>
    <n v="6"/>
  </r>
  <r>
    <d v="2014-10-22T00:00:00"/>
    <d v="2014-10-29T00:00:00"/>
    <n v="11.78"/>
    <n v="0.31"/>
    <x v="4"/>
    <n v="7"/>
  </r>
  <r>
    <d v="2014-10-22T00:00:00"/>
    <d v="2014-11-16T00:00:00"/>
    <n v="8.89"/>
    <n v="0.23"/>
    <x v="3"/>
    <n v="25"/>
  </r>
  <r>
    <d v="2014-10-22T00:00:00"/>
    <d v="2014-10-25T00:00:00"/>
    <n v="3.94"/>
    <n v="0.1"/>
    <x v="0"/>
    <n v="3"/>
  </r>
  <r>
    <d v="2014-10-22T00:00:00"/>
    <d v="2014-11-17T00:00:00"/>
    <n v="6.23"/>
    <n v="0.16"/>
    <x v="0"/>
    <n v="26"/>
  </r>
  <r>
    <d v="2014-10-22T00:00:00"/>
    <d v="2014-11-18T00:00:00"/>
    <n v="9.4600000000000009"/>
    <n v="0.25"/>
    <x v="1"/>
    <n v="27"/>
  </r>
  <r>
    <d v="2014-10-22T00:00:00"/>
    <d v="2014-10-30T00:00:00"/>
    <n v="11.42"/>
    <n v="0.3"/>
    <x v="1"/>
    <n v="8"/>
  </r>
  <r>
    <d v="2014-10-22T00:00:00"/>
    <d v="2014-11-06T00:00:00"/>
    <n v="8.84"/>
    <n v="0.23"/>
    <x v="4"/>
    <n v="15"/>
  </r>
  <r>
    <d v="2014-10-22T00:00:00"/>
    <d v="2014-11-06T00:00:00"/>
    <n v="6.34"/>
    <n v="0.17"/>
    <x v="2"/>
    <n v="15"/>
  </r>
  <r>
    <d v="2014-10-22T00:00:00"/>
    <d v="2014-10-31T00:00:00"/>
    <n v="5.67"/>
    <n v="0.15"/>
    <x v="2"/>
    <n v="9"/>
  </r>
  <r>
    <d v="2014-10-22T00:00:00"/>
    <d v="2014-11-11T00:00:00"/>
    <n v="11.78"/>
    <n v="0.31"/>
    <x v="0"/>
    <n v="20"/>
  </r>
  <r>
    <d v="2014-10-22T00:00:00"/>
    <d v="2014-11-01T00:00:00"/>
    <n v="13.82"/>
    <n v="0.36"/>
    <x v="4"/>
    <n v="10"/>
  </r>
  <r>
    <d v="2014-10-22T00:00:00"/>
    <d v="2014-11-15T00:00:00"/>
    <n v="3.57"/>
    <n v="0.09"/>
    <x v="4"/>
    <n v="24"/>
  </r>
  <r>
    <d v="2014-10-22T00:00:00"/>
    <d v="2014-11-11T00:00:00"/>
    <n v="6.88"/>
    <n v="0.18"/>
    <x v="4"/>
    <n v="20"/>
  </r>
  <r>
    <d v="2014-10-22T00:00:00"/>
    <d v="2014-11-15T00:00:00"/>
    <n v="7.3"/>
    <n v="0.19"/>
    <x v="0"/>
    <n v="24"/>
  </r>
  <r>
    <d v="2014-10-22T00:00:00"/>
    <d v="2014-11-12T00:00:00"/>
    <n v="9.74"/>
    <n v="0.26"/>
    <x v="2"/>
    <n v="21"/>
  </r>
  <r>
    <d v="2014-10-22T00:00:00"/>
    <d v="2014-11-02T00:00:00"/>
    <n v="8.65"/>
    <n v="0.23"/>
    <x v="2"/>
    <n v="11"/>
  </r>
  <r>
    <d v="2014-10-22T00:00:00"/>
    <d v="2014-11-11T00:00:00"/>
    <n v="3.57"/>
    <n v="0.09"/>
    <x v="0"/>
    <n v="20"/>
  </r>
  <r>
    <d v="2014-10-22T00:00:00"/>
    <d v="2014-11-08T00:00:00"/>
    <n v="4.25"/>
    <n v="0.11"/>
    <x v="1"/>
    <n v="17"/>
  </r>
  <r>
    <d v="2014-10-22T00:00:00"/>
    <d v="2014-10-26T00:00:00"/>
    <n v="13.02"/>
    <n v="0.34"/>
    <x v="2"/>
    <n v="4"/>
  </r>
  <r>
    <d v="2014-10-23T00:00:00"/>
    <d v="2014-11-02T00:00:00"/>
    <n v="11.44"/>
    <n v="0.3"/>
    <x v="1"/>
    <n v="10"/>
  </r>
  <r>
    <d v="2014-10-23T00:00:00"/>
    <d v="2014-11-11T00:00:00"/>
    <n v="11.78"/>
    <n v="0.31"/>
    <x v="0"/>
    <n v="19"/>
  </r>
  <r>
    <d v="2014-10-23T00:00:00"/>
    <d v="2014-11-01T00:00:00"/>
    <n v="7.31"/>
    <n v="0.19"/>
    <x v="2"/>
    <n v="9"/>
  </r>
  <r>
    <d v="2014-10-23T00:00:00"/>
    <d v="2014-10-28T00:00:00"/>
    <n v="3.79"/>
    <n v="0.1"/>
    <x v="3"/>
    <n v="5"/>
  </r>
  <r>
    <d v="2014-10-23T00:00:00"/>
    <d v="2014-11-04T00:00:00"/>
    <n v="11.42"/>
    <n v="0.3"/>
    <x v="4"/>
    <n v="12"/>
  </r>
  <r>
    <d v="2014-10-23T00:00:00"/>
    <d v="2014-11-12T00:00:00"/>
    <n v="7.31"/>
    <n v="0.19"/>
    <x v="1"/>
    <n v="20"/>
  </r>
  <r>
    <d v="2014-10-23T00:00:00"/>
    <d v="2014-10-28T00:00:00"/>
    <n v="3.73"/>
    <n v="0.1"/>
    <x v="2"/>
    <n v="5"/>
  </r>
  <r>
    <d v="2014-10-23T00:00:00"/>
    <d v="2014-11-14T00:00:00"/>
    <n v="9.06"/>
    <n v="0.24"/>
    <x v="2"/>
    <n v="22"/>
  </r>
  <r>
    <d v="2014-10-23T00:00:00"/>
    <d v="2014-11-13T00:00:00"/>
    <n v="11.69"/>
    <n v="0.31"/>
    <x v="2"/>
    <n v="21"/>
  </r>
  <r>
    <d v="2014-10-23T00:00:00"/>
    <d v="2014-11-17T00:00:00"/>
    <n v="10.79"/>
    <n v="0.28000000000000003"/>
    <x v="4"/>
    <n v="25"/>
  </r>
  <r>
    <d v="2014-10-23T00:00:00"/>
    <d v="2014-11-03T00:00:00"/>
    <n v="14.13"/>
    <n v="0.37"/>
    <x v="1"/>
    <n v="11"/>
  </r>
  <r>
    <d v="2014-10-23T00:00:00"/>
    <d v="2014-11-16T00:00:00"/>
    <n v="8.7200000000000006"/>
    <n v="0.23"/>
    <x v="2"/>
    <n v="24"/>
  </r>
  <r>
    <d v="2014-10-24T00:00:00"/>
    <d v="2014-11-08T00:00:00"/>
    <n v="3.94"/>
    <n v="0.1"/>
    <x v="0"/>
    <n v="15"/>
  </r>
  <r>
    <d v="2014-10-24T00:00:00"/>
    <d v="2014-11-21T00:00:00"/>
    <n v="3.73"/>
    <n v="0.1"/>
    <x v="4"/>
    <n v="28"/>
  </r>
  <r>
    <d v="2014-10-25T00:00:00"/>
    <d v="2014-11-20T00:00:00"/>
    <n v="3.94"/>
    <n v="0.1"/>
    <x v="3"/>
    <n v="26"/>
  </r>
  <r>
    <d v="2014-10-25T00:00:00"/>
    <d v="2014-11-21T00:00:00"/>
    <n v="3.57"/>
    <n v="0.09"/>
    <x v="2"/>
    <n v="27"/>
  </r>
  <r>
    <d v="2014-10-25T00:00:00"/>
    <d v="2014-10-31T00:00:00"/>
    <n v="7.31"/>
    <n v="0.19"/>
    <x v="4"/>
    <n v="6"/>
  </r>
  <r>
    <d v="2014-10-26T00:00:00"/>
    <d v="2014-11-21T00:00:00"/>
    <n v="6.58"/>
    <n v="0.17"/>
    <x v="0"/>
    <n v="26"/>
  </r>
  <r>
    <d v="2014-10-27T00:00:00"/>
    <d v="2014-11-21T00:00:00"/>
    <n v="3.94"/>
    <n v="0.1"/>
    <x v="0"/>
    <n v="25"/>
  </r>
  <r>
    <d v="2014-10-28T00:00:00"/>
    <d v="2014-11-03T00:00:00"/>
    <n v="5.47"/>
    <n v="0.14000000000000001"/>
    <x v="0"/>
    <n v="6"/>
  </r>
  <r>
    <d v="2014-10-29T00:00:00"/>
    <d v="2014-11-15T00:00:00"/>
    <n v="5.23"/>
    <n v="0.14000000000000001"/>
    <x v="4"/>
    <n v="17"/>
  </r>
  <r>
    <d v="2014-10-29T00:00:00"/>
    <d v="2014-11-19T00:00:00"/>
    <n v="6.58"/>
    <n v="0.17"/>
    <x v="0"/>
    <n v="21"/>
  </r>
  <r>
    <d v="2014-10-29T00:00:00"/>
    <d v="2014-11-14T00:00:00"/>
    <n v="3.79"/>
    <n v="0.1"/>
    <x v="3"/>
    <n v="16"/>
  </r>
  <r>
    <d v="2014-10-29T00:00:00"/>
    <d v="2014-11-10T00:00:00"/>
    <n v="5.64"/>
    <n v="0.15"/>
    <x v="1"/>
    <n v="12"/>
  </r>
  <r>
    <d v="2014-10-29T00:00:00"/>
    <d v="2014-11-01T00:00:00"/>
    <n v="11.37"/>
    <n v="0.3"/>
    <x v="2"/>
    <n v="3"/>
  </r>
  <r>
    <d v="2014-10-29T00:00:00"/>
    <d v="2014-11-26T00:00:00"/>
    <n v="8.9499999999999993"/>
    <n v="0.24"/>
    <x v="2"/>
    <n v="28"/>
  </r>
  <r>
    <d v="2014-10-29T00:00:00"/>
    <d v="2014-11-18T00:00:00"/>
    <n v="3.94"/>
    <n v="0.1"/>
    <x v="0"/>
    <n v="20"/>
  </r>
  <r>
    <d v="2014-11-03T00:00:00"/>
    <d v="2014-11-19T00:00:00"/>
    <n v="3.79"/>
    <n v="0.1"/>
    <x v="0"/>
    <n v="16"/>
  </r>
  <r>
    <d v="2014-11-03T00:00:00"/>
    <d v="2014-11-28T00:00:00"/>
    <n v="6.43"/>
    <n v="0.17"/>
    <x v="2"/>
    <n v="25"/>
  </r>
  <r>
    <d v="2014-11-03T00:00:00"/>
    <d v="2014-11-05T00:00:00"/>
    <n v="8.5399999999999991"/>
    <n v="0.22"/>
    <x v="1"/>
    <n v="2"/>
  </r>
  <r>
    <d v="2014-11-03T00:00:00"/>
    <d v="2014-11-13T00:00:00"/>
    <n v="13.02"/>
    <n v="0.34"/>
    <x v="4"/>
    <n v="10"/>
  </r>
  <r>
    <d v="2014-11-03T00:00:00"/>
    <d v="2014-11-17T00:00:00"/>
    <n v="5.64"/>
    <n v="0.15"/>
    <x v="3"/>
    <n v="14"/>
  </r>
  <r>
    <d v="2014-11-03T00:00:00"/>
    <d v="2014-11-23T00:00:00"/>
    <n v="4.66"/>
    <n v="0.12"/>
    <x v="1"/>
    <n v="20"/>
  </r>
  <r>
    <d v="2014-11-03T00:00:00"/>
    <d v="2014-11-25T00:00:00"/>
    <n v="7.71"/>
    <n v="0.2"/>
    <x v="0"/>
    <n v="22"/>
  </r>
  <r>
    <d v="2014-11-03T00:00:00"/>
    <d v="2014-11-08T00:00:00"/>
    <n v="7.71"/>
    <n v="0.2"/>
    <x v="1"/>
    <n v="5"/>
  </r>
  <r>
    <d v="2014-11-03T00:00:00"/>
    <d v="2014-11-14T00:00:00"/>
    <n v="6.34"/>
    <n v="0.17"/>
    <x v="4"/>
    <n v="11"/>
  </r>
  <r>
    <d v="2014-11-03T00:00:00"/>
    <d v="2014-11-11T00:00:00"/>
    <n v="11.37"/>
    <n v="0.3"/>
    <x v="2"/>
    <n v="8"/>
  </r>
  <r>
    <d v="2014-11-03T00:00:00"/>
    <d v="2014-11-10T00:00:00"/>
    <n v="6.34"/>
    <n v="0.17"/>
    <x v="2"/>
    <n v="7"/>
  </r>
  <r>
    <d v="2014-11-03T00:00:00"/>
    <d v="2014-11-12T00:00:00"/>
    <n v="3.57"/>
    <n v="0.09"/>
    <x v="1"/>
    <n v="9"/>
  </r>
  <r>
    <d v="2014-11-03T00:00:00"/>
    <d v="2014-11-21T00:00:00"/>
    <n v="7.31"/>
    <n v="0.19"/>
    <x v="4"/>
    <n v="18"/>
  </r>
  <r>
    <d v="2014-11-03T00:00:00"/>
    <d v="2014-11-23T00:00:00"/>
    <n v="5.64"/>
    <n v="0.15"/>
    <x v="1"/>
    <n v="20"/>
  </r>
  <r>
    <d v="2014-11-03T00:00:00"/>
    <d v="2014-11-21T00:00:00"/>
    <n v="4.25"/>
    <n v="0.11"/>
    <x v="1"/>
    <n v="18"/>
  </r>
  <r>
    <d v="2014-11-03T00:00:00"/>
    <d v="2014-11-10T00:00:00"/>
    <n v="9.1300000000000008"/>
    <n v="0.24"/>
    <x v="0"/>
    <n v="7"/>
  </r>
  <r>
    <d v="2014-11-03T00:00:00"/>
    <d v="2014-11-13T00:00:00"/>
    <n v="3.79"/>
    <n v="0.1"/>
    <x v="1"/>
    <n v="10"/>
  </r>
  <r>
    <d v="2014-11-03T00:00:00"/>
    <d v="2014-11-05T00:00:00"/>
    <n v="9.1300000000000008"/>
    <n v="0.24"/>
    <x v="3"/>
    <n v="2"/>
  </r>
  <r>
    <d v="2014-11-04T00:00:00"/>
    <d v="2014-11-17T00:00:00"/>
    <n v="11.44"/>
    <n v="0.3"/>
    <x v="1"/>
    <n v="13"/>
  </r>
  <r>
    <d v="2014-11-04T00:00:00"/>
    <d v="2014-11-29T00:00:00"/>
    <n v="5.47"/>
    <n v="0.14000000000000001"/>
    <x v="1"/>
    <n v="25"/>
  </r>
  <r>
    <d v="2014-11-04T00:00:00"/>
    <d v="2014-11-25T00:00:00"/>
    <n v="14.13"/>
    <n v="0.37"/>
    <x v="2"/>
    <n v="21"/>
  </r>
  <r>
    <d v="2014-11-04T00:00:00"/>
    <d v="2014-11-13T00:00:00"/>
    <n v="11.69"/>
    <n v="0.31"/>
    <x v="4"/>
    <n v="9"/>
  </r>
  <r>
    <d v="2014-11-04T00:00:00"/>
    <d v="2014-11-27T00:00:00"/>
    <n v="6.75"/>
    <n v="0.18"/>
    <x v="2"/>
    <n v="23"/>
  </r>
  <r>
    <d v="2014-11-04T00:00:00"/>
    <d v="2014-11-19T00:00:00"/>
    <n v="8.65"/>
    <n v="0.23"/>
    <x v="1"/>
    <n v="15"/>
  </r>
  <r>
    <d v="2014-11-04T00:00:00"/>
    <d v="2014-12-02T00:00:00"/>
    <n v="10.93"/>
    <n v="0.28999999999999998"/>
    <x v="0"/>
    <n v="28"/>
  </r>
  <r>
    <d v="2014-11-04T00:00:00"/>
    <d v="2014-11-19T00:00:00"/>
    <n v="16.55"/>
    <n v="0.44"/>
    <x v="1"/>
    <n v="15"/>
  </r>
  <r>
    <d v="2014-11-04T00:00:00"/>
    <d v="2014-11-17T00:00:00"/>
    <n v="9.06"/>
    <n v="0.24"/>
    <x v="3"/>
    <n v="13"/>
  </r>
  <r>
    <d v="2014-11-04T00:00:00"/>
    <d v="2014-12-01T00:00:00"/>
    <n v="9.06"/>
    <n v="0.24"/>
    <x v="3"/>
    <n v="27"/>
  </r>
  <r>
    <d v="2014-11-04T00:00:00"/>
    <d v="2014-11-26T00:00:00"/>
    <n v="6.43"/>
    <n v="0.17"/>
    <x v="2"/>
    <n v="22"/>
  </r>
  <r>
    <d v="2014-11-04T00:00:00"/>
    <d v="2014-11-11T00:00:00"/>
    <n v="6.23"/>
    <n v="0.16"/>
    <x v="4"/>
    <n v="7"/>
  </r>
  <r>
    <d v="2014-11-04T00:00:00"/>
    <d v="2014-11-09T00:00:00"/>
    <n v="6.75"/>
    <n v="0.18"/>
    <x v="4"/>
    <n v="5"/>
  </r>
  <r>
    <d v="2014-11-04T00:00:00"/>
    <d v="2014-11-10T00:00:00"/>
    <n v="10.79"/>
    <n v="0.28000000000000003"/>
    <x v="1"/>
    <n v="6"/>
  </r>
  <r>
    <d v="2014-11-06T00:00:00"/>
    <d v="2014-11-13T00:00:00"/>
    <n v="5.67"/>
    <n v="0.15"/>
    <x v="3"/>
    <n v="7"/>
  </r>
  <r>
    <d v="2014-11-06T00:00:00"/>
    <d v="2014-11-16T00:00:00"/>
    <n v="11.44"/>
    <n v="0.3"/>
    <x v="3"/>
    <n v="10"/>
  </r>
  <r>
    <d v="2014-11-07T00:00:00"/>
    <d v="2014-12-04T00:00:00"/>
    <n v="4.25"/>
    <n v="0.11"/>
    <x v="0"/>
    <n v="27"/>
  </r>
  <r>
    <d v="2014-11-07T00:00:00"/>
    <d v="2014-11-10T00:00:00"/>
    <n v="3.94"/>
    <n v="0.1"/>
    <x v="2"/>
    <n v="3"/>
  </r>
  <r>
    <d v="2014-11-07T00:00:00"/>
    <d v="2014-11-29T00:00:00"/>
    <n v="3.57"/>
    <n v="0.09"/>
    <x v="3"/>
    <n v="22"/>
  </r>
  <r>
    <d v="2014-11-07T00:00:00"/>
    <d v="2014-11-09T00:00:00"/>
    <n v="5.67"/>
    <n v="0.15"/>
    <x v="1"/>
    <n v="2"/>
  </r>
  <r>
    <d v="2014-11-07T00:00:00"/>
    <d v="2014-11-24T00:00:00"/>
    <n v="5.67"/>
    <n v="0.15"/>
    <x v="3"/>
    <n v="17"/>
  </r>
  <r>
    <d v="2014-11-10T00:00:00"/>
    <d v="2014-12-05T00:00:00"/>
    <n v="16.829999999999998"/>
    <n v="0.44"/>
    <x v="1"/>
    <n v="25"/>
  </r>
  <r>
    <d v="2014-11-13T00:00:00"/>
    <d v="2014-11-15T00:00:00"/>
    <n v="5.23"/>
    <n v="0.14000000000000001"/>
    <x v="3"/>
    <n v="2"/>
  </r>
  <r>
    <d v="2014-11-14T00:00:00"/>
    <d v="2014-11-23T00:00:00"/>
    <n v="3.73"/>
    <n v="0.1"/>
    <x v="4"/>
    <n v="9"/>
  </r>
  <r>
    <d v="2014-11-15T00:00:00"/>
    <d v="2014-12-12T00:00:00"/>
    <n v="8.7200000000000006"/>
    <n v="0.23"/>
    <x v="1"/>
    <n v="27"/>
  </r>
  <r>
    <d v="2014-11-15T00:00:00"/>
    <d v="2014-12-02T00:00:00"/>
    <n v="19.54"/>
    <n v="0.51"/>
    <x v="2"/>
    <n v="17"/>
  </r>
  <r>
    <d v="2014-11-15T00:00:00"/>
    <d v="2014-12-07T00:00:00"/>
    <n v="2.29"/>
    <n v="0.06"/>
    <x v="3"/>
    <n v="22"/>
  </r>
  <r>
    <d v="2014-11-15T00:00:00"/>
    <d v="2014-12-13T00:00:00"/>
    <n v="8.9499999999999993"/>
    <n v="0.24"/>
    <x v="1"/>
    <n v="28"/>
  </r>
  <r>
    <d v="2014-11-15T00:00:00"/>
    <d v="2014-11-26T00:00:00"/>
    <n v="5.67"/>
    <n v="0.15"/>
    <x v="1"/>
    <n v="11"/>
  </r>
  <r>
    <d v="2014-11-15T00:00:00"/>
    <d v="2014-12-09T00:00:00"/>
    <n v="8.83"/>
    <n v="0.23"/>
    <x v="3"/>
    <n v="24"/>
  </r>
  <r>
    <d v="2014-11-15T00:00:00"/>
    <d v="2014-11-20T00:00:00"/>
    <n v="10.79"/>
    <n v="0.28000000000000003"/>
    <x v="3"/>
    <n v="5"/>
  </r>
  <r>
    <d v="2014-11-15T00:00:00"/>
    <d v="2014-11-18T00:00:00"/>
    <n v="5.67"/>
    <n v="0.15"/>
    <x v="1"/>
    <n v="3"/>
  </r>
  <r>
    <d v="2014-11-15T00:00:00"/>
    <d v="2014-11-29T00:00:00"/>
    <n v="14.31"/>
    <n v="0.38"/>
    <x v="0"/>
    <n v="14"/>
  </r>
  <r>
    <d v="2014-11-15T00:00:00"/>
    <d v="2014-12-03T00:00:00"/>
    <n v="5.67"/>
    <n v="0.15"/>
    <x v="1"/>
    <n v="18"/>
  </r>
  <r>
    <d v="2014-11-15T00:00:00"/>
    <d v="2014-11-18T00:00:00"/>
    <n v="6.75"/>
    <n v="0.18"/>
    <x v="1"/>
    <n v="3"/>
  </r>
  <r>
    <d v="2014-11-15T00:00:00"/>
    <d v="2014-11-21T00:00:00"/>
    <n v="12.01"/>
    <n v="0.32"/>
    <x v="3"/>
    <n v="6"/>
  </r>
  <r>
    <d v="2014-11-15T00:00:00"/>
    <d v="2014-11-30T00:00:00"/>
    <n v="5.23"/>
    <n v="0.14000000000000001"/>
    <x v="1"/>
    <n v="15"/>
  </r>
  <r>
    <d v="2014-11-15T00:00:00"/>
    <d v="2014-12-05T00:00:00"/>
    <n v="13.81"/>
    <n v="0.36"/>
    <x v="3"/>
    <n v="20"/>
  </r>
  <r>
    <d v="2014-11-15T00:00:00"/>
    <d v="2014-11-27T00:00:00"/>
    <n v="5.23"/>
    <n v="0.14000000000000001"/>
    <x v="4"/>
    <n v="12"/>
  </r>
  <r>
    <d v="2014-11-16T00:00:00"/>
    <d v="2014-11-25T00:00:00"/>
    <n v="4.25"/>
    <n v="0.11"/>
    <x v="1"/>
    <n v="9"/>
  </r>
  <r>
    <d v="2014-11-16T00:00:00"/>
    <d v="2014-12-11T00:00:00"/>
    <n v="5.23"/>
    <n v="0.14000000000000001"/>
    <x v="3"/>
    <n v="25"/>
  </r>
  <r>
    <d v="2014-11-16T00:00:00"/>
    <d v="2014-12-10T00:00:00"/>
    <n v="6.23"/>
    <n v="0.16"/>
    <x v="2"/>
    <n v="24"/>
  </r>
  <r>
    <d v="2014-11-16T00:00:00"/>
    <d v="2014-11-28T00:00:00"/>
    <n v="16.55"/>
    <n v="0.44"/>
    <x v="0"/>
    <n v="12"/>
  </r>
  <r>
    <d v="2014-11-16T00:00:00"/>
    <d v="2014-11-23T00:00:00"/>
    <n v="5.78"/>
    <n v="0.15"/>
    <x v="1"/>
    <n v="7"/>
  </r>
  <r>
    <d v="2014-11-16T00:00:00"/>
    <d v="2014-12-05T00:00:00"/>
    <n v="11.69"/>
    <n v="0.31"/>
    <x v="0"/>
    <n v="19"/>
  </r>
  <r>
    <d v="2014-11-16T00:00:00"/>
    <d v="2014-12-12T00:00:00"/>
    <n v="11.78"/>
    <n v="0.31"/>
    <x v="2"/>
    <n v="26"/>
  </r>
  <r>
    <d v="2014-11-16T00:00:00"/>
    <d v="2014-12-01T00:00:00"/>
    <n v="8.39"/>
    <n v="0.22"/>
    <x v="1"/>
    <n v="15"/>
  </r>
  <r>
    <d v="2014-11-16T00:00:00"/>
    <d v="2014-12-03T00:00:00"/>
    <n v="6.75"/>
    <n v="0.18"/>
    <x v="1"/>
    <n v="17"/>
  </r>
  <r>
    <d v="2014-11-17T00:00:00"/>
    <d v="2014-11-21T00:00:00"/>
    <n v="3.94"/>
    <n v="0.1"/>
    <x v="1"/>
    <n v="4"/>
  </r>
  <r>
    <d v="2014-11-17T00:00:00"/>
    <d v="2014-12-07T00:00:00"/>
    <n v="3.57"/>
    <n v="0.09"/>
    <x v="1"/>
    <n v="20"/>
  </r>
  <r>
    <d v="2014-11-17T00:00:00"/>
    <d v="2014-12-07T00:00:00"/>
    <n v="14.13"/>
    <n v="0.37"/>
    <x v="0"/>
    <n v="20"/>
  </r>
  <r>
    <d v="2014-11-17T00:00:00"/>
    <d v="2014-11-24T00:00:00"/>
    <n v="5.57"/>
    <n v="0.15"/>
    <x v="2"/>
    <n v="7"/>
  </r>
  <r>
    <d v="2014-11-17T00:00:00"/>
    <d v="2014-12-06T00:00:00"/>
    <n v="8.7200000000000006"/>
    <n v="0.23"/>
    <x v="2"/>
    <n v="19"/>
  </r>
  <r>
    <d v="2014-11-18T00:00:00"/>
    <d v="2014-12-14T00:00:00"/>
    <n v="5.67"/>
    <n v="0.15"/>
    <x v="4"/>
    <n v="26"/>
  </r>
  <r>
    <d v="2014-11-18T00:00:00"/>
    <d v="2014-11-29T00:00:00"/>
    <n v="3.94"/>
    <n v="0.1"/>
    <x v="3"/>
    <n v="11"/>
  </r>
  <r>
    <d v="2014-11-18T00:00:00"/>
    <d v="2014-11-23T00:00:00"/>
    <n v="5.67"/>
    <n v="0.15"/>
    <x v="4"/>
    <n v="5"/>
  </r>
  <r>
    <d v="2014-11-19T00:00:00"/>
    <d v="2014-12-11T00:00:00"/>
    <n v="6.34"/>
    <n v="0.17"/>
    <x v="1"/>
    <n v="22"/>
  </r>
  <r>
    <d v="2014-11-19T00:00:00"/>
    <d v="2014-11-27T00:00:00"/>
    <n v="2.0099999999999998"/>
    <n v="0.05"/>
    <x v="3"/>
    <n v="8"/>
  </r>
  <r>
    <d v="2014-11-19T00:00:00"/>
    <d v="2014-11-29T00:00:00"/>
    <n v="5.67"/>
    <n v="0.15"/>
    <x v="4"/>
    <n v="10"/>
  </r>
  <r>
    <d v="2014-11-19T00:00:00"/>
    <d v="2014-11-26T00:00:00"/>
    <n v="6.43"/>
    <n v="0.17"/>
    <x v="0"/>
    <n v="7"/>
  </r>
  <r>
    <d v="2014-11-20T00:00:00"/>
    <d v="2014-11-28T00:00:00"/>
    <n v="8.39"/>
    <n v="0.22"/>
    <x v="1"/>
    <n v="8"/>
  </r>
  <r>
    <d v="2014-11-20T00:00:00"/>
    <d v="2014-11-25T00:00:00"/>
    <n v="5.67"/>
    <n v="0.15"/>
    <x v="0"/>
    <n v="5"/>
  </r>
  <r>
    <d v="2014-11-20T00:00:00"/>
    <d v="2014-11-22T00:00:00"/>
    <n v="2.72"/>
    <n v="7.0000000000000007E-2"/>
    <x v="2"/>
    <n v="2"/>
  </r>
  <r>
    <d v="2014-11-21T00:00:00"/>
    <d v="2014-12-07T00:00:00"/>
    <n v="7.31"/>
    <n v="0.19"/>
    <x v="3"/>
    <n v="16"/>
  </r>
  <r>
    <d v="2014-11-21T00:00:00"/>
    <d v="2014-12-17T00:00:00"/>
    <n v="5.23"/>
    <n v="0.14000000000000001"/>
    <x v="1"/>
    <n v="26"/>
  </r>
  <r>
    <d v="2014-11-22T00:00:00"/>
    <d v="2014-11-25T00:00:00"/>
    <n v="8.83"/>
    <n v="0.23"/>
    <x v="1"/>
    <n v="3"/>
  </r>
  <r>
    <d v="2014-11-22T00:00:00"/>
    <d v="2014-11-28T00:00:00"/>
    <n v="2.0099999999999998"/>
    <n v="0.05"/>
    <x v="0"/>
    <n v="6"/>
  </r>
  <r>
    <d v="2014-11-22T00:00:00"/>
    <d v="2014-12-10T00:00:00"/>
    <n v="8.89"/>
    <n v="0.23"/>
    <x v="1"/>
    <n v="18"/>
  </r>
  <r>
    <d v="2014-11-22T00:00:00"/>
    <d v="2014-12-11T00:00:00"/>
    <n v="6.34"/>
    <n v="0.17"/>
    <x v="1"/>
    <n v="19"/>
  </r>
  <r>
    <d v="2014-11-22T00:00:00"/>
    <d v="2014-11-25T00:00:00"/>
    <n v="14.31"/>
    <n v="0.38"/>
    <x v="4"/>
    <n v="3"/>
  </r>
  <r>
    <d v="2014-11-22T00:00:00"/>
    <d v="2014-11-30T00:00:00"/>
    <n v="11.42"/>
    <n v="0.3"/>
    <x v="1"/>
    <n v="8"/>
  </r>
  <r>
    <d v="2014-11-22T00:00:00"/>
    <d v="2014-11-26T00:00:00"/>
    <n v="9.4600000000000009"/>
    <n v="0.25"/>
    <x v="3"/>
    <n v="4"/>
  </r>
  <r>
    <d v="2014-11-23T00:00:00"/>
    <d v="2014-12-11T00:00:00"/>
    <n v="6.58"/>
    <n v="0.17"/>
    <x v="0"/>
    <n v="18"/>
  </r>
  <r>
    <d v="2014-11-24T00:00:00"/>
    <d v="2014-12-18T00:00:00"/>
    <n v="11.42"/>
    <n v="0.3"/>
    <x v="3"/>
    <n v="24"/>
  </r>
  <r>
    <d v="2014-11-24T00:00:00"/>
    <d v="2014-12-15T00:00:00"/>
    <n v="2.29"/>
    <n v="0.06"/>
    <x v="1"/>
    <n v="21"/>
  </r>
  <r>
    <d v="2014-11-25T00:00:00"/>
    <d v="2014-12-20T00:00:00"/>
    <n v="8.7200000000000006"/>
    <n v="0.23"/>
    <x v="4"/>
    <n v="25"/>
  </r>
  <r>
    <d v="2014-11-25T00:00:00"/>
    <d v="2014-12-01T00:00:00"/>
    <n v="2.29"/>
    <n v="0.06"/>
    <x v="4"/>
    <n v="6"/>
  </r>
  <r>
    <d v="2014-11-25T00:00:00"/>
    <d v="2014-12-02T00:00:00"/>
    <n v="6.58"/>
    <n v="0.17"/>
    <x v="4"/>
    <n v="7"/>
  </r>
  <r>
    <d v="2014-11-27T00:00:00"/>
    <d v="2014-11-29T00:00:00"/>
    <n v="7.35"/>
    <n v="0.19"/>
    <x v="1"/>
    <n v="2"/>
  </r>
  <r>
    <d v="2014-11-27T00:00:00"/>
    <d v="2014-12-09T00:00:00"/>
    <n v="6.43"/>
    <n v="0.17"/>
    <x v="3"/>
    <n v="12"/>
  </r>
  <r>
    <d v="2014-11-27T00:00:00"/>
    <d v="2014-12-14T00:00:00"/>
    <n v="8.65"/>
    <n v="0.23"/>
    <x v="4"/>
    <n v="17"/>
  </r>
  <r>
    <d v="2014-11-27T00:00:00"/>
    <d v="2014-12-21T00:00:00"/>
    <n v="13.82"/>
    <n v="0.36"/>
    <x v="4"/>
    <n v="24"/>
  </r>
  <r>
    <d v="2014-11-27T00:00:00"/>
    <d v="2014-12-19T00:00:00"/>
    <n v="5.67"/>
    <n v="0.15"/>
    <x v="3"/>
    <n v="22"/>
  </r>
  <r>
    <d v="2014-11-27T00:00:00"/>
    <d v="2014-12-13T00:00:00"/>
    <n v="6.75"/>
    <n v="0.18"/>
    <x v="2"/>
    <n v="16"/>
  </r>
  <r>
    <d v="2014-11-27T00:00:00"/>
    <d v="2014-12-19T00:00:00"/>
    <n v="5.67"/>
    <n v="0.15"/>
    <x v="0"/>
    <n v="22"/>
  </r>
  <r>
    <d v="2014-11-27T00:00:00"/>
    <d v="2014-12-14T00:00:00"/>
    <n v="14.31"/>
    <n v="0.38"/>
    <x v="4"/>
    <n v="17"/>
  </r>
  <r>
    <d v="2014-11-27T00:00:00"/>
    <d v="2014-12-06T00:00:00"/>
    <n v="16.55"/>
    <n v="0.44"/>
    <x v="3"/>
    <n v="9"/>
  </r>
  <r>
    <d v="2014-11-27T00:00:00"/>
    <d v="2014-12-01T00:00:00"/>
    <n v="11.44"/>
    <n v="0.3"/>
    <x v="3"/>
    <n v="4"/>
  </r>
  <r>
    <d v="2014-11-27T00:00:00"/>
    <d v="2014-12-19T00:00:00"/>
    <n v="4.66"/>
    <n v="0.12"/>
    <x v="3"/>
    <n v="22"/>
  </r>
  <r>
    <d v="2014-11-27T00:00:00"/>
    <d v="2014-12-22T00:00:00"/>
    <n v="3.73"/>
    <n v="0.1"/>
    <x v="1"/>
    <n v="25"/>
  </r>
  <r>
    <d v="2014-11-27T00:00:00"/>
    <d v="2014-12-09T00:00:00"/>
    <n v="6.75"/>
    <n v="0.18"/>
    <x v="4"/>
    <n v="12"/>
  </r>
  <r>
    <d v="2014-11-27T00:00:00"/>
    <d v="2014-12-08T00:00:00"/>
    <n v="2.72"/>
    <n v="7.0000000000000007E-2"/>
    <x v="1"/>
    <n v="11"/>
  </r>
  <r>
    <d v="2014-11-27T00:00:00"/>
    <d v="2014-12-17T00:00:00"/>
    <n v="7.71"/>
    <n v="0.2"/>
    <x v="1"/>
    <n v="20"/>
  </r>
  <r>
    <d v="2014-11-27T00:00:00"/>
    <d v="2014-11-29T00:00:00"/>
    <n v="6.58"/>
    <n v="0.17"/>
    <x v="1"/>
    <n v="2"/>
  </r>
  <r>
    <d v="2014-11-27T00:00:00"/>
    <d v="2014-12-13T00:00:00"/>
    <n v="8.89"/>
    <n v="0.23"/>
    <x v="2"/>
    <n v="16"/>
  </r>
  <r>
    <d v="2014-11-27T00:00:00"/>
    <d v="2014-12-13T00:00:00"/>
    <n v="5.47"/>
    <n v="0.14000000000000001"/>
    <x v="3"/>
    <n v="16"/>
  </r>
  <r>
    <d v="2014-11-28T00:00:00"/>
    <d v="2014-12-14T00:00:00"/>
    <n v="12.01"/>
    <n v="0.32"/>
    <x v="2"/>
    <n v="16"/>
  </r>
  <r>
    <d v="2014-11-28T00:00:00"/>
    <d v="2014-12-03T00:00:00"/>
    <n v="11.44"/>
    <n v="0.3"/>
    <x v="4"/>
    <n v="5"/>
  </r>
  <r>
    <d v="2014-11-28T00:00:00"/>
    <d v="2014-12-13T00:00:00"/>
    <n v="14.13"/>
    <n v="0.37"/>
    <x v="4"/>
    <n v="15"/>
  </r>
  <r>
    <d v="2014-11-28T00:00:00"/>
    <d v="2014-12-10T00:00:00"/>
    <n v="8.9499999999999993"/>
    <n v="0.24"/>
    <x v="1"/>
    <n v="12"/>
  </r>
  <r>
    <d v="2014-11-28T00:00:00"/>
    <d v="2014-11-30T00:00:00"/>
    <n v="8.89"/>
    <n v="0.23"/>
    <x v="2"/>
    <n v="2"/>
  </r>
  <r>
    <d v="2014-11-28T00:00:00"/>
    <d v="2014-12-02T00:00:00"/>
    <n v="6.43"/>
    <n v="0.17"/>
    <x v="0"/>
    <n v="4"/>
  </r>
  <r>
    <d v="2014-11-28T00:00:00"/>
    <d v="2014-12-01T00:00:00"/>
    <n v="3.94"/>
    <n v="0.1"/>
    <x v="4"/>
    <n v="3"/>
  </r>
  <r>
    <d v="2014-11-28T00:00:00"/>
    <d v="2014-11-30T00:00:00"/>
    <n v="6.23"/>
    <n v="0.16"/>
    <x v="4"/>
    <n v="2"/>
  </r>
  <r>
    <d v="2014-11-28T00:00:00"/>
    <d v="2014-12-26T00:00:00"/>
    <n v="13.82"/>
    <n v="0.36"/>
    <x v="4"/>
    <n v="28"/>
  </r>
  <r>
    <d v="2014-11-28T00:00:00"/>
    <d v="2014-12-14T00:00:00"/>
    <n v="4.66"/>
    <n v="0.12"/>
    <x v="3"/>
    <n v="16"/>
  </r>
  <r>
    <d v="2014-11-28T00:00:00"/>
    <d v="2014-12-25T00:00:00"/>
    <n v="6.58"/>
    <n v="0.17"/>
    <x v="1"/>
    <n v="27"/>
  </r>
  <r>
    <d v="2014-11-28T00:00:00"/>
    <d v="2014-12-14T00:00:00"/>
    <n v="5.23"/>
    <n v="0.14000000000000001"/>
    <x v="2"/>
    <n v="16"/>
  </r>
  <r>
    <d v="2014-11-28T00:00:00"/>
    <d v="2014-12-26T00:00:00"/>
    <n v="14"/>
    <n v="0.37"/>
    <x v="1"/>
    <n v="28"/>
  </r>
  <r>
    <d v="2014-11-28T00:00:00"/>
    <d v="2014-12-20T00:00:00"/>
    <n v="8.65"/>
    <n v="0.23"/>
    <x v="2"/>
    <n v="22"/>
  </r>
  <r>
    <d v="2014-11-28T00:00:00"/>
    <d v="2014-12-15T00:00:00"/>
    <n v="19.54"/>
    <n v="0.51"/>
    <x v="1"/>
    <n v="17"/>
  </r>
  <r>
    <d v="2014-11-28T00:00:00"/>
    <d v="2014-12-21T00:00:00"/>
    <n v="8.83"/>
    <n v="0.23"/>
    <x v="2"/>
    <n v="23"/>
  </r>
  <r>
    <d v="2014-11-28T00:00:00"/>
    <d v="2014-12-21T00:00:00"/>
    <n v="5.64"/>
    <n v="0.15"/>
    <x v="4"/>
    <n v="23"/>
  </r>
  <r>
    <d v="2014-11-28T00:00:00"/>
    <d v="2014-12-22T00:00:00"/>
    <n v="8.89"/>
    <n v="0.23"/>
    <x v="3"/>
    <n v="24"/>
  </r>
  <r>
    <d v="2014-11-28T00:00:00"/>
    <d v="2014-12-08T00:00:00"/>
    <n v="16.829999999999998"/>
    <n v="0.44"/>
    <x v="2"/>
    <n v="10"/>
  </r>
  <r>
    <d v="2014-11-28T00:00:00"/>
    <d v="2014-12-09T00:00:00"/>
    <n v="11.42"/>
    <n v="0.3"/>
    <x v="2"/>
    <n v="11"/>
  </r>
  <r>
    <d v="2014-11-29T00:00:00"/>
    <d v="2014-12-06T00:00:00"/>
    <n v="5.64"/>
    <n v="0.15"/>
    <x v="4"/>
    <n v="7"/>
  </r>
  <r>
    <d v="2014-12-01T00:00:00"/>
    <d v="2014-12-12T00:00:00"/>
    <n v="8.7200000000000006"/>
    <n v="0.23"/>
    <x v="1"/>
    <n v="11"/>
  </r>
  <r>
    <d v="2014-12-01T00:00:00"/>
    <d v="2014-12-21T00:00:00"/>
    <n v="5.67"/>
    <n v="0.15"/>
    <x v="0"/>
    <n v="20"/>
  </r>
  <r>
    <d v="2014-12-01T00:00:00"/>
    <d v="2014-12-22T00:00:00"/>
    <n v="3.88"/>
    <n v="0.1"/>
    <x v="0"/>
    <n v="21"/>
  </r>
  <r>
    <d v="2014-12-01T00:00:00"/>
    <d v="2014-12-16T00:00:00"/>
    <n v="6.58"/>
    <n v="0.17"/>
    <x v="0"/>
    <n v="15"/>
  </r>
  <r>
    <d v="2014-12-01T00:00:00"/>
    <d v="2014-12-21T00:00:00"/>
    <n v="5.67"/>
    <n v="0.15"/>
    <x v="2"/>
    <n v="20"/>
  </r>
  <r>
    <d v="2014-12-01T00:00:00"/>
    <d v="2014-12-21T00:00:00"/>
    <n v="6.34"/>
    <n v="0.17"/>
    <x v="1"/>
    <n v="20"/>
  </r>
  <r>
    <d v="2014-12-01T00:00:00"/>
    <d v="2014-12-12T00:00:00"/>
    <n v="6.58"/>
    <n v="0.17"/>
    <x v="1"/>
    <n v="11"/>
  </r>
  <r>
    <d v="2014-12-02T00:00:00"/>
    <d v="2014-12-04T00:00:00"/>
    <n v="5.67"/>
    <n v="0.15"/>
    <x v="4"/>
    <n v="2"/>
  </r>
  <r>
    <d v="2014-12-02T00:00:00"/>
    <d v="2014-12-08T00:00:00"/>
    <n v="4.25"/>
    <n v="0.11"/>
    <x v="4"/>
    <n v="6"/>
  </r>
  <r>
    <d v="2014-12-02T00:00:00"/>
    <d v="2014-12-19T00:00:00"/>
    <n v="8.84"/>
    <n v="0.23"/>
    <x v="4"/>
    <n v="17"/>
  </r>
  <r>
    <d v="2014-12-02T00:00:00"/>
    <d v="2014-12-17T00:00:00"/>
    <n v="3.57"/>
    <n v="0.09"/>
    <x v="0"/>
    <n v="15"/>
  </r>
  <r>
    <d v="2014-12-02T00:00:00"/>
    <d v="2014-12-17T00:00:00"/>
    <n v="2.0099999999999998"/>
    <n v="0.05"/>
    <x v="2"/>
    <n v="15"/>
  </r>
  <r>
    <d v="2014-12-02T00:00:00"/>
    <d v="2014-12-19T00:00:00"/>
    <n v="3.73"/>
    <n v="0.1"/>
    <x v="4"/>
    <n v="17"/>
  </r>
  <r>
    <d v="2014-12-03T00:00:00"/>
    <d v="2014-12-05T00:00:00"/>
    <n v="3.57"/>
    <n v="0.09"/>
    <x v="0"/>
    <n v="2"/>
  </r>
  <r>
    <d v="2014-12-04T00:00:00"/>
    <d v="2014-12-20T00:00:00"/>
    <n v="6.58"/>
    <n v="0.17"/>
    <x v="3"/>
    <n v="16"/>
  </r>
  <r>
    <d v="2014-12-04T00:00:00"/>
    <d v="2015-01-01T00:00:00"/>
    <n v="5.64"/>
    <n v="0.15"/>
    <x v="1"/>
    <n v="28"/>
  </r>
  <r>
    <d v="2014-12-04T00:00:00"/>
    <d v="2014-12-16T00:00:00"/>
    <n v="3.88"/>
    <n v="0.1"/>
    <x v="2"/>
    <n v="12"/>
  </r>
  <r>
    <d v="2014-12-04T00:00:00"/>
    <d v="2014-12-27T00:00:00"/>
    <n v="3.79"/>
    <n v="0.1"/>
    <x v="1"/>
    <n v="23"/>
  </r>
  <r>
    <d v="2014-12-04T00:00:00"/>
    <d v="2014-12-11T00:00:00"/>
    <n v="11.37"/>
    <n v="0.3"/>
    <x v="2"/>
    <n v="7"/>
  </r>
  <r>
    <d v="2014-12-04T00:00:00"/>
    <d v="2014-12-21T00:00:00"/>
    <n v="16.55"/>
    <n v="0.44"/>
    <x v="1"/>
    <n v="17"/>
  </r>
  <r>
    <d v="2014-12-04T00:00:00"/>
    <d v="2014-12-28T00:00:00"/>
    <n v="6.88"/>
    <n v="0.18"/>
    <x v="3"/>
    <n v="24"/>
  </r>
  <r>
    <d v="2014-12-09T00:00:00"/>
    <d v="2014-12-28T00:00:00"/>
    <n v="5.64"/>
    <n v="0.15"/>
    <x v="3"/>
    <n v="19"/>
  </r>
  <r>
    <d v="2014-12-09T00:00:00"/>
    <d v="2014-12-31T00:00:00"/>
    <n v="3.57"/>
    <n v="0.09"/>
    <x v="3"/>
    <n v="22"/>
  </r>
  <r>
    <d v="2014-12-09T00:00:00"/>
    <d v="2015-01-03T00:00:00"/>
    <n v="9.4600000000000009"/>
    <n v="0.25"/>
    <x v="1"/>
    <n v="25"/>
  </r>
  <r>
    <d v="2014-12-09T00:00:00"/>
    <d v="2014-12-19T00:00:00"/>
    <n v="4.25"/>
    <n v="0.11"/>
    <x v="0"/>
    <n v="10"/>
  </r>
  <r>
    <d v="2014-12-09T00:00:00"/>
    <d v="2014-12-15T00:00:00"/>
    <n v="5.67"/>
    <n v="0.15"/>
    <x v="0"/>
    <n v="6"/>
  </r>
  <r>
    <d v="2014-12-09T00:00:00"/>
    <d v="2014-12-26T00:00:00"/>
    <n v="6.34"/>
    <n v="0.17"/>
    <x v="2"/>
    <n v="17"/>
  </r>
  <r>
    <d v="2014-12-09T00:00:00"/>
    <d v="2014-12-18T00:00:00"/>
    <n v="14.13"/>
    <n v="0.37"/>
    <x v="1"/>
    <n v="9"/>
  </r>
  <r>
    <d v="2014-12-09T00:00:00"/>
    <d v="2015-01-03T00:00:00"/>
    <n v="8.83"/>
    <n v="0.23"/>
    <x v="0"/>
    <n v="25"/>
  </r>
  <r>
    <d v="2014-12-09T00:00:00"/>
    <d v="2014-12-30T00:00:00"/>
    <n v="7.31"/>
    <n v="0.19"/>
    <x v="2"/>
    <n v="21"/>
  </r>
  <r>
    <d v="2014-12-09T00:00:00"/>
    <d v="2014-12-24T00:00:00"/>
    <n v="9.74"/>
    <n v="0.26"/>
    <x v="1"/>
    <n v="15"/>
  </r>
  <r>
    <d v="2014-12-09T00:00:00"/>
    <d v="2015-01-02T00:00:00"/>
    <n v="11.42"/>
    <n v="0.3"/>
    <x v="3"/>
    <n v="24"/>
  </r>
  <r>
    <d v="2014-12-09T00:00:00"/>
    <d v="2014-12-22T00:00:00"/>
    <n v="11.44"/>
    <n v="0.3"/>
    <x v="3"/>
    <n v="13"/>
  </r>
  <r>
    <d v="2014-12-09T00:00:00"/>
    <d v="2014-12-15T00:00:00"/>
    <n v="7.35"/>
    <n v="0.19"/>
    <x v="4"/>
    <n v="6"/>
  </r>
  <r>
    <d v="2014-12-09T00:00:00"/>
    <d v="2014-12-20T00:00:00"/>
    <n v="7.3"/>
    <n v="0.19"/>
    <x v="2"/>
    <n v="11"/>
  </r>
  <r>
    <d v="2014-12-09T00:00:00"/>
    <d v="2014-12-16T00:00:00"/>
    <n v="8.65"/>
    <n v="0.23"/>
    <x v="3"/>
    <n v="7"/>
  </r>
  <r>
    <d v="2014-12-09T00:00:00"/>
    <d v="2014-12-18T00:00:00"/>
    <n v="8.39"/>
    <n v="0.22"/>
    <x v="2"/>
    <n v="9"/>
  </r>
  <r>
    <d v="2014-12-09T00:00:00"/>
    <d v="2014-12-20T00:00:00"/>
    <n v="11.42"/>
    <n v="0.3"/>
    <x v="4"/>
    <n v="11"/>
  </r>
  <r>
    <d v="2014-12-09T00:00:00"/>
    <d v="2014-12-21T00:00:00"/>
    <n v="9.74"/>
    <n v="0.26"/>
    <x v="2"/>
    <n v="12"/>
  </r>
  <r>
    <d v="2014-12-09T00:00:00"/>
    <d v="2014-12-29T00:00:00"/>
    <n v="13.07"/>
    <n v="0.34"/>
    <x v="2"/>
    <n v="20"/>
  </r>
  <r>
    <d v="2014-12-09T00:00:00"/>
    <d v="2015-01-02T00:00:00"/>
    <n v="6.75"/>
    <n v="0.18"/>
    <x v="3"/>
    <n v="24"/>
  </r>
  <r>
    <d v="2014-12-09T00:00:00"/>
    <d v="2015-01-06T00:00:00"/>
    <n v="6.75"/>
    <n v="0.18"/>
    <x v="2"/>
    <n v="28"/>
  </r>
  <r>
    <d v="2014-12-10T00:00:00"/>
    <d v="2014-12-17T00:00:00"/>
    <n v="9.06"/>
    <n v="0.24"/>
    <x v="3"/>
    <n v="7"/>
  </r>
  <r>
    <d v="2014-12-10T00:00:00"/>
    <d v="2014-12-31T00:00:00"/>
    <n v="4.25"/>
    <n v="0.11"/>
    <x v="0"/>
    <n v="21"/>
  </r>
  <r>
    <d v="2014-12-10T00:00:00"/>
    <d v="2014-12-20T00:00:00"/>
    <n v="7.06"/>
    <n v="0.19"/>
    <x v="2"/>
    <n v="10"/>
  </r>
  <r>
    <d v="2014-12-10T00:00:00"/>
    <d v="2014-12-19T00:00:00"/>
    <n v="14.31"/>
    <n v="0.38"/>
    <x v="3"/>
    <n v="9"/>
  </r>
  <r>
    <d v="2014-12-10T00:00:00"/>
    <d v="2015-01-07T00:00:00"/>
    <n v="5.64"/>
    <n v="0.15"/>
    <x v="0"/>
    <n v="28"/>
  </r>
  <r>
    <d v="2014-12-10T00:00:00"/>
    <d v="2014-12-23T00:00:00"/>
    <n v="5.67"/>
    <n v="0.15"/>
    <x v="4"/>
    <n v="13"/>
  </r>
  <r>
    <d v="2014-12-10T00:00:00"/>
    <d v="2014-12-17T00:00:00"/>
    <n v="11.69"/>
    <n v="0.31"/>
    <x v="2"/>
    <n v="7"/>
  </r>
  <r>
    <d v="2014-12-10T00:00:00"/>
    <d v="2014-12-29T00:00:00"/>
    <n v="13.02"/>
    <n v="0.34"/>
    <x v="4"/>
    <n v="19"/>
  </r>
  <r>
    <d v="2014-12-10T00:00:00"/>
    <d v="2014-12-13T00:00:00"/>
    <n v="4.25"/>
    <n v="0.11"/>
    <x v="4"/>
    <n v="3"/>
  </r>
  <r>
    <d v="2014-12-10T00:00:00"/>
    <d v="2014-12-22T00:00:00"/>
    <n v="12.23"/>
    <n v="0.32"/>
    <x v="4"/>
    <n v="12"/>
  </r>
  <r>
    <d v="2014-12-10T00:00:00"/>
    <d v="2015-01-05T00:00:00"/>
    <n v="14.13"/>
    <n v="0.37"/>
    <x v="0"/>
    <n v="26"/>
  </r>
  <r>
    <d v="2014-12-10T00:00:00"/>
    <d v="2015-01-04T00:00:00"/>
    <n v="6.23"/>
    <n v="0.16"/>
    <x v="4"/>
    <n v="25"/>
  </r>
  <r>
    <d v="2014-12-10T00:00:00"/>
    <d v="2015-01-02T00:00:00"/>
    <n v="8.5399999999999991"/>
    <n v="0.22"/>
    <x v="2"/>
    <n v="23"/>
  </r>
  <r>
    <d v="2014-12-10T00:00:00"/>
    <d v="2014-12-28T00:00:00"/>
    <n v="7.55"/>
    <n v="0.2"/>
    <x v="2"/>
    <n v="18"/>
  </r>
  <r>
    <d v="2014-12-10T00:00:00"/>
    <d v="2014-12-16T00:00:00"/>
    <n v="14"/>
    <n v="0.37"/>
    <x v="3"/>
    <n v="6"/>
  </r>
  <r>
    <d v="2014-12-10T00:00:00"/>
    <d v="2014-12-13T00:00:00"/>
    <n v="13.02"/>
    <n v="0.34"/>
    <x v="2"/>
    <n v="3"/>
  </r>
  <r>
    <d v="2014-12-10T00:00:00"/>
    <d v="2015-01-05T00:00:00"/>
    <n v="8.39"/>
    <n v="0.22"/>
    <x v="1"/>
    <n v="26"/>
  </r>
  <r>
    <d v="2014-12-10T00:00:00"/>
    <d v="2014-12-17T00:00:00"/>
    <n v="5.23"/>
    <n v="0.14000000000000001"/>
    <x v="3"/>
    <n v="7"/>
  </r>
  <r>
    <d v="2014-12-10T00:00:00"/>
    <d v="2014-12-15T00:00:00"/>
    <n v="2.0099999999999998"/>
    <n v="0.05"/>
    <x v="2"/>
    <n v="5"/>
  </r>
  <r>
    <d v="2014-12-10T00:00:00"/>
    <d v="2015-01-04T00:00:00"/>
    <n v="7.06"/>
    <n v="0.19"/>
    <x v="0"/>
    <n v="25"/>
  </r>
  <r>
    <d v="2014-12-10T00:00:00"/>
    <d v="2014-12-31T00:00:00"/>
    <n v="19.54"/>
    <n v="0.51"/>
    <x v="4"/>
    <n v="21"/>
  </r>
  <r>
    <d v="2014-12-10T00:00:00"/>
    <d v="2014-12-20T00:00:00"/>
    <n v="5.23"/>
    <n v="0.14000000000000001"/>
    <x v="3"/>
    <n v="10"/>
  </r>
  <r>
    <d v="2014-12-11T00:00:00"/>
    <d v="2014-12-29T00:00:00"/>
    <n v="9.06"/>
    <n v="0.24"/>
    <x v="3"/>
    <n v="18"/>
  </r>
  <r>
    <d v="2014-12-11T00:00:00"/>
    <d v="2014-12-15T00:00:00"/>
    <n v="3.73"/>
    <n v="0.1"/>
    <x v="1"/>
    <n v="4"/>
  </r>
  <r>
    <d v="2014-12-12T00:00:00"/>
    <d v="2015-01-08T00:00:00"/>
    <n v="5.67"/>
    <n v="0.15"/>
    <x v="2"/>
    <n v="27"/>
  </r>
  <r>
    <d v="2014-12-12T00:00:00"/>
    <d v="2014-12-16T00:00:00"/>
    <n v="5.67"/>
    <n v="0.15"/>
    <x v="3"/>
    <n v="4"/>
  </r>
  <r>
    <d v="2014-12-12T00:00:00"/>
    <d v="2014-12-22T00:00:00"/>
    <n v="3.57"/>
    <n v="0.09"/>
    <x v="2"/>
    <n v="10"/>
  </r>
  <r>
    <d v="2014-12-12T00:00:00"/>
    <d v="2014-12-22T00:00:00"/>
    <n v="3.57"/>
    <n v="0.09"/>
    <x v="4"/>
    <n v="10"/>
  </r>
  <r>
    <d v="2014-12-12T00:00:00"/>
    <d v="2015-01-09T00:00:00"/>
    <n v="2.29"/>
    <n v="0.06"/>
    <x v="2"/>
    <n v="28"/>
  </r>
  <r>
    <d v="2014-12-12T00:00:00"/>
    <d v="2014-12-30T00:00:00"/>
    <n v="7.35"/>
    <n v="0.19"/>
    <x v="0"/>
    <n v="18"/>
  </r>
  <r>
    <d v="2014-12-12T00:00:00"/>
    <d v="2015-01-07T00:00:00"/>
    <n v="3.94"/>
    <n v="0.1"/>
    <x v="3"/>
    <n v="26"/>
  </r>
  <r>
    <d v="2014-12-12T00:00:00"/>
    <d v="2014-12-22T00:00:00"/>
    <n v="3.94"/>
    <n v="0.1"/>
    <x v="2"/>
    <n v="10"/>
  </r>
  <r>
    <d v="2014-12-12T00:00:00"/>
    <d v="2015-01-02T00:00:00"/>
    <n v="13.07"/>
    <n v="0.34"/>
    <x v="4"/>
    <n v="21"/>
  </r>
  <r>
    <d v="2014-12-13T00:00:00"/>
    <d v="2014-12-17T00:00:00"/>
    <n v="6.43"/>
    <n v="0.17"/>
    <x v="0"/>
    <n v="4"/>
  </r>
  <r>
    <d v="2014-12-13T00:00:00"/>
    <d v="2015-01-01T00:00:00"/>
    <n v="6.43"/>
    <n v="0.17"/>
    <x v="4"/>
    <n v="19"/>
  </r>
  <r>
    <d v="2014-12-14T00:00:00"/>
    <d v="2015-01-08T00:00:00"/>
    <n v="2.72"/>
    <n v="7.0000000000000007E-2"/>
    <x v="3"/>
    <n v="25"/>
  </r>
  <r>
    <d v="2014-12-14T00:00:00"/>
    <d v="2015-01-03T00:00:00"/>
    <n v="6.43"/>
    <n v="0.17"/>
    <x v="1"/>
    <n v="20"/>
  </r>
  <r>
    <d v="2014-12-15T00:00:00"/>
    <d v="2015-01-10T00:00:00"/>
    <n v="2.0099999999999998"/>
    <n v="0.05"/>
    <x v="4"/>
    <n v="26"/>
  </r>
  <r>
    <d v="2014-12-15T00:00:00"/>
    <d v="2015-01-01T00:00:00"/>
    <n v="2.72"/>
    <n v="7.0000000000000007E-2"/>
    <x v="2"/>
    <n v="17"/>
  </r>
  <r>
    <d v="2014-12-15T00:00:00"/>
    <d v="2014-12-23T00:00:00"/>
    <n v="2.0099999999999998"/>
    <n v="0.05"/>
    <x v="0"/>
    <n v="8"/>
  </r>
  <r>
    <d v="2014-12-16T00:00:00"/>
    <d v="2014-12-18T00:00:00"/>
    <n v="11.42"/>
    <n v="0.3"/>
    <x v="0"/>
    <n v="2"/>
  </r>
  <r>
    <d v="2014-12-16T00:00:00"/>
    <d v="2014-12-30T00:00:00"/>
    <n v="10.93"/>
    <n v="0.28999999999999998"/>
    <x v="4"/>
    <n v="14"/>
  </r>
  <r>
    <d v="2014-12-16T00:00:00"/>
    <d v="2014-12-24T00:00:00"/>
    <n v="9.06"/>
    <n v="0.24"/>
    <x v="2"/>
    <n v="8"/>
  </r>
  <r>
    <d v="2014-12-16T00:00:00"/>
    <d v="2014-12-25T00:00:00"/>
    <n v="5.67"/>
    <n v="0.15"/>
    <x v="4"/>
    <n v="9"/>
  </r>
  <r>
    <d v="2014-12-16T00:00:00"/>
    <d v="2015-01-11T00:00:00"/>
    <n v="3.57"/>
    <n v="0.09"/>
    <x v="3"/>
    <n v="26"/>
  </r>
  <r>
    <d v="2014-12-16T00:00:00"/>
    <d v="2015-01-07T00:00:00"/>
    <n v="3.79"/>
    <n v="0.1"/>
    <x v="0"/>
    <n v="22"/>
  </r>
  <r>
    <d v="2014-12-17T00:00:00"/>
    <d v="2014-12-23T00:00:00"/>
    <n v="4.66"/>
    <n v="0.12"/>
    <x v="4"/>
    <n v="6"/>
  </r>
  <r>
    <d v="2014-12-17T00:00:00"/>
    <d v="2014-12-31T00:00:00"/>
    <n v="6.43"/>
    <n v="0.17"/>
    <x v="1"/>
    <n v="14"/>
  </r>
  <r>
    <d v="2014-12-17T00:00:00"/>
    <d v="2014-12-25T00:00:00"/>
    <n v="6.58"/>
    <n v="0.17"/>
    <x v="3"/>
    <n v="8"/>
  </r>
  <r>
    <d v="2014-12-18T00:00:00"/>
    <d v="2014-12-25T00:00:00"/>
    <n v="4.66"/>
    <n v="0.12"/>
    <x v="1"/>
    <n v="7"/>
  </r>
  <r>
    <d v="2014-12-18T00:00:00"/>
    <d v="2014-12-30T00:00:00"/>
    <n v="4.66"/>
    <n v="0.12"/>
    <x v="0"/>
    <n v="12"/>
  </r>
  <r>
    <d v="2014-12-18T00:00:00"/>
    <d v="2014-12-26T00:00:00"/>
    <n v="3.73"/>
    <n v="0.1"/>
    <x v="0"/>
    <n v="8"/>
  </r>
  <r>
    <d v="2014-12-18T00:00:00"/>
    <d v="2014-12-22T00:00:00"/>
    <n v="4.25"/>
    <n v="0.11"/>
    <x v="3"/>
    <n v="4"/>
  </r>
  <r>
    <d v="2014-12-18T00:00:00"/>
    <d v="2015-01-10T00:00:00"/>
    <n v="6.34"/>
    <n v="0.17"/>
    <x v="0"/>
    <n v="23"/>
  </r>
  <r>
    <d v="2014-12-19T00:00:00"/>
    <d v="2015-01-12T00:00:00"/>
    <n v="2.0099999999999998"/>
    <n v="0.05"/>
    <x v="1"/>
    <n v="24"/>
  </r>
  <r>
    <d v="2014-12-19T00:00:00"/>
    <d v="2015-01-03T00:00:00"/>
    <n v="6.34"/>
    <n v="0.17"/>
    <x v="1"/>
    <n v="15"/>
  </r>
  <r>
    <d v="2014-12-20T00:00:00"/>
    <d v="2015-01-10T00:00:00"/>
    <n v="3.94"/>
    <n v="0.1"/>
    <x v="3"/>
    <n v="21"/>
  </r>
  <r>
    <d v="2014-12-20T00:00:00"/>
    <d v="2015-01-17T00:00:00"/>
    <n v="8.7200000000000006"/>
    <n v="0.23"/>
    <x v="3"/>
    <n v="28"/>
  </r>
  <r>
    <d v="2014-12-21T00:00:00"/>
    <d v="2015-01-08T00:00:00"/>
    <n v="5.67"/>
    <n v="0.15"/>
    <x v="1"/>
    <n v="18"/>
  </r>
  <r>
    <d v="2014-12-21T00:00:00"/>
    <d v="2015-01-17T00:00:00"/>
    <n v="6.58"/>
    <n v="0.17"/>
    <x v="0"/>
    <n v="27"/>
  </r>
  <r>
    <d v="2014-12-21T00:00:00"/>
    <d v="2015-01-18T00:00:00"/>
    <n v="8.7200000000000006"/>
    <n v="0.23"/>
    <x v="1"/>
    <n v="28"/>
  </r>
  <r>
    <d v="2014-12-21T00:00:00"/>
    <d v="2014-12-27T00:00:00"/>
    <n v="6.43"/>
    <n v="0.17"/>
    <x v="2"/>
    <n v="6"/>
  </r>
  <r>
    <d v="2014-12-21T00:00:00"/>
    <d v="2014-12-28T00:00:00"/>
    <n v="3.73"/>
    <n v="0.1"/>
    <x v="2"/>
    <n v="7"/>
  </r>
  <r>
    <d v="2014-12-21T00:00:00"/>
    <d v="2015-01-11T00:00:00"/>
    <n v="7.71"/>
    <n v="0.2"/>
    <x v="1"/>
    <n v="21"/>
  </r>
  <r>
    <d v="2014-12-21T00:00:00"/>
    <d v="2015-01-03T00:00:00"/>
    <n v="7.31"/>
    <n v="0.19"/>
    <x v="0"/>
    <n v="13"/>
  </r>
  <r>
    <d v="2014-12-21T00:00:00"/>
    <d v="2015-01-12T00:00:00"/>
    <n v="4.25"/>
    <n v="0.11"/>
    <x v="3"/>
    <n v="22"/>
  </r>
  <r>
    <d v="2014-12-22T00:00:00"/>
    <d v="2015-01-14T00:00:00"/>
    <n v="6.43"/>
    <n v="0.17"/>
    <x v="2"/>
    <n v="23"/>
  </r>
  <r>
    <d v="2014-12-22T00:00:00"/>
    <d v="2015-01-13T00:00:00"/>
    <n v="4.66"/>
    <n v="0.12"/>
    <x v="0"/>
    <n v="22"/>
  </r>
  <r>
    <d v="2014-12-22T00:00:00"/>
    <d v="2015-01-02T00:00:00"/>
    <n v="6.23"/>
    <n v="0.16"/>
    <x v="0"/>
    <n v="11"/>
  </r>
  <r>
    <d v="2014-12-22T00:00:00"/>
    <d v="2015-01-14T00:00:00"/>
    <n v="3.73"/>
    <n v="0.1"/>
    <x v="4"/>
    <n v="23"/>
  </r>
  <r>
    <d v="2014-12-22T00:00:00"/>
    <d v="2015-01-02T00:00:00"/>
    <n v="3.79"/>
    <n v="0.1"/>
    <x v="2"/>
    <n v="11"/>
  </r>
  <r>
    <d v="2014-12-22T00:00:00"/>
    <d v="2014-12-27T00:00:00"/>
    <n v="2.0099999999999998"/>
    <n v="0.05"/>
    <x v="1"/>
    <n v="5"/>
  </r>
  <r>
    <d v="2014-12-22T00:00:00"/>
    <d v="2014-12-30T00:00:00"/>
    <n v="6.43"/>
    <n v="0.17"/>
    <x v="4"/>
    <n v="8"/>
  </r>
  <r>
    <d v="2014-12-22T00:00:00"/>
    <d v="2015-01-18T00:00:00"/>
    <n v="2.72"/>
    <n v="7.0000000000000007E-2"/>
    <x v="4"/>
    <n v="27"/>
  </r>
  <r>
    <d v="2014-12-22T00:00:00"/>
    <d v="2015-01-01T00:00:00"/>
    <n v="9.06"/>
    <n v="0.24"/>
    <x v="4"/>
    <n v="10"/>
  </r>
  <r>
    <d v="2014-12-22T00:00:00"/>
    <d v="2015-01-03T00:00:00"/>
    <n v="5.67"/>
    <n v="0.15"/>
    <x v="4"/>
    <n v="12"/>
  </r>
  <r>
    <d v="2014-12-22T00:00:00"/>
    <d v="2015-01-05T00:00:00"/>
    <n v="4.25"/>
    <n v="0.11"/>
    <x v="1"/>
    <n v="14"/>
  </r>
  <r>
    <d v="2014-12-22T00:00:00"/>
    <d v="2015-01-05T00:00:00"/>
    <n v="3.57"/>
    <n v="0.09"/>
    <x v="2"/>
    <n v="14"/>
  </r>
  <r>
    <d v="2014-12-22T00:00:00"/>
    <d v="2015-01-04T00:00:00"/>
    <n v="8.39"/>
    <n v="0.22"/>
    <x v="0"/>
    <n v="13"/>
  </r>
  <r>
    <d v="2014-12-22T00:00:00"/>
    <d v="2015-01-17T00:00:00"/>
    <n v="2.29"/>
    <n v="0.06"/>
    <x v="0"/>
    <n v="26"/>
  </r>
  <r>
    <d v="2014-12-28T00:00:00"/>
    <d v="2015-01-06T00:00:00"/>
    <n v="3.79"/>
    <n v="0.1"/>
    <x v="3"/>
    <n v="9"/>
  </r>
  <r>
    <d v="2014-12-28T00:00:00"/>
    <d v="2015-01-02T00:00:00"/>
    <n v="7.55"/>
    <n v="0.2"/>
    <x v="4"/>
    <n v="5"/>
  </r>
  <r>
    <d v="2014-12-29T00:00:00"/>
    <d v="2015-01-24T00:00:00"/>
    <n v="7.71"/>
    <n v="0.2"/>
    <x v="1"/>
    <n v="26"/>
  </r>
  <r>
    <d v="2014-12-29T00:00:00"/>
    <d v="2014-12-31T00:00:00"/>
    <n v="6.34"/>
    <n v="0.17"/>
    <x v="3"/>
    <n v="2"/>
  </r>
  <r>
    <d v="2014-12-29T00:00:00"/>
    <d v="2015-01-08T00:00:00"/>
    <n v="6.58"/>
    <n v="0.17"/>
    <x v="2"/>
    <n v="10"/>
  </r>
  <r>
    <d v="2014-12-29T00:00:00"/>
    <d v="2015-01-24T00:00:00"/>
    <n v="6.34"/>
    <n v="0.17"/>
    <x v="1"/>
    <n v="26"/>
  </r>
  <r>
    <d v="2014-12-29T00:00:00"/>
    <d v="2015-01-15T00:00:00"/>
    <n v="5.67"/>
    <n v="0.15"/>
    <x v="3"/>
    <n v="17"/>
  </r>
  <r>
    <d v="2014-12-29T00:00:00"/>
    <d v="2015-01-05T00:00:00"/>
    <n v="4.25"/>
    <n v="0.11"/>
    <x v="3"/>
    <n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14-01-02T00:00:00"/>
    <d v="2014-01-11T00:00:00"/>
    <n v="39.35"/>
    <n v="1.04"/>
    <x v="0"/>
    <n v="9"/>
    <n v="40.39"/>
    <n v="450"/>
    <n v="490.39"/>
  </r>
  <r>
    <d v="2014-01-02T00:00:00"/>
    <d v="2014-01-23T00:00:00"/>
    <n v="3.79"/>
    <n v="0.1"/>
    <x v="1"/>
    <n v="21"/>
    <n v="3.89"/>
    <n v="1260"/>
    <n v="1263.8900000000001"/>
  </r>
  <r>
    <d v="2014-01-02T00:00:00"/>
    <d v="2014-01-14T00:00:00"/>
    <n v="3.88"/>
    <n v="0.1"/>
    <x v="1"/>
    <n v="12"/>
    <n v="3.98"/>
    <n v="720"/>
    <n v="723.98"/>
  </r>
  <r>
    <d v="2014-01-02T00:00:00"/>
    <d v="2014-01-22T00:00:00"/>
    <n v="6.43"/>
    <n v="0.17"/>
    <x v="0"/>
    <n v="20"/>
    <n v="6.6"/>
    <n v="1000"/>
    <n v="1006.6"/>
  </r>
  <r>
    <d v="2014-01-02T00:00:00"/>
    <d v="2014-01-27T00:00:00"/>
    <n v="8.39"/>
    <n v="0.22"/>
    <x v="2"/>
    <n v="25"/>
    <n v="8.6100000000000012"/>
    <n v="500"/>
    <n v="508.61"/>
  </r>
  <r>
    <d v="2014-01-02T00:00:00"/>
    <d v="2014-01-30T00:00:00"/>
    <n v="11.42"/>
    <n v="0.3"/>
    <x v="2"/>
    <n v="28"/>
    <n v="11.72"/>
    <n v="560"/>
    <n v="571.72"/>
  </r>
  <r>
    <d v="2014-01-03T00:00:00"/>
    <d v="2014-01-31T00:00:00"/>
    <n v="5.64"/>
    <n v="0.15"/>
    <x v="0"/>
    <n v="28"/>
    <n v="5.79"/>
    <n v="1400"/>
    <n v="1405.79"/>
  </r>
  <r>
    <d v="2014-01-03T00:00:00"/>
    <d v="2014-01-06T00:00:00"/>
    <n v="10.59"/>
    <n v="0.28000000000000003"/>
    <x v="0"/>
    <n v="3"/>
    <n v="10.87"/>
    <n v="150"/>
    <n v="160.87"/>
  </r>
  <r>
    <d v="2014-01-03T00:00:00"/>
    <d v="2014-01-30T00:00:00"/>
    <n v="4.25"/>
    <n v="0.11"/>
    <x v="2"/>
    <n v="27"/>
    <n v="4.3600000000000003"/>
    <n v="540"/>
    <n v="544.36"/>
  </r>
  <r>
    <d v="2014-01-03T00:00:00"/>
    <d v="2014-01-21T00:00:00"/>
    <n v="5.64"/>
    <n v="0.15"/>
    <x v="3"/>
    <n v="18"/>
    <n v="5.79"/>
    <n v="720"/>
    <n v="725.79"/>
  </r>
  <r>
    <d v="2014-01-03T00:00:00"/>
    <d v="2014-01-30T00:00:00"/>
    <n v="5.78"/>
    <n v="0.15"/>
    <x v="0"/>
    <n v="27"/>
    <n v="5.9300000000000006"/>
    <n v="1350"/>
    <n v="1355.93"/>
  </r>
  <r>
    <d v="2014-01-03T00:00:00"/>
    <d v="2014-01-30T00:00:00"/>
    <n v="2.29"/>
    <n v="0.06"/>
    <x v="3"/>
    <n v="27"/>
    <n v="2.35"/>
    <n v="1080"/>
    <n v="1082.3499999999999"/>
  </r>
  <r>
    <d v="2014-01-03T00:00:00"/>
    <d v="2014-01-26T00:00:00"/>
    <n v="5.23"/>
    <n v="0.14000000000000001"/>
    <x v="2"/>
    <n v="23"/>
    <n v="5.37"/>
    <n v="460"/>
    <n v="465.37"/>
  </r>
  <r>
    <d v="2014-01-03T00:00:00"/>
    <d v="2014-01-10T00:00:00"/>
    <n v="5.67"/>
    <n v="0.15"/>
    <x v="2"/>
    <n v="7"/>
    <n v="5.82"/>
    <n v="140"/>
    <n v="145.82"/>
  </r>
  <r>
    <d v="2014-01-04T00:00:00"/>
    <d v="2014-01-10T00:00:00"/>
    <n v="5.64"/>
    <n v="0.15"/>
    <x v="2"/>
    <n v="6"/>
    <n v="5.79"/>
    <n v="120"/>
    <n v="125.79"/>
  </r>
  <r>
    <d v="2014-01-04T00:00:00"/>
    <d v="2014-01-11T00:00:00"/>
    <n v="4.25"/>
    <n v="0.11"/>
    <x v="3"/>
    <n v="7"/>
    <n v="4.3600000000000003"/>
    <n v="280"/>
    <n v="284.36"/>
  </r>
  <r>
    <d v="2014-01-04T00:00:00"/>
    <d v="2014-01-21T00:00:00"/>
    <n v="6.58"/>
    <n v="0.17"/>
    <x v="1"/>
    <n v="17"/>
    <n v="6.75"/>
    <n v="1020"/>
    <n v="1026.75"/>
  </r>
  <r>
    <d v="2014-01-05T00:00:00"/>
    <d v="2014-01-22T00:00:00"/>
    <n v="6.43"/>
    <n v="0.17"/>
    <x v="4"/>
    <n v="17"/>
    <n v="6.6"/>
    <n v="510"/>
    <n v="516.6"/>
  </r>
  <r>
    <d v="2014-01-05T00:00:00"/>
    <d v="2014-01-23T00:00:00"/>
    <n v="5.67"/>
    <n v="0.15"/>
    <x v="0"/>
    <n v="18"/>
    <n v="5.82"/>
    <n v="900"/>
    <n v="905.82"/>
  </r>
  <r>
    <d v="2014-01-06T00:00:00"/>
    <d v="2014-01-15T00:00:00"/>
    <n v="4.66"/>
    <n v="0.12"/>
    <x v="2"/>
    <n v="9"/>
    <n v="4.78"/>
    <n v="180"/>
    <n v="184.78"/>
  </r>
  <r>
    <d v="2014-01-07T00:00:00"/>
    <d v="2014-01-24T00:00:00"/>
    <n v="2.0099999999999998"/>
    <n v="0.05"/>
    <x v="3"/>
    <n v="17"/>
    <n v="2.0599999999999996"/>
    <n v="680"/>
    <n v="682.06"/>
  </r>
  <r>
    <d v="2014-01-07T00:00:00"/>
    <d v="2014-01-31T00:00:00"/>
    <n v="3.57"/>
    <n v="0.09"/>
    <x v="4"/>
    <n v="24"/>
    <n v="3.6599999999999997"/>
    <n v="720"/>
    <n v="723.66"/>
  </r>
  <r>
    <d v="2014-01-07T00:00:00"/>
    <d v="2014-01-10T00:00:00"/>
    <n v="2.29"/>
    <n v="0.06"/>
    <x v="0"/>
    <n v="3"/>
    <n v="2.35"/>
    <n v="150"/>
    <n v="152.35"/>
  </r>
  <r>
    <d v="2014-01-07T00:00:00"/>
    <d v="2014-01-10T00:00:00"/>
    <n v="2.72"/>
    <n v="7.0000000000000007E-2"/>
    <x v="3"/>
    <n v="3"/>
    <n v="2.79"/>
    <n v="120"/>
    <n v="122.79"/>
  </r>
  <r>
    <d v="2014-01-07T00:00:00"/>
    <d v="2014-01-12T00:00:00"/>
    <n v="3.73"/>
    <n v="0.1"/>
    <x v="4"/>
    <n v="5"/>
    <n v="3.83"/>
    <n v="150"/>
    <n v="153.83000000000001"/>
  </r>
  <r>
    <d v="2014-01-08T00:00:00"/>
    <d v="2014-01-26T00:00:00"/>
    <n v="6.58"/>
    <n v="0.17"/>
    <x v="4"/>
    <n v="18"/>
    <n v="6.75"/>
    <n v="540"/>
    <n v="546.75"/>
  </r>
  <r>
    <d v="2014-01-08T00:00:00"/>
    <d v="2014-01-25T00:00:00"/>
    <n v="6.58"/>
    <n v="0.17"/>
    <x v="2"/>
    <n v="17"/>
    <n v="6.75"/>
    <n v="340"/>
    <n v="346.75"/>
  </r>
  <r>
    <d v="2014-01-08T00:00:00"/>
    <d v="2014-01-19T00:00:00"/>
    <n v="5.67"/>
    <n v="0.15"/>
    <x v="0"/>
    <n v="11"/>
    <n v="5.82"/>
    <n v="550"/>
    <n v="555.82000000000005"/>
  </r>
  <r>
    <d v="2014-01-09T00:00:00"/>
    <d v="2014-02-04T00:00:00"/>
    <n v="9.1300000000000008"/>
    <n v="0.24"/>
    <x v="2"/>
    <n v="26"/>
    <n v="9.370000000000001"/>
    <n v="520"/>
    <n v="529.37"/>
  </r>
  <r>
    <d v="2014-01-09T00:00:00"/>
    <d v="2014-01-19T00:00:00"/>
    <n v="14.31"/>
    <n v="0.38"/>
    <x v="1"/>
    <n v="10"/>
    <n v="14.690000000000001"/>
    <n v="600"/>
    <n v="614.69000000000005"/>
  </r>
  <r>
    <d v="2014-01-09T00:00:00"/>
    <d v="2014-02-05T00:00:00"/>
    <n v="3.79"/>
    <n v="0.1"/>
    <x v="0"/>
    <n v="27"/>
    <n v="3.89"/>
    <n v="1350"/>
    <n v="1353.89"/>
  </r>
  <r>
    <d v="2014-01-09T00:00:00"/>
    <d v="2014-01-27T00:00:00"/>
    <n v="6.23"/>
    <n v="0.16"/>
    <x v="0"/>
    <n v="18"/>
    <n v="6.3900000000000006"/>
    <n v="900"/>
    <n v="906.39"/>
  </r>
  <r>
    <d v="2014-01-10T00:00:00"/>
    <d v="2014-01-20T00:00:00"/>
    <n v="3.57"/>
    <n v="0.09"/>
    <x v="1"/>
    <n v="10"/>
    <n v="3.6599999999999997"/>
    <n v="600"/>
    <n v="603.66"/>
  </r>
  <r>
    <d v="2014-01-10T00:00:00"/>
    <d v="2014-01-13T00:00:00"/>
    <n v="5.67"/>
    <n v="0.15"/>
    <x v="1"/>
    <n v="3"/>
    <n v="5.82"/>
    <n v="180"/>
    <n v="185.82"/>
  </r>
  <r>
    <d v="2014-01-10T00:00:00"/>
    <d v="2014-01-28T00:00:00"/>
    <n v="8.7200000000000006"/>
    <n v="0.23"/>
    <x v="0"/>
    <n v="18"/>
    <n v="8.9500000000000011"/>
    <n v="900"/>
    <n v="908.95"/>
  </r>
  <r>
    <d v="2014-01-10T00:00:00"/>
    <d v="2014-01-15T00:00:00"/>
    <n v="4.66"/>
    <n v="0.12"/>
    <x v="4"/>
    <n v="5"/>
    <n v="4.78"/>
    <n v="150"/>
    <n v="154.78"/>
  </r>
  <r>
    <d v="2014-01-12T00:00:00"/>
    <d v="2014-01-20T00:00:00"/>
    <n v="5.67"/>
    <n v="0.15"/>
    <x v="4"/>
    <n v="8"/>
    <n v="5.82"/>
    <n v="240"/>
    <n v="245.82"/>
  </r>
  <r>
    <d v="2014-01-13T00:00:00"/>
    <d v="2014-01-15T00:00:00"/>
    <n v="7.06"/>
    <n v="0.19"/>
    <x v="2"/>
    <n v="2"/>
    <n v="7.25"/>
    <n v="40"/>
    <n v="47.25"/>
  </r>
  <r>
    <d v="2014-01-13T00:00:00"/>
    <d v="2014-01-22T00:00:00"/>
    <n v="5.67"/>
    <n v="0.15"/>
    <x v="0"/>
    <n v="9"/>
    <n v="5.82"/>
    <n v="450"/>
    <n v="455.82"/>
  </r>
  <r>
    <d v="2014-01-13T00:00:00"/>
    <d v="2014-02-01T00:00:00"/>
    <n v="6.34"/>
    <n v="0.17"/>
    <x v="4"/>
    <n v="19"/>
    <n v="6.51"/>
    <n v="570"/>
    <n v="576.51"/>
  </r>
  <r>
    <d v="2014-01-13T00:00:00"/>
    <d v="2014-01-17T00:00:00"/>
    <n v="7.31"/>
    <n v="0.19"/>
    <x v="4"/>
    <n v="4"/>
    <n v="7.5"/>
    <n v="120"/>
    <n v="127.5"/>
  </r>
  <r>
    <d v="2014-01-13T00:00:00"/>
    <d v="2014-01-29T00:00:00"/>
    <n v="6.75"/>
    <n v="0.18"/>
    <x v="4"/>
    <n v="16"/>
    <n v="6.93"/>
    <n v="480"/>
    <n v="486.93"/>
  </r>
  <r>
    <d v="2014-01-13T00:00:00"/>
    <d v="2014-02-10T00:00:00"/>
    <n v="3.57"/>
    <n v="0.09"/>
    <x v="2"/>
    <n v="28"/>
    <n v="3.6599999999999997"/>
    <n v="560"/>
    <n v="563.66"/>
  </r>
  <r>
    <d v="2014-01-14T00:00:00"/>
    <d v="2014-01-25T00:00:00"/>
    <n v="8.5399999999999991"/>
    <n v="0.22"/>
    <x v="2"/>
    <n v="11"/>
    <n v="8.76"/>
    <n v="220"/>
    <n v="228.76"/>
  </r>
  <r>
    <d v="2014-01-14T00:00:00"/>
    <d v="2014-01-16T00:00:00"/>
    <n v="8.9499999999999993"/>
    <n v="0.24"/>
    <x v="3"/>
    <n v="2"/>
    <n v="9.19"/>
    <n v="80"/>
    <n v="89.19"/>
  </r>
  <r>
    <d v="2014-01-14T00:00:00"/>
    <d v="2014-02-07T00:00:00"/>
    <n v="6.34"/>
    <n v="0.17"/>
    <x v="1"/>
    <n v="24"/>
    <n v="6.51"/>
    <n v="1440"/>
    <n v="1446.51"/>
  </r>
  <r>
    <d v="2014-01-14T00:00:00"/>
    <d v="2014-02-02T00:00:00"/>
    <n v="12.23"/>
    <n v="0.32"/>
    <x v="4"/>
    <n v="19"/>
    <n v="12.55"/>
    <n v="570"/>
    <n v="582.54999999999995"/>
  </r>
  <r>
    <d v="2014-01-14T00:00:00"/>
    <d v="2014-01-29T00:00:00"/>
    <n v="8.7200000000000006"/>
    <n v="0.23"/>
    <x v="0"/>
    <n v="15"/>
    <n v="8.9500000000000011"/>
    <n v="750"/>
    <n v="758.95"/>
  </r>
  <r>
    <d v="2014-01-14T00:00:00"/>
    <d v="2014-02-01T00:00:00"/>
    <n v="16.55"/>
    <n v="0.44"/>
    <x v="1"/>
    <n v="18"/>
    <n v="16.990000000000002"/>
    <n v="1080"/>
    <n v="1096.99"/>
  </r>
  <r>
    <d v="2014-01-14T00:00:00"/>
    <d v="2014-01-17T00:00:00"/>
    <n v="7.55"/>
    <n v="0.2"/>
    <x v="2"/>
    <n v="3"/>
    <n v="7.75"/>
    <n v="60"/>
    <n v="67.75"/>
  </r>
  <r>
    <d v="2014-01-14T00:00:00"/>
    <d v="2014-01-29T00:00:00"/>
    <n v="5.78"/>
    <n v="0.15"/>
    <x v="2"/>
    <n v="15"/>
    <n v="5.9300000000000006"/>
    <n v="300"/>
    <n v="305.93"/>
  </r>
  <r>
    <d v="2014-01-14T00:00:00"/>
    <d v="2014-01-19T00:00:00"/>
    <n v="8.83"/>
    <n v="0.23"/>
    <x v="4"/>
    <n v="5"/>
    <n v="9.06"/>
    <n v="150"/>
    <n v="159.06"/>
  </r>
  <r>
    <d v="2014-01-14T00:00:00"/>
    <d v="2014-01-16T00:00:00"/>
    <n v="8.89"/>
    <n v="0.23"/>
    <x v="3"/>
    <n v="2"/>
    <n v="9.120000000000001"/>
    <n v="80"/>
    <n v="89.12"/>
  </r>
  <r>
    <d v="2014-01-14T00:00:00"/>
    <d v="2014-01-18T00:00:00"/>
    <n v="2.72"/>
    <n v="7.0000000000000007E-2"/>
    <x v="1"/>
    <n v="4"/>
    <n v="2.79"/>
    <n v="240"/>
    <n v="242.79"/>
  </r>
  <r>
    <d v="2014-01-14T00:00:00"/>
    <d v="2014-02-05T00:00:00"/>
    <n v="11.42"/>
    <n v="0.3"/>
    <x v="2"/>
    <n v="22"/>
    <n v="11.72"/>
    <n v="440"/>
    <n v="451.72"/>
  </r>
  <r>
    <d v="2014-01-14T00:00:00"/>
    <d v="2014-02-05T00:00:00"/>
    <n v="5.23"/>
    <n v="0.14000000000000001"/>
    <x v="2"/>
    <n v="22"/>
    <n v="5.37"/>
    <n v="440"/>
    <n v="445.37"/>
  </r>
  <r>
    <d v="2014-01-14T00:00:00"/>
    <d v="2014-01-18T00:00:00"/>
    <n v="6.58"/>
    <n v="0.17"/>
    <x v="3"/>
    <n v="4"/>
    <n v="6.75"/>
    <n v="160"/>
    <n v="166.75"/>
  </r>
  <r>
    <d v="2014-01-14T00:00:00"/>
    <d v="2014-02-09T00:00:00"/>
    <n v="9.74"/>
    <n v="0.26"/>
    <x v="3"/>
    <n v="26"/>
    <n v="10"/>
    <n v="1040"/>
    <n v="1050"/>
  </r>
  <r>
    <d v="2014-01-14T00:00:00"/>
    <d v="2014-01-20T00:00:00"/>
    <n v="6.75"/>
    <n v="0.18"/>
    <x v="1"/>
    <n v="6"/>
    <n v="6.93"/>
    <n v="360"/>
    <n v="366.93"/>
  </r>
  <r>
    <d v="2014-01-14T00:00:00"/>
    <d v="2014-02-01T00:00:00"/>
    <n v="16.829999999999998"/>
    <n v="0.44"/>
    <x v="3"/>
    <n v="18"/>
    <n v="17.27"/>
    <n v="720"/>
    <n v="737.27"/>
  </r>
  <r>
    <d v="2014-01-14T00:00:00"/>
    <d v="2014-02-06T00:00:00"/>
    <n v="10.79"/>
    <n v="0.28000000000000003"/>
    <x v="4"/>
    <n v="23"/>
    <n v="11.069999999999999"/>
    <n v="690"/>
    <n v="701.07"/>
  </r>
  <r>
    <d v="2014-01-14T00:00:00"/>
    <d v="2014-01-30T00:00:00"/>
    <n v="10.19"/>
    <n v="0.27"/>
    <x v="0"/>
    <n v="16"/>
    <n v="10.459999999999999"/>
    <n v="800"/>
    <n v="810.46"/>
  </r>
  <r>
    <d v="2014-01-14T00:00:00"/>
    <d v="2014-02-08T00:00:00"/>
    <n v="10.93"/>
    <n v="0.28999999999999998"/>
    <x v="1"/>
    <n v="25"/>
    <n v="11.219999999999999"/>
    <n v="1500"/>
    <n v="1511.22"/>
  </r>
  <r>
    <d v="2014-01-15T00:00:00"/>
    <d v="2014-01-22T00:00:00"/>
    <n v="9.74"/>
    <n v="0.26"/>
    <x v="0"/>
    <n v="7"/>
    <n v="10"/>
    <n v="350"/>
    <n v="360"/>
  </r>
  <r>
    <d v="2014-01-15T00:00:00"/>
    <d v="2014-01-30T00:00:00"/>
    <n v="14.31"/>
    <n v="0.38"/>
    <x v="1"/>
    <n v="15"/>
    <n v="14.690000000000001"/>
    <n v="900"/>
    <n v="914.69"/>
  </r>
  <r>
    <d v="2014-01-15T00:00:00"/>
    <d v="2014-01-24T00:00:00"/>
    <n v="7.35"/>
    <n v="0.19"/>
    <x v="3"/>
    <n v="9"/>
    <n v="7.54"/>
    <n v="360"/>
    <n v="367.54"/>
  </r>
  <r>
    <d v="2014-01-15T00:00:00"/>
    <d v="2014-01-31T00:00:00"/>
    <n v="9.74"/>
    <n v="0.26"/>
    <x v="0"/>
    <n v="16"/>
    <n v="10"/>
    <n v="800"/>
    <n v="810"/>
  </r>
  <r>
    <d v="2014-01-15T00:00:00"/>
    <d v="2014-01-27T00:00:00"/>
    <n v="14.13"/>
    <n v="0.37"/>
    <x v="2"/>
    <n v="12"/>
    <n v="14.5"/>
    <n v="240"/>
    <n v="254.5"/>
  </r>
  <r>
    <d v="2014-01-15T00:00:00"/>
    <d v="2014-01-19T00:00:00"/>
    <n v="12.01"/>
    <n v="0.32"/>
    <x v="4"/>
    <n v="4"/>
    <n v="12.33"/>
    <n v="120"/>
    <n v="132.33000000000001"/>
  </r>
  <r>
    <d v="2014-01-15T00:00:00"/>
    <d v="2014-01-30T00:00:00"/>
    <n v="13.07"/>
    <n v="0.34"/>
    <x v="1"/>
    <n v="15"/>
    <n v="13.41"/>
    <n v="900"/>
    <n v="913.41"/>
  </r>
  <r>
    <d v="2014-01-15T00:00:00"/>
    <d v="2014-01-20T00:00:00"/>
    <n v="14"/>
    <n v="0.37"/>
    <x v="0"/>
    <n v="5"/>
    <n v="14.37"/>
    <n v="250"/>
    <n v="264.37"/>
  </r>
  <r>
    <d v="2014-01-15T00:00:00"/>
    <d v="2014-02-01T00:00:00"/>
    <n v="13.02"/>
    <n v="0.34"/>
    <x v="2"/>
    <n v="17"/>
    <n v="13.36"/>
    <n v="340"/>
    <n v="353.36"/>
  </r>
  <r>
    <d v="2014-01-15T00:00:00"/>
    <d v="2014-01-19T00:00:00"/>
    <n v="6.75"/>
    <n v="0.18"/>
    <x v="0"/>
    <n v="4"/>
    <n v="6.93"/>
    <n v="200"/>
    <n v="206.93"/>
  </r>
  <r>
    <d v="2014-01-15T00:00:00"/>
    <d v="2014-01-31T00:00:00"/>
    <n v="3.88"/>
    <n v="0.1"/>
    <x v="2"/>
    <n v="16"/>
    <n v="3.98"/>
    <n v="320"/>
    <n v="323.98"/>
  </r>
  <r>
    <d v="2014-01-15T00:00:00"/>
    <d v="2014-01-18T00:00:00"/>
    <n v="4.66"/>
    <n v="0.12"/>
    <x v="1"/>
    <n v="3"/>
    <n v="4.78"/>
    <n v="180"/>
    <n v="184.78"/>
  </r>
  <r>
    <d v="2014-01-15T00:00:00"/>
    <d v="2014-01-22T00:00:00"/>
    <n v="2.29"/>
    <n v="0.06"/>
    <x v="3"/>
    <n v="7"/>
    <n v="2.35"/>
    <n v="280"/>
    <n v="282.35000000000002"/>
  </r>
  <r>
    <d v="2014-01-15T00:00:00"/>
    <d v="2014-01-26T00:00:00"/>
    <n v="7.31"/>
    <n v="0.19"/>
    <x v="1"/>
    <n v="11"/>
    <n v="7.5"/>
    <n v="660"/>
    <n v="667.5"/>
  </r>
  <r>
    <d v="2014-01-15T00:00:00"/>
    <d v="2014-02-12T00:00:00"/>
    <n v="6.23"/>
    <n v="0.16"/>
    <x v="1"/>
    <n v="28"/>
    <n v="6.3900000000000006"/>
    <n v="1680"/>
    <n v="1686.39"/>
  </r>
  <r>
    <d v="2014-01-15T00:00:00"/>
    <d v="2014-01-24T00:00:00"/>
    <n v="3.88"/>
    <n v="0.1"/>
    <x v="2"/>
    <n v="9"/>
    <n v="3.98"/>
    <n v="180"/>
    <n v="183.98"/>
  </r>
  <r>
    <d v="2014-01-15T00:00:00"/>
    <d v="2014-01-23T00:00:00"/>
    <n v="8.51"/>
    <n v="0.22"/>
    <x v="2"/>
    <n v="8"/>
    <n v="8.73"/>
    <n v="160"/>
    <n v="168.73"/>
  </r>
  <r>
    <d v="2014-01-15T00:00:00"/>
    <d v="2014-01-18T00:00:00"/>
    <n v="8.51"/>
    <n v="0.22"/>
    <x v="3"/>
    <n v="3"/>
    <n v="8.73"/>
    <n v="120"/>
    <n v="128.72999999999999"/>
  </r>
  <r>
    <d v="2014-01-15T00:00:00"/>
    <d v="2014-02-06T00:00:00"/>
    <n v="9.1300000000000008"/>
    <n v="0.24"/>
    <x v="2"/>
    <n v="22"/>
    <n v="9.370000000000001"/>
    <n v="440"/>
    <n v="449.37"/>
  </r>
  <r>
    <d v="2014-01-15T00:00:00"/>
    <d v="2014-01-19T00:00:00"/>
    <n v="3.88"/>
    <n v="0.1"/>
    <x v="2"/>
    <n v="4"/>
    <n v="3.98"/>
    <n v="80"/>
    <n v="83.98"/>
  </r>
  <r>
    <d v="2014-01-15T00:00:00"/>
    <d v="2014-02-05T00:00:00"/>
    <n v="11.42"/>
    <n v="0.3"/>
    <x v="2"/>
    <n v="21"/>
    <n v="11.72"/>
    <n v="420"/>
    <n v="431.72"/>
  </r>
  <r>
    <d v="2014-01-15T00:00:00"/>
    <d v="2014-01-22T00:00:00"/>
    <n v="16.829999999999998"/>
    <n v="0.44"/>
    <x v="3"/>
    <n v="7"/>
    <n v="17.27"/>
    <n v="280"/>
    <n v="297.27"/>
  </r>
  <r>
    <d v="2014-01-17T00:00:00"/>
    <d v="2014-02-04T00:00:00"/>
    <n v="5.67"/>
    <n v="0.15"/>
    <x v="2"/>
    <n v="18"/>
    <n v="5.82"/>
    <n v="360"/>
    <n v="365.82"/>
  </r>
  <r>
    <d v="2014-01-17T00:00:00"/>
    <d v="2014-01-28T00:00:00"/>
    <n v="5.67"/>
    <n v="0.15"/>
    <x v="4"/>
    <n v="11"/>
    <n v="5.82"/>
    <n v="330"/>
    <n v="335.82"/>
  </r>
  <r>
    <d v="2014-01-17T00:00:00"/>
    <d v="2014-01-27T00:00:00"/>
    <n v="2.0099999999999998"/>
    <n v="0.05"/>
    <x v="0"/>
    <n v="10"/>
    <n v="2.0599999999999996"/>
    <n v="500"/>
    <n v="502.06"/>
  </r>
  <r>
    <d v="2014-01-17T00:00:00"/>
    <d v="2014-02-08T00:00:00"/>
    <n v="2.0099999999999998"/>
    <n v="0.05"/>
    <x v="0"/>
    <n v="22"/>
    <n v="2.0599999999999996"/>
    <n v="1100"/>
    <n v="1102.06"/>
  </r>
  <r>
    <d v="2014-01-18T00:00:00"/>
    <d v="2014-01-30T00:00:00"/>
    <n v="6.43"/>
    <n v="0.17"/>
    <x v="0"/>
    <n v="12"/>
    <n v="6.6"/>
    <n v="600"/>
    <n v="606.6"/>
  </r>
  <r>
    <d v="2014-01-18T00:00:00"/>
    <d v="2014-01-27T00:00:00"/>
    <n v="3.88"/>
    <n v="0.1"/>
    <x v="0"/>
    <n v="9"/>
    <n v="3.98"/>
    <n v="450"/>
    <n v="453.98"/>
  </r>
  <r>
    <d v="2014-01-18T00:00:00"/>
    <d v="2014-01-22T00:00:00"/>
    <n v="8.7200000000000006"/>
    <n v="0.23"/>
    <x v="3"/>
    <n v="4"/>
    <n v="8.9500000000000011"/>
    <n v="160"/>
    <n v="168.95"/>
  </r>
  <r>
    <d v="2014-01-19T00:00:00"/>
    <d v="2014-02-15T00:00:00"/>
    <n v="6.58"/>
    <n v="0.17"/>
    <x v="0"/>
    <n v="27"/>
    <n v="6.75"/>
    <n v="1350"/>
    <n v="1356.75"/>
  </r>
  <r>
    <d v="2014-01-19T00:00:00"/>
    <d v="2014-02-15T00:00:00"/>
    <n v="6.43"/>
    <n v="0.17"/>
    <x v="2"/>
    <n v="27"/>
    <n v="6.6"/>
    <n v="540"/>
    <n v="546.6"/>
  </r>
  <r>
    <d v="2014-01-21T00:00:00"/>
    <d v="2014-02-06T00:00:00"/>
    <n v="11.44"/>
    <n v="0.3"/>
    <x v="4"/>
    <n v="16"/>
    <n v="11.74"/>
    <n v="480"/>
    <n v="491.74"/>
  </r>
  <r>
    <d v="2014-01-21T00:00:00"/>
    <d v="2014-01-28T00:00:00"/>
    <n v="10.59"/>
    <n v="0.28000000000000003"/>
    <x v="3"/>
    <n v="7"/>
    <n v="10.87"/>
    <n v="280"/>
    <n v="290.87"/>
  </r>
  <r>
    <d v="2014-01-21T00:00:00"/>
    <d v="2014-02-17T00:00:00"/>
    <n v="11.44"/>
    <n v="0.3"/>
    <x v="1"/>
    <n v="27"/>
    <n v="11.74"/>
    <n v="1620"/>
    <n v="1631.74"/>
  </r>
  <r>
    <d v="2014-01-21T00:00:00"/>
    <d v="2014-02-16T00:00:00"/>
    <n v="10.199999999999999"/>
    <n v="0.27"/>
    <x v="1"/>
    <n v="26"/>
    <n v="10.469999999999999"/>
    <n v="1560"/>
    <n v="1570.47"/>
  </r>
  <r>
    <d v="2014-01-21T00:00:00"/>
    <d v="2014-02-14T00:00:00"/>
    <n v="19.54"/>
    <n v="0.51"/>
    <x v="0"/>
    <n v="24"/>
    <n v="20.05"/>
    <n v="1200"/>
    <n v="1220.05"/>
  </r>
  <r>
    <d v="2014-01-21T00:00:00"/>
    <d v="2014-02-04T00:00:00"/>
    <n v="10.93"/>
    <n v="0.28999999999999998"/>
    <x v="3"/>
    <n v="14"/>
    <n v="11.219999999999999"/>
    <n v="560"/>
    <n v="571.22"/>
  </r>
  <r>
    <d v="2014-01-22T00:00:00"/>
    <d v="2014-01-29T00:00:00"/>
    <n v="6.43"/>
    <n v="0.17"/>
    <x v="0"/>
    <n v="7"/>
    <n v="6.6"/>
    <n v="350"/>
    <n v="356.6"/>
  </r>
  <r>
    <d v="2014-01-22T00:00:00"/>
    <d v="2014-02-11T00:00:00"/>
    <n v="5.67"/>
    <n v="0.15"/>
    <x v="3"/>
    <n v="20"/>
    <n v="5.82"/>
    <n v="800"/>
    <n v="805.82"/>
  </r>
  <r>
    <d v="2014-01-22T00:00:00"/>
    <d v="2014-02-12T00:00:00"/>
    <n v="14.13"/>
    <n v="0.37"/>
    <x v="0"/>
    <n v="21"/>
    <n v="14.5"/>
    <n v="1050"/>
    <n v="1064.5"/>
  </r>
  <r>
    <d v="2014-01-22T00:00:00"/>
    <d v="2014-02-19T00:00:00"/>
    <n v="5.47"/>
    <n v="0.14000000000000001"/>
    <x v="4"/>
    <n v="28"/>
    <n v="5.6099999999999994"/>
    <n v="840"/>
    <n v="845.61"/>
  </r>
  <r>
    <d v="2014-01-23T00:00:00"/>
    <d v="2014-02-16T00:00:00"/>
    <n v="8.39"/>
    <n v="0.22"/>
    <x v="2"/>
    <n v="24"/>
    <n v="8.6100000000000012"/>
    <n v="480"/>
    <n v="488.61"/>
  </r>
  <r>
    <d v="2014-01-23T00:00:00"/>
    <d v="2014-02-18T00:00:00"/>
    <n v="3.79"/>
    <n v="0.1"/>
    <x v="4"/>
    <n v="26"/>
    <n v="3.89"/>
    <n v="780"/>
    <n v="783.89"/>
  </r>
  <r>
    <d v="2014-01-23T00:00:00"/>
    <d v="2014-01-25T00:00:00"/>
    <n v="6.23"/>
    <n v="0.16"/>
    <x v="1"/>
    <n v="2"/>
    <n v="6.3900000000000006"/>
    <n v="120"/>
    <n v="126.39"/>
  </r>
  <r>
    <d v="2014-01-24T00:00:00"/>
    <d v="2014-02-05T00:00:00"/>
    <n v="6.34"/>
    <n v="0.17"/>
    <x v="1"/>
    <n v="12"/>
    <n v="6.51"/>
    <n v="720"/>
    <n v="726.51"/>
  </r>
  <r>
    <d v="2014-01-24T00:00:00"/>
    <d v="2014-02-14T00:00:00"/>
    <n v="3.57"/>
    <n v="0.09"/>
    <x v="1"/>
    <n v="21"/>
    <n v="3.6599999999999997"/>
    <n v="1260"/>
    <n v="1263.6600000000001"/>
  </r>
  <r>
    <d v="2014-01-25T00:00:00"/>
    <d v="2014-02-11T00:00:00"/>
    <n v="4.66"/>
    <n v="0.12"/>
    <x v="3"/>
    <n v="17"/>
    <n v="4.78"/>
    <n v="680"/>
    <n v="684.78"/>
  </r>
  <r>
    <d v="2014-01-26T00:00:00"/>
    <d v="2014-02-22T00:00:00"/>
    <n v="13.07"/>
    <n v="0.34"/>
    <x v="4"/>
    <n v="27"/>
    <n v="13.41"/>
    <n v="810"/>
    <n v="823.41"/>
  </r>
  <r>
    <d v="2014-01-26T00:00:00"/>
    <d v="2014-02-21T00:00:00"/>
    <n v="13.81"/>
    <n v="0.36"/>
    <x v="0"/>
    <n v="26"/>
    <n v="14.17"/>
    <n v="1300"/>
    <n v="1314.17"/>
  </r>
  <r>
    <d v="2014-01-26T00:00:00"/>
    <d v="2014-02-03T00:00:00"/>
    <n v="11.69"/>
    <n v="0.31"/>
    <x v="2"/>
    <n v="8"/>
    <n v="12"/>
    <n v="160"/>
    <n v="172"/>
  </r>
  <r>
    <d v="2014-01-26T00:00:00"/>
    <d v="2014-02-13T00:00:00"/>
    <n v="8.84"/>
    <n v="0.23"/>
    <x v="3"/>
    <n v="18"/>
    <n v="9.07"/>
    <n v="720"/>
    <n v="729.07"/>
  </r>
  <r>
    <d v="2014-01-26T00:00:00"/>
    <d v="2014-02-20T00:00:00"/>
    <n v="16.940000000000001"/>
    <n v="0.45"/>
    <x v="0"/>
    <n v="25"/>
    <n v="17.39"/>
    <n v="1250"/>
    <n v="1267.3900000000001"/>
  </r>
  <r>
    <d v="2014-01-26T00:00:00"/>
    <d v="2014-01-30T00:00:00"/>
    <n v="13.82"/>
    <n v="0.36"/>
    <x v="3"/>
    <n v="4"/>
    <n v="14.18"/>
    <n v="160"/>
    <n v="174.18"/>
  </r>
  <r>
    <d v="2014-01-26T00:00:00"/>
    <d v="2014-02-19T00:00:00"/>
    <n v="9.4600000000000009"/>
    <n v="0.25"/>
    <x v="1"/>
    <n v="24"/>
    <n v="9.7100000000000009"/>
    <n v="1440"/>
    <n v="1449.71"/>
  </r>
  <r>
    <d v="2014-01-26T00:00:00"/>
    <d v="2014-02-14T00:00:00"/>
    <n v="8.89"/>
    <n v="0.23"/>
    <x v="1"/>
    <n v="19"/>
    <n v="9.120000000000001"/>
    <n v="1140"/>
    <n v="1149.1199999999999"/>
  </r>
  <r>
    <d v="2014-01-26T00:00:00"/>
    <d v="2014-02-03T00:00:00"/>
    <n v="5.57"/>
    <n v="0.15"/>
    <x v="3"/>
    <n v="8"/>
    <n v="5.7200000000000006"/>
    <n v="320"/>
    <n v="325.72000000000003"/>
  </r>
  <r>
    <d v="2014-01-26T00:00:00"/>
    <d v="2014-01-30T00:00:00"/>
    <n v="7.35"/>
    <n v="0.19"/>
    <x v="2"/>
    <n v="4"/>
    <n v="7.54"/>
    <n v="80"/>
    <n v="87.54"/>
  </r>
  <r>
    <d v="2014-01-26T00:00:00"/>
    <d v="2014-02-11T00:00:00"/>
    <n v="12.23"/>
    <n v="0.32"/>
    <x v="3"/>
    <n v="16"/>
    <n v="12.55"/>
    <n v="640"/>
    <n v="652.54999999999995"/>
  </r>
  <r>
    <d v="2014-01-26T00:00:00"/>
    <d v="2014-02-20T00:00:00"/>
    <n v="5.23"/>
    <n v="0.14000000000000001"/>
    <x v="1"/>
    <n v="25"/>
    <n v="5.37"/>
    <n v="1500"/>
    <n v="1505.37"/>
  </r>
  <r>
    <d v="2014-01-27T00:00:00"/>
    <d v="2014-02-12T00:00:00"/>
    <n v="6.43"/>
    <n v="0.17"/>
    <x v="3"/>
    <n v="16"/>
    <n v="6.6"/>
    <n v="640"/>
    <n v="646.6"/>
  </r>
  <r>
    <d v="2014-01-27T00:00:00"/>
    <d v="2014-01-29T00:00:00"/>
    <n v="11.44"/>
    <n v="0.3"/>
    <x v="0"/>
    <n v="2"/>
    <n v="11.74"/>
    <n v="100"/>
    <n v="111.74"/>
  </r>
  <r>
    <d v="2014-01-27T00:00:00"/>
    <d v="2014-02-03T00:00:00"/>
    <n v="8.7200000000000006"/>
    <n v="0.23"/>
    <x v="0"/>
    <n v="7"/>
    <n v="8.9500000000000011"/>
    <n v="350"/>
    <n v="358.95"/>
  </r>
  <r>
    <d v="2014-01-27T00:00:00"/>
    <d v="2014-02-15T00:00:00"/>
    <n v="10.199999999999999"/>
    <n v="0.27"/>
    <x v="3"/>
    <n v="19"/>
    <n v="10.469999999999999"/>
    <n v="760"/>
    <n v="770.47"/>
  </r>
  <r>
    <d v="2014-01-27T00:00:00"/>
    <d v="2014-01-29T00:00:00"/>
    <n v="10.199999999999999"/>
    <n v="0.27"/>
    <x v="2"/>
    <n v="2"/>
    <n v="10.469999999999999"/>
    <n v="40"/>
    <n v="50.47"/>
  </r>
  <r>
    <d v="2014-01-28T00:00:00"/>
    <d v="2014-02-23T00:00:00"/>
    <n v="4.66"/>
    <n v="0.12"/>
    <x v="4"/>
    <n v="26"/>
    <n v="4.78"/>
    <n v="780"/>
    <n v="784.78"/>
  </r>
  <r>
    <d v="2014-01-28T00:00:00"/>
    <d v="2014-02-05T00:00:00"/>
    <n v="11.69"/>
    <n v="0.31"/>
    <x v="1"/>
    <n v="8"/>
    <n v="12"/>
    <n v="480"/>
    <n v="492"/>
  </r>
  <r>
    <d v="2014-01-28T00:00:00"/>
    <d v="2014-02-03T00:00:00"/>
    <n v="6.88"/>
    <n v="0.18"/>
    <x v="4"/>
    <n v="6"/>
    <n v="7.06"/>
    <n v="180"/>
    <n v="187.06"/>
  </r>
  <r>
    <d v="2014-02-02T00:00:00"/>
    <d v="2014-02-13T00:00:00"/>
    <n v="9.74"/>
    <n v="0.26"/>
    <x v="2"/>
    <n v="11"/>
    <n v="10"/>
    <n v="220"/>
    <n v="230"/>
  </r>
  <r>
    <d v="2014-02-02T00:00:00"/>
    <d v="2014-02-11T00:00:00"/>
    <n v="9.06"/>
    <n v="0.24"/>
    <x v="2"/>
    <n v="9"/>
    <n v="9.3000000000000007"/>
    <n v="180"/>
    <n v="189.3"/>
  </r>
  <r>
    <d v="2014-02-02T00:00:00"/>
    <d v="2014-02-24T00:00:00"/>
    <n v="14"/>
    <n v="0.37"/>
    <x v="2"/>
    <n v="22"/>
    <n v="14.37"/>
    <n v="440"/>
    <n v="454.37"/>
  </r>
  <r>
    <d v="2014-02-03T00:00:00"/>
    <d v="2014-02-27T00:00:00"/>
    <n v="10.59"/>
    <n v="0.28000000000000003"/>
    <x v="4"/>
    <n v="24"/>
    <n v="10.87"/>
    <n v="720"/>
    <n v="730.87"/>
  </r>
  <r>
    <d v="2014-02-03T00:00:00"/>
    <d v="2014-02-06T00:00:00"/>
    <n v="3.94"/>
    <n v="0.1"/>
    <x v="1"/>
    <n v="3"/>
    <n v="4.04"/>
    <n v="180"/>
    <n v="184.04"/>
  </r>
  <r>
    <d v="2014-02-03T00:00:00"/>
    <d v="2014-02-20T00:00:00"/>
    <n v="4.66"/>
    <n v="0.12"/>
    <x v="4"/>
    <n v="17"/>
    <n v="4.78"/>
    <n v="510"/>
    <n v="514.78"/>
  </r>
  <r>
    <d v="2014-02-03T00:00:00"/>
    <d v="2014-03-03T00:00:00"/>
    <n v="10.199999999999999"/>
    <n v="0.27"/>
    <x v="1"/>
    <n v="28"/>
    <n v="10.469999999999999"/>
    <n v="1680"/>
    <n v="1690.47"/>
  </r>
  <r>
    <d v="2014-02-07T00:00:00"/>
    <d v="2014-02-12T00:00:00"/>
    <n v="12.23"/>
    <n v="0.32"/>
    <x v="0"/>
    <n v="5"/>
    <n v="12.55"/>
    <n v="250"/>
    <n v="262.55"/>
  </r>
  <r>
    <d v="2014-02-07T00:00:00"/>
    <d v="2014-02-28T00:00:00"/>
    <n v="10.19"/>
    <n v="0.27"/>
    <x v="4"/>
    <n v="21"/>
    <n v="10.459999999999999"/>
    <n v="630"/>
    <n v="640.46"/>
  </r>
  <r>
    <d v="2014-02-07T00:00:00"/>
    <d v="2014-03-03T00:00:00"/>
    <n v="12.01"/>
    <n v="0.32"/>
    <x v="1"/>
    <n v="24"/>
    <n v="12.33"/>
    <n v="1440"/>
    <n v="1452.33"/>
  </r>
  <r>
    <d v="2014-02-07T00:00:00"/>
    <d v="2014-02-11T00:00:00"/>
    <n v="11.44"/>
    <n v="0.3"/>
    <x v="4"/>
    <n v="4"/>
    <n v="11.74"/>
    <n v="120"/>
    <n v="131.74"/>
  </r>
  <r>
    <d v="2014-02-07T00:00:00"/>
    <d v="2014-03-02T00:00:00"/>
    <n v="6.23"/>
    <n v="0.16"/>
    <x v="4"/>
    <n v="23"/>
    <n v="6.3900000000000006"/>
    <n v="690"/>
    <n v="696.39"/>
  </r>
  <r>
    <d v="2014-02-07T00:00:00"/>
    <d v="2014-02-16T00:00:00"/>
    <n v="12.01"/>
    <n v="0.32"/>
    <x v="0"/>
    <n v="9"/>
    <n v="12.33"/>
    <n v="450"/>
    <n v="462.33"/>
  </r>
  <r>
    <d v="2014-02-07T00:00:00"/>
    <d v="2014-02-11T00:00:00"/>
    <n v="12.23"/>
    <n v="0.32"/>
    <x v="0"/>
    <n v="4"/>
    <n v="12.55"/>
    <n v="200"/>
    <n v="212.55"/>
  </r>
  <r>
    <d v="2014-02-07T00:00:00"/>
    <d v="2014-02-25T00:00:00"/>
    <n v="12.01"/>
    <n v="0.32"/>
    <x v="0"/>
    <n v="18"/>
    <n v="12.33"/>
    <n v="900"/>
    <n v="912.33"/>
  </r>
  <r>
    <d v="2014-02-07T00:00:00"/>
    <d v="2014-02-22T00:00:00"/>
    <n v="5.67"/>
    <n v="0.15"/>
    <x v="3"/>
    <n v="15"/>
    <n v="5.82"/>
    <n v="600"/>
    <n v="605.82000000000005"/>
  </r>
  <r>
    <d v="2014-02-07T00:00:00"/>
    <d v="2014-03-04T00:00:00"/>
    <n v="6.88"/>
    <n v="0.18"/>
    <x v="0"/>
    <n v="25"/>
    <n v="7.06"/>
    <n v="1250"/>
    <n v="1257.06"/>
  </r>
  <r>
    <d v="2014-02-07T00:00:00"/>
    <d v="2014-03-07T00:00:00"/>
    <n v="2.72"/>
    <n v="7.0000000000000007E-2"/>
    <x v="1"/>
    <n v="28"/>
    <n v="2.79"/>
    <n v="1680"/>
    <n v="1682.79"/>
  </r>
  <r>
    <d v="2014-02-07T00:00:00"/>
    <d v="2014-02-16T00:00:00"/>
    <n v="9.74"/>
    <n v="0.26"/>
    <x v="1"/>
    <n v="9"/>
    <n v="10"/>
    <n v="540"/>
    <n v="550"/>
  </r>
  <r>
    <d v="2014-02-07T00:00:00"/>
    <d v="2014-02-21T00:00:00"/>
    <n v="7.31"/>
    <n v="0.19"/>
    <x v="4"/>
    <n v="14"/>
    <n v="7.5"/>
    <n v="420"/>
    <n v="427.5"/>
  </r>
  <r>
    <d v="2014-02-07T00:00:00"/>
    <d v="2014-03-06T00:00:00"/>
    <n v="8.84"/>
    <n v="0.23"/>
    <x v="1"/>
    <n v="27"/>
    <n v="9.07"/>
    <n v="1620"/>
    <n v="1629.07"/>
  </r>
  <r>
    <d v="2014-02-07T00:00:00"/>
    <d v="2014-02-20T00:00:00"/>
    <n v="13.07"/>
    <n v="0.34"/>
    <x v="2"/>
    <n v="13"/>
    <n v="13.41"/>
    <n v="260"/>
    <n v="273.41000000000003"/>
  </r>
  <r>
    <d v="2014-02-07T00:00:00"/>
    <d v="2014-02-20T00:00:00"/>
    <n v="11.42"/>
    <n v="0.3"/>
    <x v="1"/>
    <n v="13"/>
    <n v="11.72"/>
    <n v="780"/>
    <n v="791.72"/>
  </r>
  <r>
    <d v="2014-02-07T00:00:00"/>
    <d v="2014-03-06T00:00:00"/>
    <n v="3.79"/>
    <n v="0.1"/>
    <x v="4"/>
    <n v="27"/>
    <n v="3.89"/>
    <n v="810"/>
    <n v="813.89"/>
  </r>
  <r>
    <d v="2014-02-07T00:00:00"/>
    <d v="2014-02-12T00:00:00"/>
    <n v="11.42"/>
    <n v="0.3"/>
    <x v="1"/>
    <n v="5"/>
    <n v="11.72"/>
    <n v="300"/>
    <n v="311.72000000000003"/>
  </r>
  <r>
    <d v="2014-02-07T00:00:00"/>
    <d v="2014-02-10T00:00:00"/>
    <n v="8.83"/>
    <n v="0.23"/>
    <x v="3"/>
    <n v="3"/>
    <n v="9.06"/>
    <n v="120"/>
    <n v="129.06"/>
  </r>
  <r>
    <d v="2014-02-07T00:00:00"/>
    <d v="2014-02-20T00:00:00"/>
    <n v="8.51"/>
    <n v="0.22"/>
    <x v="0"/>
    <n v="13"/>
    <n v="8.73"/>
    <n v="650"/>
    <n v="658.73"/>
  </r>
  <r>
    <d v="2014-02-07T00:00:00"/>
    <d v="2014-02-24T00:00:00"/>
    <n v="7.3"/>
    <n v="0.19"/>
    <x v="0"/>
    <n v="17"/>
    <n v="7.49"/>
    <n v="850"/>
    <n v="857.49"/>
  </r>
  <r>
    <d v="2014-02-10T00:00:00"/>
    <d v="2014-02-22T00:00:00"/>
    <n v="5.67"/>
    <n v="0.15"/>
    <x v="3"/>
    <n v="12"/>
    <n v="5.82"/>
    <n v="480"/>
    <n v="485.82"/>
  </r>
  <r>
    <d v="2014-02-10T00:00:00"/>
    <d v="2014-02-20T00:00:00"/>
    <n v="6.58"/>
    <n v="0.17"/>
    <x v="4"/>
    <n v="10"/>
    <n v="6.75"/>
    <n v="300"/>
    <n v="306.75"/>
  </r>
  <r>
    <d v="2014-02-10T00:00:00"/>
    <d v="2014-03-01T00:00:00"/>
    <n v="4.25"/>
    <n v="0.11"/>
    <x v="4"/>
    <n v="19"/>
    <n v="4.3600000000000003"/>
    <n v="570"/>
    <n v="574.36"/>
  </r>
  <r>
    <d v="2014-02-12T00:00:00"/>
    <d v="2014-02-24T00:00:00"/>
    <n v="6.58"/>
    <n v="0.17"/>
    <x v="1"/>
    <n v="12"/>
    <n v="6.75"/>
    <n v="720"/>
    <n v="726.75"/>
  </r>
  <r>
    <d v="2014-02-14T00:00:00"/>
    <d v="2014-03-06T00:00:00"/>
    <n v="5.78"/>
    <n v="0.15"/>
    <x v="2"/>
    <n v="20"/>
    <n v="5.9300000000000006"/>
    <n v="400"/>
    <n v="405.93"/>
  </r>
  <r>
    <d v="2014-02-14T00:00:00"/>
    <d v="2014-02-23T00:00:00"/>
    <n v="10.199999999999999"/>
    <n v="0.27"/>
    <x v="0"/>
    <n v="9"/>
    <n v="10.469999999999999"/>
    <n v="450"/>
    <n v="460.47"/>
  </r>
  <r>
    <d v="2014-02-14T00:00:00"/>
    <d v="2014-02-22T00:00:00"/>
    <n v="2.72"/>
    <n v="7.0000000000000007E-2"/>
    <x v="1"/>
    <n v="8"/>
    <n v="2.79"/>
    <n v="480"/>
    <n v="482.79"/>
  </r>
  <r>
    <d v="2014-02-14T00:00:00"/>
    <d v="2014-03-09T00:00:00"/>
    <n v="11.44"/>
    <n v="0.3"/>
    <x v="1"/>
    <n v="23"/>
    <n v="11.74"/>
    <n v="1380"/>
    <n v="1391.74"/>
  </r>
  <r>
    <d v="2014-02-14T00:00:00"/>
    <d v="2014-03-14T00:00:00"/>
    <n v="13.07"/>
    <n v="0.34"/>
    <x v="1"/>
    <n v="28"/>
    <n v="13.41"/>
    <n v="1680"/>
    <n v="1693.41"/>
  </r>
  <r>
    <d v="2014-02-14T00:00:00"/>
    <d v="2014-03-14T00:00:00"/>
    <n v="7.35"/>
    <n v="0.19"/>
    <x v="3"/>
    <n v="28"/>
    <n v="7.54"/>
    <n v="1120"/>
    <n v="1127.54"/>
  </r>
  <r>
    <d v="2014-02-15T00:00:00"/>
    <d v="2014-03-14T00:00:00"/>
    <n v="6.88"/>
    <n v="0.18"/>
    <x v="4"/>
    <n v="27"/>
    <n v="7.06"/>
    <n v="810"/>
    <n v="817.06"/>
  </r>
  <r>
    <d v="2014-02-15T00:00:00"/>
    <d v="2014-03-10T00:00:00"/>
    <n v="9.06"/>
    <n v="0.24"/>
    <x v="2"/>
    <n v="23"/>
    <n v="9.3000000000000007"/>
    <n v="460"/>
    <n v="469.3"/>
  </r>
  <r>
    <d v="2014-02-19T00:00:00"/>
    <d v="2014-03-10T00:00:00"/>
    <n v="16.55"/>
    <n v="0.44"/>
    <x v="2"/>
    <n v="19"/>
    <n v="16.990000000000002"/>
    <n v="380"/>
    <n v="396.99"/>
  </r>
  <r>
    <d v="2014-02-19T00:00:00"/>
    <d v="2014-03-10T00:00:00"/>
    <n v="8.83"/>
    <n v="0.23"/>
    <x v="4"/>
    <n v="19"/>
    <n v="9.06"/>
    <n v="570"/>
    <n v="579.05999999999995"/>
  </r>
  <r>
    <d v="2014-02-19T00:00:00"/>
    <d v="2014-02-26T00:00:00"/>
    <n v="7.31"/>
    <n v="0.19"/>
    <x v="2"/>
    <n v="7"/>
    <n v="7.5"/>
    <n v="140"/>
    <n v="147.5"/>
  </r>
  <r>
    <d v="2014-02-19T00:00:00"/>
    <d v="2014-03-17T00:00:00"/>
    <n v="14.31"/>
    <n v="0.38"/>
    <x v="0"/>
    <n v="26"/>
    <n v="14.690000000000001"/>
    <n v="1300"/>
    <n v="1314.69"/>
  </r>
  <r>
    <d v="2014-02-19T00:00:00"/>
    <d v="2014-02-21T00:00:00"/>
    <n v="11.42"/>
    <n v="0.3"/>
    <x v="0"/>
    <n v="2"/>
    <n v="11.72"/>
    <n v="100"/>
    <n v="111.72"/>
  </r>
  <r>
    <d v="2014-02-19T00:00:00"/>
    <d v="2014-03-02T00:00:00"/>
    <n v="8.5399999999999991"/>
    <n v="0.22"/>
    <x v="4"/>
    <n v="11"/>
    <n v="8.76"/>
    <n v="330"/>
    <n v="338.76"/>
  </r>
  <r>
    <d v="2014-02-19T00:00:00"/>
    <d v="2014-03-19T00:00:00"/>
    <n v="5.57"/>
    <n v="0.15"/>
    <x v="3"/>
    <n v="28"/>
    <n v="5.7200000000000006"/>
    <n v="1120"/>
    <n v="1125.72"/>
  </r>
  <r>
    <d v="2014-02-19T00:00:00"/>
    <d v="2014-03-19T00:00:00"/>
    <n v="7.55"/>
    <n v="0.2"/>
    <x v="3"/>
    <n v="28"/>
    <n v="7.75"/>
    <n v="1120"/>
    <n v="1127.75"/>
  </r>
  <r>
    <d v="2014-02-19T00:00:00"/>
    <d v="2014-03-09T00:00:00"/>
    <n v="10.79"/>
    <n v="0.28000000000000003"/>
    <x v="1"/>
    <n v="18"/>
    <n v="11.069999999999999"/>
    <n v="1080"/>
    <n v="1091.07"/>
  </r>
  <r>
    <d v="2014-02-19T00:00:00"/>
    <d v="2014-03-08T00:00:00"/>
    <n v="8.39"/>
    <n v="0.22"/>
    <x v="2"/>
    <n v="17"/>
    <n v="8.6100000000000012"/>
    <n v="340"/>
    <n v="348.61"/>
  </r>
  <r>
    <d v="2014-02-19T00:00:00"/>
    <d v="2014-03-13T00:00:00"/>
    <n v="9.06"/>
    <n v="0.24"/>
    <x v="1"/>
    <n v="22"/>
    <n v="9.3000000000000007"/>
    <n v="1320"/>
    <n v="1329.3"/>
  </r>
  <r>
    <d v="2014-02-19T00:00:00"/>
    <d v="2014-03-02T00:00:00"/>
    <n v="16.940000000000001"/>
    <n v="0.45"/>
    <x v="4"/>
    <n v="11"/>
    <n v="17.39"/>
    <n v="330"/>
    <n v="347.39"/>
  </r>
  <r>
    <d v="2014-02-19T00:00:00"/>
    <d v="2014-03-10T00:00:00"/>
    <n v="11.37"/>
    <n v="0.3"/>
    <x v="3"/>
    <n v="19"/>
    <n v="11.67"/>
    <n v="760"/>
    <n v="771.67"/>
  </r>
  <r>
    <d v="2014-02-19T00:00:00"/>
    <d v="2014-03-01T00:00:00"/>
    <n v="4.25"/>
    <n v="0.11"/>
    <x v="0"/>
    <n v="10"/>
    <n v="4.3600000000000003"/>
    <n v="500"/>
    <n v="504.36"/>
  </r>
  <r>
    <d v="2014-02-19T00:00:00"/>
    <d v="2014-03-12T00:00:00"/>
    <n v="11.42"/>
    <n v="0.3"/>
    <x v="3"/>
    <n v="21"/>
    <n v="11.72"/>
    <n v="840"/>
    <n v="851.72"/>
  </r>
  <r>
    <d v="2014-02-19T00:00:00"/>
    <d v="2014-03-13T00:00:00"/>
    <n v="3.79"/>
    <n v="0.1"/>
    <x v="4"/>
    <n v="22"/>
    <n v="3.89"/>
    <n v="660"/>
    <n v="663.89"/>
  </r>
  <r>
    <d v="2014-02-19T00:00:00"/>
    <d v="2014-03-14T00:00:00"/>
    <n v="10.59"/>
    <n v="0.28000000000000003"/>
    <x v="3"/>
    <n v="23"/>
    <n v="10.87"/>
    <n v="920"/>
    <n v="930.87"/>
  </r>
  <r>
    <d v="2014-02-19T00:00:00"/>
    <d v="2014-03-07T00:00:00"/>
    <n v="8.9499999999999993"/>
    <n v="0.24"/>
    <x v="2"/>
    <n v="16"/>
    <n v="9.19"/>
    <n v="320"/>
    <n v="329.19"/>
  </r>
  <r>
    <d v="2014-02-19T00:00:00"/>
    <d v="2014-02-23T00:00:00"/>
    <n v="4.66"/>
    <n v="0.12"/>
    <x v="0"/>
    <n v="4"/>
    <n v="4.78"/>
    <n v="200"/>
    <n v="204.78"/>
  </r>
  <r>
    <d v="2014-02-19T00:00:00"/>
    <d v="2014-03-09T00:00:00"/>
    <n v="6.88"/>
    <n v="0.18"/>
    <x v="0"/>
    <n v="18"/>
    <n v="7.06"/>
    <n v="900"/>
    <n v="907.06"/>
  </r>
  <r>
    <d v="2014-02-22T00:00:00"/>
    <d v="2014-03-08T00:00:00"/>
    <n v="8.7200000000000006"/>
    <n v="0.23"/>
    <x v="3"/>
    <n v="14"/>
    <n v="8.9500000000000011"/>
    <n v="560"/>
    <n v="568.95000000000005"/>
  </r>
  <r>
    <d v="2014-02-26T00:00:00"/>
    <d v="2014-02-28T00:00:00"/>
    <n v="12.23"/>
    <n v="0.32"/>
    <x v="2"/>
    <n v="2"/>
    <n v="12.55"/>
    <n v="40"/>
    <n v="52.55"/>
  </r>
  <r>
    <d v="2014-02-26T00:00:00"/>
    <d v="2014-03-10T00:00:00"/>
    <n v="10.199999999999999"/>
    <n v="0.27"/>
    <x v="3"/>
    <n v="12"/>
    <n v="10.469999999999999"/>
    <n v="480"/>
    <n v="490.47"/>
  </r>
  <r>
    <d v="2014-02-26T00:00:00"/>
    <d v="2014-03-05T00:00:00"/>
    <n v="7.06"/>
    <n v="0.19"/>
    <x v="0"/>
    <n v="7"/>
    <n v="7.25"/>
    <n v="350"/>
    <n v="357.25"/>
  </r>
  <r>
    <d v="2014-02-26T00:00:00"/>
    <d v="2014-03-18T00:00:00"/>
    <n v="5.64"/>
    <n v="0.15"/>
    <x v="1"/>
    <n v="20"/>
    <n v="5.79"/>
    <n v="1200"/>
    <n v="1205.79"/>
  </r>
  <r>
    <d v="2014-02-26T00:00:00"/>
    <d v="2014-03-23T00:00:00"/>
    <n v="9.06"/>
    <n v="0.24"/>
    <x v="3"/>
    <n v="25"/>
    <n v="9.3000000000000007"/>
    <n v="1000"/>
    <n v="1009.3"/>
  </r>
  <r>
    <d v="2014-02-26T00:00:00"/>
    <d v="2014-03-19T00:00:00"/>
    <n v="6.23"/>
    <n v="0.16"/>
    <x v="2"/>
    <n v="21"/>
    <n v="6.3900000000000006"/>
    <n v="420"/>
    <n v="426.39"/>
  </r>
  <r>
    <d v="2014-02-28T00:00:00"/>
    <d v="2014-03-23T00:00:00"/>
    <n v="3.57"/>
    <n v="0.09"/>
    <x v="3"/>
    <n v="23"/>
    <n v="3.6599999999999997"/>
    <n v="920"/>
    <n v="923.66"/>
  </r>
  <r>
    <d v="2014-03-03T00:00:00"/>
    <d v="2014-03-16T00:00:00"/>
    <n v="8.89"/>
    <n v="0.23"/>
    <x v="4"/>
    <n v="13"/>
    <n v="9.120000000000001"/>
    <n v="390"/>
    <n v="399.12"/>
  </r>
  <r>
    <d v="2014-03-03T00:00:00"/>
    <d v="2014-03-28T00:00:00"/>
    <n v="6.34"/>
    <n v="0.17"/>
    <x v="0"/>
    <n v="25"/>
    <n v="6.51"/>
    <n v="1250"/>
    <n v="1256.51"/>
  </r>
  <r>
    <d v="2014-03-03T00:00:00"/>
    <d v="2014-03-19T00:00:00"/>
    <n v="11.69"/>
    <n v="0.31"/>
    <x v="1"/>
    <n v="16"/>
    <n v="12"/>
    <n v="960"/>
    <n v="972"/>
  </r>
  <r>
    <d v="2014-03-03T00:00:00"/>
    <d v="2014-03-14T00:00:00"/>
    <n v="3.79"/>
    <n v="0.1"/>
    <x v="3"/>
    <n v="11"/>
    <n v="3.89"/>
    <n v="440"/>
    <n v="443.89"/>
  </r>
  <r>
    <d v="2014-03-03T00:00:00"/>
    <d v="2014-03-28T00:00:00"/>
    <n v="9.1300000000000008"/>
    <n v="0.24"/>
    <x v="2"/>
    <n v="25"/>
    <n v="9.370000000000001"/>
    <n v="500"/>
    <n v="509.37"/>
  </r>
  <r>
    <d v="2014-03-03T00:00:00"/>
    <d v="2014-03-24T00:00:00"/>
    <n v="5.78"/>
    <n v="0.15"/>
    <x v="1"/>
    <n v="21"/>
    <n v="5.9300000000000006"/>
    <n v="1260"/>
    <n v="1265.93"/>
  </r>
  <r>
    <d v="2014-03-03T00:00:00"/>
    <d v="2014-03-21T00:00:00"/>
    <n v="7.06"/>
    <n v="0.19"/>
    <x v="1"/>
    <n v="18"/>
    <n v="7.25"/>
    <n v="1080"/>
    <n v="1087.25"/>
  </r>
  <r>
    <d v="2014-03-03T00:00:00"/>
    <d v="2014-03-14T00:00:00"/>
    <n v="7.31"/>
    <n v="0.19"/>
    <x v="3"/>
    <n v="11"/>
    <n v="7.5"/>
    <n v="440"/>
    <n v="447.5"/>
  </r>
  <r>
    <d v="2014-03-03T00:00:00"/>
    <d v="2014-03-13T00:00:00"/>
    <n v="8.9499999999999993"/>
    <n v="0.24"/>
    <x v="3"/>
    <n v="10"/>
    <n v="9.19"/>
    <n v="400"/>
    <n v="409.19"/>
  </r>
  <r>
    <d v="2014-03-03T00:00:00"/>
    <d v="2014-03-21T00:00:00"/>
    <n v="2.0099999999999998"/>
    <n v="0.05"/>
    <x v="0"/>
    <n v="18"/>
    <n v="2.0599999999999996"/>
    <n v="900"/>
    <n v="902.06"/>
  </r>
  <r>
    <d v="2014-03-03T00:00:00"/>
    <d v="2014-03-07T00:00:00"/>
    <n v="19.54"/>
    <n v="0.51"/>
    <x v="4"/>
    <n v="4"/>
    <n v="20.05"/>
    <n v="120"/>
    <n v="140.05000000000001"/>
  </r>
  <r>
    <d v="2014-03-03T00:00:00"/>
    <d v="2014-03-20T00:00:00"/>
    <n v="13.02"/>
    <n v="0.34"/>
    <x v="0"/>
    <n v="17"/>
    <n v="13.36"/>
    <n v="850"/>
    <n v="863.36"/>
  </r>
  <r>
    <d v="2014-03-03T00:00:00"/>
    <d v="2014-03-22T00:00:00"/>
    <n v="11.69"/>
    <n v="0.31"/>
    <x v="1"/>
    <n v="19"/>
    <n v="12"/>
    <n v="1140"/>
    <n v="1152"/>
  </r>
  <r>
    <d v="2014-03-03T00:00:00"/>
    <d v="2014-03-31T00:00:00"/>
    <n v="13.02"/>
    <n v="0.34"/>
    <x v="2"/>
    <n v="28"/>
    <n v="13.36"/>
    <n v="560"/>
    <n v="573.36"/>
  </r>
  <r>
    <d v="2014-03-03T00:00:00"/>
    <d v="2014-03-15T00:00:00"/>
    <n v="3.57"/>
    <n v="0.09"/>
    <x v="4"/>
    <n v="12"/>
    <n v="3.6599999999999997"/>
    <n v="360"/>
    <n v="363.66"/>
  </r>
  <r>
    <d v="2014-03-03T00:00:00"/>
    <d v="2014-03-10T00:00:00"/>
    <n v="7.06"/>
    <n v="0.19"/>
    <x v="4"/>
    <n v="7"/>
    <n v="7.25"/>
    <n v="210"/>
    <n v="217.25"/>
  </r>
  <r>
    <d v="2014-03-06T00:00:00"/>
    <d v="2014-03-19T00:00:00"/>
    <n v="6.34"/>
    <n v="0.17"/>
    <x v="4"/>
    <n v="13"/>
    <n v="6.51"/>
    <n v="390"/>
    <n v="396.51"/>
  </r>
  <r>
    <d v="2014-03-06T00:00:00"/>
    <d v="2014-03-20T00:00:00"/>
    <n v="2.72"/>
    <n v="7.0000000000000007E-2"/>
    <x v="2"/>
    <n v="14"/>
    <n v="2.79"/>
    <n v="280"/>
    <n v="282.79000000000002"/>
  </r>
  <r>
    <d v="2014-03-07T00:00:00"/>
    <d v="2014-03-12T00:00:00"/>
    <n v="3.73"/>
    <n v="0.1"/>
    <x v="0"/>
    <n v="5"/>
    <n v="3.83"/>
    <n v="250"/>
    <n v="253.83"/>
  </r>
  <r>
    <d v="2014-03-09T00:00:00"/>
    <d v="2014-03-21T00:00:00"/>
    <n v="10.59"/>
    <n v="0.28000000000000003"/>
    <x v="1"/>
    <n v="12"/>
    <n v="10.87"/>
    <n v="720"/>
    <n v="730.87"/>
  </r>
  <r>
    <d v="2014-03-10T00:00:00"/>
    <d v="2014-04-04T00:00:00"/>
    <n v="3.73"/>
    <n v="0.1"/>
    <x v="0"/>
    <n v="25"/>
    <n v="3.83"/>
    <n v="1250"/>
    <n v="1253.83"/>
  </r>
  <r>
    <d v="2014-03-10T00:00:00"/>
    <d v="2014-03-22T00:00:00"/>
    <n v="5.78"/>
    <n v="0.15"/>
    <x v="2"/>
    <n v="12"/>
    <n v="5.9300000000000006"/>
    <n v="240"/>
    <n v="245.93"/>
  </r>
  <r>
    <d v="2014-03-10T00:00:00"/>
    <d v="2014-03-22T00:00:00"/>
    <n v="10.79"/>
    <n v="0.28000000000000003"/>
    <x v="2"/>
    <n v="12"/>
    <n v="11.069999999999999"/>
    <n v="240"/>
    <n v="251.07"/>
  </r>
  <r>
    <d v="2014-03-10T00:00:00"/>
    <d v="2014-03-28T00:00:00"/>
    <n v="5.47"/>
    <n v="0.14000000000000001"/>
    <x v="3"/>
    <n v="18"/>
    <n v="5.6099999999999994"/>
    <n v="720"/>
    <n v="725.61"/>
  </r>
  <r>
    <d v="2014-03-10T00:00:00"/>
    <d v="2014-03-22T00:00:00"/>
    <n v="5.57"/>
    <n v="0.15"/>
    <x v="2"/>
    <n v="12"/>
    <n v="5.7200000000000006"/>
    <n v="240"/>
    <n v="245.72"/>
  </r>
  <r>
    <d v="2014-03-11T00:00:00"/>
    <d v="2014-04-07T00:00:00"/>
    <n v="4.66"/>
    <n v="0.12"/>
    <x v="0"/>
    <n v="27"/>
    <n v="4.78"/>
    <n v="1350"/>
    <n v="1354.78"/>
  </r>
  <r>
    <d v="2014-03-11T00:00:00"/>
    <d v="2014-04-02T00:00:00"/>
    <n v="8.9499999999999993"/>
    <n v="0.24"/>
    <x v="3"/>
    <n v="22"/>
    <n v="9.19"/>
    <n v="880"/>
    <n v="889.19"/>
  </r>
  <r>
    <d v="2014-03-12T00:00:00"/>
    <d v="2014-03-21T00:00:00"/>
    <n v="3.94"/>
    <n v="0.1"/>
    <x v="4"/>
    <n v="9"/>
    <n v="4.04"/>
    <n v="270"/>
    <n v="274.04000000000002"/>
  </r>
  <r>
    <d v="2014-03-15T00:00:00"/>
    <d v="2014-03-26T00:00:00"/>
    <n v="5.78"/>
    <n v="0.15"/>
    <x v="1"/>
    <n v="11"/>
    <n v="5.9300000000000006"/>
    <n v="660"/>
    <n v="665.93"/>
  </r>
  <r>
    <d v="2014-03-15T00:00:00"/>
    <d v="2014-04-06T00:00:00"/>
    <n v="13.81"/>
    <n v="0.36"/>
    <x v="2"/>
    <n v="22"/>
    <n v="14.17"/>
    <n v="440"/>
    <n v="454.17"/>
  </r>
  <r>
    <d v="2014-03-15T00:00:00"/>
    <d v="2014-04-10T00:00:00"/>
    <n v="5.23"/>
    <n v="0.14000000000000001"/>
    <x v="1"/>
    <n v="26"/>
    <n v="5.37"/>
    <n v="1560"/>
    <n v="1565.37"/>
  </r>
  <r>
    <d v="2014-03-15T00:00:00"/>
    <d v="2014-03-30T00:00:00"/>
    <n v="10.93"/>
    <n v="0.28999999999999998"/>
    <x v="1"/>
    <n v="15"/>
    <n v="11.219999999999999"/>
    <n v="900"/>
    <n v="911.22"/>
  </r>
  <r>
    <d v="2014-03-15T00:00:00"/>
    <d v="2014-04-02T00:00:00"/>
    <n v="8.9499999999999993"/>
    <n v="0.24"/>
    <x v="3"/>
    <n v="18"/>
    <n v="9.19"/>
    <n v="720"/>
    <n v="729.19"/>
  </r>
  <r>
    <d v="2014-03-15T00:00:00"/>
    <d v="2014-04-02T00:00:00"/>
    <n v="16.829999999999998"/>
    <n v="0.44"/>
    <x v="4"/>
    <n v="18"/>
    <n v="17.27"/>
    <n v="540"/>
    <n v="557.27"/>
  </r>
  <r>
    <d v="2014-03-15T00:00:00"/>
    <d v="2014-03-20T00:00:00"/>
    <n v="14"/>
    <n v="0.37"/>
    <x v="2"/>
    <n v="5"/>
    <n v="14.37"/>
    <n v="100"/>
    <n v="114.37"/>
  </r>
  <r>
    <d v="2014-03-15T00:00:00"/>
    <d v="2014-04-06T00:00:00"/>
    <n v="5.23"/>
    <n v="0.14000000000000001"/>
    <x v="1"/>
    <n v="22"/>
    <n v="5.37"/>
    <n v="1320"/>
    <n v="1325.37"/>
  </r>
  <r>
    <d v="2014-03-15T00:00:00"/>
    <d v="2014-03-26T00:00:00"/>
    <n v="16.55"/>
    <n v="0.44"/>
    <x v="1"/>
    <n v="11"/>
    <n v="16.990000000000002"/>
    <n v="660"/>
    <n v="676.99"/>
  </r>
  <r>
    <d v="2014-03-15T00:00:00"/>
    <d v="2014-03-26T00:00:00"/>
    <n v="12.23"/>
    <n v="0.32"/>
    <x v="4"/>
    <n v="11"/>
    <n v="12.55"/>
    <n v="330"/>
    <n v="342.55"/>
  </r>
  <r>
    <d v="2014-03-15T00:00:00"/>
    <d v="2014-03-22T00:00:00"/>
    <n v="8.39"/>
    <n v="0.22"/>
    <x v="2"/>
    <n v="7"/>
    <n v="8.6100000000000012"/>
    <n v="140"/>
    <n v="148.61000000000001"/>
  </r>
  <r>
    <d v="2014-03-15T00:00:00"/>
    <d v="2014-03-23T00:00:00"/>
    <n v="5.67"/>
    <n v="0.15"/>
    <x v="0"/>
    <n v="8"/>
    <n v="5.82"/>
    <n v="400"/>
    <n v="405.82"/>
  </r>
  <r>
    <d v="2014-03-15T00:00:00"/>
    <d v="2014-03-21T00:00:00"/>
    <n v="14.13"/>
    <n v="0.37"/>
    <x v="3"/>
    <n v="6"/>
    <n v="14.5"/>
    <n v="240"/>
    <n v="254.5"/>
  </r>
  <r>
    <d v="2014-03-15T00:00:00"/>
    <d v="2014-03-25T00:00:00"/>
    <n v="11.69"/>
    <n v="0.31"/>
    <x v="3"/>
    <n v="10"/>
    <n v="12"/>
    <n v="400"/>
    <n v="412"/>
  </r>
  <r>
    <d v="2014-03-15T00:00:00"/>
    <d v="2014-03-30T00:00:00"/>
    <n v="16.940000000000001"/>
    <n v="0.45"/>
    <x v="2"/>
    <n v="15"/>
    <n v="17.39"/>
    <n v="300"/>
    <n v="317.39"/>
  </r>
  <r>
    <d v="2014-03-15T00:00:00"/>
    <d v="2014-04-04T00:00:00"/>
    <n v="14"/>
    <n v="0.37"/>
    <x v="3"/>
    <n v="20"/>
    <n v="14.37"/>
    <n v="800"/>
    <n v="814.37"/>
  </r>
  <r>
    <d v="2014-03-17T00:00:00"/>
    <d v="2014-04-14T00:00:00"/>
    <n v="8.84"/>
    <n v="0.23"/>
    <x v="2"/>
    <n v="28"/>
    <n v="9.07"/>
    <n v="560"/>
    <n v="569.07000000000005"/>
  </r>
  <r>
    <d v="2014-03-17T00:00:00"/>
    <d v="2014-04-05T00:00:00"/>
    <n v="6.75"/>
    <n v="0.18"/>
    <x v="3"/>
    <n v="19"/>
    <n v="6.93"/>
    <n v="760"/>
    <n v="766.93"/>
  </r>
  <r>
    <d v="2014-03-17T00:00:00"/>
    <d v="2014-03-30T00:00:00"/>
    <n v="6.23"/>
    <n v="0.16"/>
    <x v="0"/>
    <n v="13"/>
    <n v="6.3900000000000006"/>
    <n v="650"/>
    <n v="656.39"/>
  </r>
  <r>
    <d v="2014-03-17T00:00:00"/>
    <d v="2014-04-12T00:00:00"/>
    <n v="8.7200000000000006"/>
    <n v="0.23"/>
    <x v="1"/>
    <n v="26"/>
    <n v="8.9500000000000011"/>
    <n v="1560"/>
    <n v="1568.95"/>
  </r>
  <r>
    <d v="2014-03-18T00:00:00"/>
    <d v="2014-03-21T00:00:00"/>
    <n v="6.34"/>
    <n v="0.17"/>
    <x v="0"/>
    <n v="3"/>
    <n v="6.51"/>
    <n v="150"/>
    <n v="156.51"/>
  </r>
  <r>
    <d v="2014-03-18T00:00:00"/>
    <d v="2014-04-05T00:00:00"/>
    <n v="2.29"/>
    <n v="0.06"/>
    <x v="3"/>
    <n v="18"/>
    <n v="2.35"/>
    <n v="720"/>
    <n v="722.35"/>
  </r>
  <r>
    <d v="2014-03-18T00:00:00"/>
    <d v="2014-04-05T00:00:00"/>
    <n v="4.25"/>
    <n v="0.11"/>
    <x v="3"/>
    <n v="18"/>
    <n v="4.3600000000000003"/>
    <n v="720"/>
    <n v="724.36"/>
  </r>
  <r>
    <d v="2014-03-21T00:00:00"/>
    <d v="2014-04-13T00:00:00"/>
    <n v="16.55"/>
    <n v="0.44"/>
    <x v="0"/>
    <n v="23"/>
    <n v="16.990000000000002"/>
    <n v="1150"/>
    <n v="1166.99"/>
  </r>
  <r>
    <d v="2014-03-21T00:00:00"/>
    <d v="2014-04-16T00:00:00"/>
    <n v="7.55"/>
    <n v="0.2"/>
    <x v="4"/>
    <n v="26"/>
    <n v="7.75"/>
    <n v="780"/>
    <n v="787.75"/>
  </r>
  <r>
    <d v="2014-03-21T00:00:00"/>
    <d v="2014-04-02T00:00:00"/>
    <n v="16.55"/>
    <n v="0.44"/>
    <x v="0"/>
    <n v="12"/>
    <n v="16.990000000000002"/>
    <n v="600"/>
    <n v="616.99"/>
  </r>
  <r>
    <d v="2014-03-21T00:00:00"/>
    <d v="2014-04-10T00:00:00"/>
    <n v="3.79"/>
    <n v="0.1"/>
    <x v="4"/>
    <n v="20"/>
    <n v="3.89"/>
    <n v="600"/>
    <n v="603.89"/>
  </r>
  <r>
    <d v="2014-03-21T00:00:00"/>
    <d v="2014-03-27T00:00:00"/>
    <n v="8.51"/>
    <n v="0.22"/>
    <x v="1"/>
    <n v="6"/>
    <n v="8.73"/>
    <n v="360"/>
    <n v="368.73"/>
  </r>
  <r>
    <d v="2014-03-21T00:00:00"/>
    <d v="2014-03-26T00:00:00"/>
    <n v="7.71"/>
    <n v="0.2"/>
    <x v="2"/>
    <n v="5"/>
    <n v="7.91"/>
    <n v="100"/>
    <n v="107.91"/>
  </r>
  <r>
    <d v="2014-03-27T00:00:00"/>
    <d v="2014-04-13T00:00:00"/>
    <n v="3.79"/>
    <n v="0.1"/>
    <x v="2"/>
    <n v="17"/>
    <n v="3.89"/>
    <n v="340"/>
    <n v="343.89"/>
  </r>
  <r>
    <d v="2014-03-27T00:00:00"/>
    <d v="2014-04-18T00:00:00"/>
    <n v="16.55"/>
    <n v="0.44"/>
    <x v="3"/>
    <n v="22"/>
    <n v="16.990000000000002"/>
    <n v="880"/>
    <n v="896.99"/>
  </r>
  <r>
    <d v="2014-03-27T00:00:00"/>
    <d v="2014-03-30T00:00:00"/>
    <n v="10.19"/>
    <n v="0.27"/>
    <x v="0"/>
    <n v="3"/>
    <n v="10.459999999999999"/>
    <n v="150"/>
    <n v="160.46"/>
  </r>
  <r>
    <d v="2014-03-27T00:00:00"/>
    <d v="2014-04-02T00:00:00"/>
    <n v="8.39"/>
    <n v="0.22"/>
    <x v="0"/>
    <n v="6"/>
    <n v="8.6100000000000012"/>
    <n v="300"/>
    <n v="308.61"/>
  </r>
  <r>
    <d v="2014-03-27T00:00:00"/>
    <d v="2014-04-23T00:00:00"/>
    <n v="8.89"/>
    <n v="0.23"/>
    <x v="2"/>
    <n v="27"/>
    <n v="9.120000000000001"/>
    <n v="540"/>
    <n v="549.12"/>
  </r>
  <r>
    <d v="2014-03-27T00:00:00"/>
    <d v="2014-04-19T00:00:00"/>
    <n v="7.35"/>
    <n v="0.19"/>
    <x v="2"/>
    <n v="23"/>
    <n v="7.54"/>
    <n v="460"/>
    <n v="467.54"/>
  </r>
  <r>
    <d v="2014-04-02T00:00:00"/>
    <d v="2014-04-11T00:00:00"/>
    <n v="6.88"/>
    <n v="0.18"/>
    <x v="3"/>
    <n v="9"/>
    <n v="7.06"/>
    <n v="360"/>
    <n v="367.06"/>
  </r>
  <r>
    <d v="2014-04-02T00:00:00"/>
    <d v="2014-04-11T00:00:00"/>
    <n v="13.02"/>
    <n v="0.34"/>
    <x v="4"/>
    <n v="9"/>
    <n v="13.36"/>
    <n v="270"/>
    <n v="283.36"/>
  </r>
  <r>
    <d v="2014-04-02T00:00:00"/>
    <d v="2014-04-21T00:00:00"/>
    <n v="10.59"/>
    <n v="0.28000000000000003"/>
    <x v="4"/>
    <n v="19"/>
    <n v="10.87"/>
    <n v="570"/>
    <n v="580.87"/>
  </r>
  <r>
    <d v="2014-04-02T00:00:00"/>
    <d v="2014-04-22T00:00:00"/>
    <n v="16.940000000000001"/>
    <n v="0.45"/>
    <x v="3"/>
    <n v="20"/>
    <n v="17.39"/>
    <n v="800"/>
    <n v="817.39"/>
  </r>
  <r>
    <d v="2014-04-02T00:00:00"/>
    <d v="2014-04-19T00:00:00"/>
    <n v="11.44"/>
    <n v="0.3"/>
    <x v="3"/>
    <n v="17"/>
    <n v="11.74"/>
    <n v="680"/>
    <n v="691.74"/>
  </r>
  <r>
    <d v="2014-04-02T00:00:00"/>
    <d v="2014-04-04T00:00:00"/>
    <n v="3.79"/>
    <n v="0.1"/>
    <x v="3"/>
    <n v="2"/>
    <n v="3.89"/>
    <n v="80"/>
    <n v="83.89"/>
  </r>
  <r>
    <d v="2014-04-03T00:00:00"/>
    <d v="2014-04-29T00:00:00"/>
    <n v="10.19"/>
    <n v="0.27"/>
    <x v="2"/>
    <n v="26"/>
    <n v="10.459999999999999"/>
    <n v="520"/>
    <n v="530.46"/>
  </r>
  <r>
    <d v="2014-04-08T00:00:00"/>
    <d v="2014-04-18T00:00:00"/>
    <n v="7.35"/>
    <n v="0.19"/>
    <x v="0"/>
    <n v="10"/>
    <n v="7.54"/>
    <n v="500"/>
    <n v="507.54"/>
  </r>
  <r>
    <d v="2014-04-08T00:00:00"/>
    <d v="2014-04-23T00:00:00"/>
    <n v="9.74"/>
    <n v="0.26"/>
    <x v="1"/>
    <n v="15"/>
    <n v="10"/>
    <n v="900"/>
    <n v="910"/>
  </r>
  <r>
    <d v="2014-04-08T00:00:00"/>
    <d v="2014-04-29T00:00:00"/>
    <n v="8.65"/>
    <n v="0.23"/>
    <x v="4"/>
    <n v="21"/>
    <n v="8.8800000000000008"/>
    <n v="630"/>
    <n v="638.88"/>
  </r>
  <r>
    <d v="2014-04-08T00:00:00"/>
    <d v="2014-04-30T00:00:00"/>
    <n v="7.06"/>
    <n v="0.19"/>
    <x v="2"/>
    <n v="22"/>
    <n v="7.25"/>
    <n v="440"/>
    <n v="447.25"/>
  </r>
  <r>
    <d v="2014-04-08T00:00:00"/>
    <d v="2014-05-03T00:00:00"/>
    <n v="14"/>
    <n v="0.37"/>
    <x v="2"/>
    <n v="25"/>
    <n v="14.37"/>
    <n v="500"/>
    <n v="514.37"/>
  </r>
  <r>
    <d v="2014-04-08T00:00:00"/>
    <d v="2014-05-05T00:00:00"/>
    <n v="16.940000000000001"/>
    <n v="0.45"/>
    <x v="3"/>
    <n v="27"/>
    <n v="17.39"/>
    <n v="1080"/>
    <n v="1097.3900000000001"/>
  </r>
  <r>
    <d v="2014-04-14T00:00:00"/>
    <d v="2014-04-30T00:00:00"/>
    <n v="16.55"/>
    <n v="0.44"/>
    <x v="3"/>
    <n v="16"/>
    <n v="16.990000000000002"/>
    <n v="640"/>
    <n v="656.99"/>
  </r>
  <r>
    <d v="2014-04-14T00:00:00"/>
    <d v="2014-05-07T00:00:00"/>
    <n v="14.13"/>
    <n v="0.37"/>
    <x v="1"/>
    <n v="23"/>
    <n v="14.5"/>
    <n v="1380"/>
    <n v="1394.5"/>
  </r>
  <r>
    <d v="2014-04-14T00:00:00"/>
    <d v="2014-05-02T00:00:00"/>
    <n v="11.42"/>
    <n v="0.3"/>
    <x v="0"/>
    <n v="18"/>
    <n v="11.72"/>
    <n v="900"/>
    <n v="911.72"/>
  </r>
  <r>
    <d v="2014-04-14T00:00:00"/>
    <d v="2014-05-03T00:00:00"/>
    <n v="16.829999999999998"/>
    <n v="0.44"/>
    <x v="0"/>
    <n v="19"/>
    <n v="17.27"/>
    <n v="950"/>
    <n v="967.27"/>
  </r>
  <r>
    <d v="2014-04-14T00:00:00"/>
    <d v="2014-05-09T00:00:00"/>
    <n v="9.06"/>
    <n v="0.24"/>
    <x v="3"/>
    <n v="25"/>
    <n v="9.3000000000000007"/>
    <n v="1000"/>
    <n v="1009.3"/>
  </r>
  <r>
    <d v="2014-04-14T00:00:00"/>
    <d v="2014-04-26T00:00:00"/>
    <n v="11.69"/>
    <n v="0.31"/>
    <x v="0"/>
    <n v="12"/>
    <n v="12"/>
    <n v="600"/>
    <n v="612"/>
  </r>
  <r>
    <d v="2014-04-18T00:00:00"/>
    <d v="2014-05-13T00:00:00"/>
    <n v="6.58"/>
    <n v="0.17"/>
    <x v="4"/>
    <n v="25"/>
    <n v="6.75"/>
    <n v="750"/>
    <n v="756.75"/>
  </r>
  <r>
    <d v="2014-04-20T00:00:00"/>
    <d v="2014-04-26T00:00:00"/>
    <n v="11.44"/>
    <n v="0.3"/>
    <x v="1"/>
    <n v="6"/>
    <n v="11.74"/>
    <n v="360"/>
    <n v="371.74"/>
  </r>
  <r>
    <d v="2014-04-20T00:00:00"/>
    <d v="2014-05-04T00:00:00"/>
    <n v="6.75"/>
    <n v="0.18"/>
    <x v="1"/>
    <n v="14"/>
    <n v="6.93"/>
    <n v="840"/>
    <n v="846.93"/>
  </r>
  <r>
    <d v="2014-04-23T00:00:00"/>
    <d v="2014-05-12T00:00:00"/>
    <n v="7.71"/>
    <n v="0.2"/>
    <x v="0"/>
    <n v="19"/>
    <n v="7.91"/>
    <n v="950"/>
    <n v="957.91"/>
  </r>
  <r>
    <d v="2014-04-23T00:00:00"/>
    <d v="2014-04-25T00:00:00"/>
    <n v="6.75"/>
    <n v="0.18"/>
    <x v="3"/>
    <n v="2"/>
    <n v="6.93"/>
    <n v="80"/>
    <n v="86.93"/>
  </r>
  <r>
    <d v="2014-04-24T00:00:00"/>
    <d v="2014-04-29T00:00:00"/>
    <n v="3.57"/>
    <n v="0.09"/>
    <x v="2"/>
    <n v="5"/>
    <n v="3.6599999999999997"/>
    <n v="100"/>
    <n v="103.66"/>
  </r>
  <r>
    <d v="2014-04-26T00:00:00"/>
    <d v="2014-05-23T00:00:00"/>
    <n v="10.19"/>
    <n v="0.27"/>
    <x v="4"/>
    <n v="27"/>
    <n v="10.459999999999999"/>
    <n v="810"/>
    <n v="820.46"/>
  </r>
  <r>
    <d v="2014-04-26T00:00:00"/>
    <d v="2014-05-20T00:00:00"/>
    <n v="11.78"/>
    <n v="0.31"/>
    <x v="4"/>
    <n v="24"/>
    <n v="12.09"/>
    <n v="720"/>
    <n v="732.09"/>
  </r>
  <r>
    <d v="2014-04-26T00:00:00"/>
    <d v="2014-05-12T00:00:00"/>
    <n v="3.79"/>
    <n v="0.1"/>
    <x v="4"/>
    <n v="16"/>
    <n v="3.89"/>
    <n v="480"/>
    <n v="483.89"/>
  </r>
  <r>
    <d v="2014-04-26T00:00:00"/>
    <d v="2014-05-02T00:00:00"/>
    <n v="6.75"/>
    <n v="0.18"/>
    <x v="1"/>
    <n v="6"/>
    <n v="6.93"/>
    <n v="360"/>
    <n v="366.93"/>
  </r>
  <r>
    <d v="2014-04-26T00:00:00"/>
    <d v="2014-05-08T00:00:00"/>
    <n v="12.01"/>
    <n v="0.32"/>
    <x v="2"/>
    <n v="12"/>
    <n v="12.33"/>
    <n v="240"/>
    <n v="252.33"/>
  </r>
  <r>
    <d v="2014-04-26T00:00:00"/>
    <d v="2014-05-05T00:00:00"/>
    <n v="2.0099999999999998"/>
    <n v="0.05"/>
    <x v="2"/>
    <n v="9"/>
    <n v="2.0599999999999996"/>
    <n v="180"/>
    <n v="182.06"/>
  </r>
  <r>
    <d v="2014-04-28T00:00:00"/>
    <d v="2014-05-09T00:00:00"/>
    <n v="9.06"/>
    <n v="0.24"/>
    <x v="0"/>
    <n v="11"/>
    <n v="9.3000000000000007"/>
    <n v="550"/>
    <n v="559.29999999999995"/>
  </r>
  <r>
    <d v="2014-05-02T00:00:00"/>
    <d v="2014-05-27T00:00:00"/>
    <n v="13.81"/>
    <n v="0.36"/>
    <x v="4"/>
    <n v="25"/>
    <n v="14.17"/>
    <n v="750"/>
    <n v="764.17"/>
  </r>
  <r>
    <d v="2014-05-02T00:00:00"/>
    <d v="2014-05-23T00:00:00"/>
    <n v="5.47"/>
    <n v="0.14000000000000001"/>
    <x v="4"/>
    <n v="21"/>
    <n v="5.6099999999999994"/>
    <n v="630"/>
    <n v="635.61"/>
  </r>
  <r>
    <d v="2014-05-02T00:00:00"/>
    <d v="2014-05-18T00:00:00"/>
    <n v="9.06"/>
    <n v="0.24"/>
    <x v="0"/>
    <n v="16"/>
    <n v="9.3000000000000007"/>
    <n v="800"/>
    <n v="809.3"/>
  </r>
  <r>
    <d v="2014-05-05T00:00:00"/>
    <d v="2014-05-21T00:00:00"/>
    <n v="8.39"/>
    <n v="0.22"/>
    <x v="0"/>
    <n v="16"/>
    <n v="8.6100000000000012"/>
    <n v="800"/>
    <n v="808.61"/>
  </r>
  <r>
    <d v="2014-05-05T00:00:00"/>
    <d v="2014-05-17T00:00:00"/>
    <n v="3.73"/>
    <n v="0.1"/>
    <x v="0"/>
    <n v="12"/>
    <n v="3.83"/>
    <n v="600"/>
    <n v="603.83000000000004"/>
  </r>
  <r>
    <d v="2014-05-06T00:00:00"/>
    <d v="2014-05-14T00:00:00"/>
    <n v="7.31"/>
    <n v="0.19"/>
    <x v="3"/>
    <n v="8"/>
    <n v="7.5"/>
    <n v="320"/>
    <n v="327.5"/>
  </r>
  <r>
    <d v="2014-05-08T00:00:00"/>
    <d v="2014-05-21T00:00:00"/>
    <n v="14.31"/>
    <n v="0.38"/>
    <x v="1"/>
    <n v="13"/>
    <n v="14.690000000000001"/>
    <n v="780"/>
    <n v="794.69"/>
  </r>
  <r>
    <d v="2014-05-08T00:00:00"/>
    <d v="2014-06-04T00:00:00"/>
    <n v="14.13"/>
    <n v="0.37"/>
    <x v="3"/>
    <n v="27"/>
    <n v="14.5"/>
    <n v="1080"/>
    <n v="1094.5"/>
  </r>
  <r>
    <d v="2014-05-08T00:00:00"/>
    <d v="2014-05-18T00:00:00"/>
    <n v="3.88"/>
    <n v="0.1"/>
    <x v="0"/>
    <n v="10"/>
    <n v="3.98"/>
    <n v="500"/>
    <n v="503.98"/>
  </r>
  <r>
    <d v="2014-05-08T00:00:00"/>
    <d v="2014-05-10T00:00:00"/>
    <n v="7.35"/>
    <n v="0.19"/>
    <x v="1"/>
    <n v="2"/>
    <n v="7.54"/>
    <n v="120"/>
    <n v="127.54"/>
  </r>
  <r>
    <d v="2014-05-08T00:00:00"/>
    <d v="2014-05-17T00:00:00"/>
    <n v="12.01"/>
    <n v="0.32"/>
    <x v="3"/>
    <n v="9"/>
    <n v="12.33"/>
    <n v="360"/>
    <n v="372.33"/>
  </r>
  <r>
    <d v="2014-05-08T00:00:00"/>
    <d v="2014-05-16T00:00:00"/>
    <n v="13.07"/>
    <n v="0.34"/>
    <x v="4"/>
    <n v="8"/>
    <n v="13.41"/>
    <n v="240"/>
    <n v="253.41"/>
  </r>
  <r>
    <d v="2014-05-14T00:00:00"/>
    <d v="2014-05-30T00:00:00"/>
    <n v="7.35"/>
    <n v="0.19"/>
    <x v="3"/>
    <n v="16"/>
    <n v="7.54"/>
    <n v="640"/>
    <n v="647.54"/>
  </r>
  <r>
    <d v="2014-05-14T00:00:00"/>
    <d v="2014-05-17T00:00:00"/>
    <n v="11.37"/>
    <n v="0.3"/>
    <x v="2"/>
    <n v="3"/>
    <n v="11.67"/>
    <n v="60"/>
    <n v="71.67"/>
  </r>
  <r>
    <d v="2014-05-14T00:00:00"/>
    <d v="2014-05-19T00:00:00"/>
    <n v="13.81"/>
    <n v="0.36"/>
    <x v="4"/>
    <n v="5"/>
    <n v="14.17"/>
    <n v="150"/>
    <n v="164.17"/>
  </r>
  <r>
    <d v="2014-05-14T00:00:00"/>
    <d v="2014-05-21T00:00:00"/>
    <n v="5.64"/>
    <n v="0.15"/>
    <x v="1"/>
    <n v="7"/>
    <n v="5.79"/>
    <n v="420"/>
    <n v="425.79"/>
  </r>
  <r>
    <d v="2014-05-14T00:00:00"/>
    <d v="2014-05-23T00:00:00"/>
    <n v="7.55"/>
    <n v="0.2"/>
    <x v="2"/>
    <n v="9"/>
    <n v="7.75"/>
    <n v="180"/>
    <n v="187.75"/>
  </r>
  <r>
    <d v="2014-05-14T00:00:00"/>
    <d v="2014-05-28T00:00:00"/>
    <n v="5.23"/>
    <n v="0.14000000000000001"/>
    <x v="4"/>
    <n v="14"/>
    <n v="5.37"/>
    <n v="420"/>
    <n v="425.37"/>
  </r>
  <r>
    <d v="2014-05-14T00:00:00"/>
    <d v="2014-06-01T00:00:00"/>
    <n v="7.55"/>
    <n v="0.2"/>
    <x v="2"/>
    <n v="18"/>
    <n v="7.75"/>
    <n v="360"/>
    <n v="367.75"/>
  </r>
  <r>
    <d v="2014-05-20T00:00:00"/>
    <d v="2014-06-02T00:00:00"/>
    <n v="8.89"/>
    <n v="0.23"/>
    <x v="4"/>
    <n v="13"/>
    <n v="9.120000000000001"/>
    <n v="390"/>
    <n v="399.12"/>
  </r>
  <r>
    <d v="2014-05-20T00:00:00"/>
    <d v="2014-06-13T00:00:00"/>
    <n v="8.65"/>
    <n v="0.23"/>
    <x v="4"/>
    <n v="24"/>
    <n v="8.8800000000000008"/>
    <n v="720"/>
    <n v="728.88"/>
  </r>
  <r>
    <d v="2014-05-20T00:00:00"/>
    <d v="2014-05-29T00:00:00"/>
    <n v="7.3"/>
    <n v="0.19"/>
    <x v="1"/>
    <n v="9"/>
    <n v="7.49"/>
    <n v="540"/>
    <n v="547.49"/>
  </r>
  <r>
    <d v="2014-05-20T00:00:00"/>
    <d v="2014-06-11T00:00:00"/>
    <n v="10.59"/>
    <n v="0.28000000000000003"/>
    <x v="0"/>
    <n v="22"/>
    <n v="10.87"/>
    <n v="1100"/>
    <n v="1110.8699999999999"/>
  </r>
  <r>
    <d v="2014-05-20T00:00:00"/>
    <d v="2014-05-30T00:00:00"/>
    <n v="11.37"/>
    <n v="0.3"/>
    <x v="0"/>
    <n v="10"/>
    <n v="11.67"/>
    <n v="500"/>
    <n v="511.67"/>
  </r>
  <r>
    <d v="2014-05-20T00:00:00"/>
    <d v="2014-06-03T00:00:00"/>
    <n v="10.79"/>
    <n v="0.28000000000000003"/>
    <x v="3"/>
    <n v="14"/>
    <n v="11.069999999999999"/>
    <n v="560"/>
    <n v="571.07000000000005"/>
  </r>
  <r>
    <d v="2014-05-26T00:00:00"/>
    <d v="2014-06-03T00:00:00"/>
    <n v="11.44"/>
    <n v="0.3"/>
    <x v="3"/>
    <n v="8"/>
    <n v="11.74"/>
    <n v="320"/>
    <n v="331.74"/>
  </r>
  <r>
    <d v="2014-05-26T00:00:00"/>
    <d v="2014-06-06T00:00:00"/>
    <n v="13.07"/>
    <n v="0.34"/>
    <x v="2"/>
    <n v="11"/>
    <n v="13.41"/>
    <n v="220"/>
    <n v="233.41"/>
  </r>
  <r>
    <d v="2014-05-26T00:00:00"/>
    <d v="2014-06-11T00:00:00"/>
    <n v="5.57"/>
    <n v="0.15"/>
    <x v="1"/>
    <n v="16"/>
    <n v="5.7200000000000006"/>
    <n v="960"/>
    <n v="965.72"/>
  </r>
  <r>
    <d v="2014-05-26T00:00:00"/>
    <d v="2014-05-28T00:00:00"/>
    <n v="11.78"/>
    <n v="0.31"/>
    <x v="0"/>
    <n v="2"/>
    <n v="12.09"/>
    <n v="100"/>
    <n v="112.09"/>
  </r>
  <r>
    <d v="2014-05-26T00:00:00"/>
    <d v="2014-05-29T00:00:00"/>
    <n v="11.78"/>
    <n v="0.31"/>
    <x v="2"/>
    <n v="3"/>
    <n v="12.09"/>
    <n v="60"/>
    <n v="72.09"/>
  </r>
  <r>
    <d v="2014-05-26T00:00:00"/>
    <d v="2014-06-12T00:00:00"/>
    <n v="9.74"/>
    <n v="0.26"/>
    <x v="4"/>
    <n v="17"/>
    <n v="10"/>
    <n v="510"/>
    <n v="520"/>
  </r>
  <r>
    <d v="2014-06-01T00:00:00"/>
    <d v="2014-06-28T00:00:00"/>
    <n v="12.01"/>
    <n v="0.32"/>
    <x v="1"/>
    <n v="27"/>
    <n v="12.33"/>
    <n v="1620"/>
    <n v="1632.33"/>
  </r>
  <r>
    <d v="2014-06-01T00:00:00"/>
    <d v="2014-06-08T00:00:00"/>
    <n v="9.4600000000000009"/>
    <n v="0.25"/>
    <x v="4"/>
    <n v="7"/>
    <n v="9.7100000000000009"/>
    <n v="210"/>
    <n v="219.71"/>
  </r>
  <r>
    <d v="2014-06-01T00:00:00"/>
    <d v="2014-06-05T00:00:00"/>
    <n v="11.37"/>
    <n v="0.3"/>
    <x v="1"/>
    <n v="4"/>
    <n v="11.67"/>
    <n v="240"/>
    <n v="251.67"/>
  </r>
  <r>
    <d v="2014-06-01T00:00:00"/>
    <d v="2014-06-17T00:00:00"/>
    <n v="5.78"/>
    <n v="0.15"/>
    <x v="4"/>
    <n v="16"/>
    <n v="5.9300000000000006"/>
    <n v="480"/>
    <n v="485.93"/>
  </r>
  <r>
    <d v="2014-06-01T00:00:00"/>
    <d v="2014-06-22T00:00:00"/>
    <n v="12.01"/>
    <n v="0.32"/>
    <x v="0"/>
    <n v="21"/>
    <n v="12.33"/>
    <n v="1050"/>
    <n v="1062.33"/>
  </r>
  <r>
    <d v="2014-06-01T00:00:00"/>
    <d v="2014-06-25T00:00:00"/>
    <n v="7.55"/>
    <n v="0.2"/>
    <x v="0"/>
    <n v="24"/>
    <n v="7.75"/>
    <n v="1200"/>
    <n v="1207.75"/>
  </r>
  <r>
    <d v="2014-06-01T00:00:00"/>
    <d v="2014-06-04T00:00:00"/>
    <n v="9.74"/>
    <n v="0.26"/>
    <x v="4"/>
    <n v="3"/>
    <n v="10"/>
    <n v="90"/>
    <n v="100"/>
  </r>
  <r>
    <d v="2014-06-02T00:00:00"/>
    <d v="2014-06-12T00:00:00"/>
    <n v="2.72"/>
    <n v="7.0000000000000007E-2"/>
    <x v="2"/>
    <n v="10"/>
    <n v="2.79"/>
    <n v="200"/>
    <n v="202.79"/>
  </r>
  <r>
    <d v="2014-06-02T00:00:00"/>
    <d v="2014-06-11T00:00:00"/>
    <n v="3.57"/>
    <n v="0.09"/>
    <x v="4"/>
    <n v="9"/>
    <n v="3.6599999999999997"/>
    <n v="270"/>
    <n v="273.66000000000003"/>
  </r>
  <r>
    <d v="2014-06-02T00:00:00"/>
    <d v="2014-06-23T00:00:00"/>
    <n v="7.55"/>
    <n v="0.2"/>
    <x v="1"/>
    <n v="21"/>
    <n v="7.75"/>
    <n v="1260"/>
    <n v="1267.75"/>
  </r>
  <r>
    <d v="2014-06-02T00:00:00"/>
    <d v="2014-06-22T00:00:00"/>
    <n v="3.57"/>
    <n v="0.09"/>
    <x v="2"/>
    <n v="20"/>
    <n v="3.6599999999999997"/>
    <n v="400"/>
    <n v="403.66"/>
  </r>
  <r>
    <d v="2014-06-03T00:00:00"/>
    <d v="2014-06-13T00:00:00"/>
    <n v="2.29"/>
    <n v="0.06"/>
    <x v="0"/>
    <n v="10"/>
    <n v="2.35"/>
    <n v="500"/>
    <n v="502.35"/>
  </r>
  <r>
    <d v="2014-06-03T00:00:00"/>
    <d v="2014-06-27T00:00:00"/>
    <n v="9.06"/>
    <n v="0.24"/>
    <x v="3"/>
    <n v="24"/>
    <n v="9.3000000000000007"/>
    <n v="960"/>
    <n v="969.3"/>
  </r>
  <r>
    <d v="2014-06-04T00:00:00"/>
    <d v="2014-06-08T00:00:00"/>
    <n v="4.25"/>
    <n v="0.11"/>
    <x v="2"/>
    <n v="4"/>
    <n v="4.3600000000000003"/>
    <n v="80"/>
    <n v="84.36"/>
  </r>
  <r>
    <d v="2014-06-04T00:00:00"/>
    <d v="2014-06-14T00:00:00"/>
    <n v="7.31"/>
    <n v="0.19"/>
    <x v="1"/>
    <n v="10"/>
    <n v="7.5"/>
    <n v="600"/>
    <n v="607.5"/>
  </r>
  <r>
    <d v="2014-06-04T00:00:00"/>
    <d v="2014-06-10T00:00:00"/>
    <n v="9.06"/>
    <n v="0.24"/>
    <x v="2"/>
    <n v="6"/>
    <n v="9.3000000000000007"/>
    <n v="120"/>
    <n v="129.30000000000001"/>
  </r>
  <r>
    <d v="2014-06-05T00:00:00"/>
    <d v="2014-06-09T00:00:00"/>
    <n v="6.43"/>
    <n v="0.17"/>
    <x v="4"/>
    <n v="4"/>
    <n v="6.6"/>
    <n v="120"/>
    <n v="126.6"/>
  </r>
  <r>
    <d v="2014-06-07T00:00:00"/>
    <d v="2014-06-18T00:00:00"/>
    <n v="2.0099999999999998"/>
    <n v="0.05"/>
    <x v="4"/>
    <n v="11"/>
    <n v="2.0599999999999996"/>
    <n v="330"/>
    <n v="332.06"/>
  </r>
  <r>
    <d v="2014-06-07T00:00:00"/>
    <d v="2014-06-12T00:00:00"/>
    <n v="8.51"/>
    <n v="0.22"/>
    <x v="4"/>
    <n v="5"/>
    <n v="8.73"/>
    <n v="150"/>
    <n v="158.72999999999999"/>
  </r>
  <r>
    <d v="2014-06-07T00:00:00"/>
    <d v="2014-06-27T00:00:00"/>
    <n v="16.55"/>
    <n v="0.44"/>
    <x v="3"/>
    <n v="20"/>
    <n v="16.990000000000002"/>
    <n v="800"/>
    <n v="816.99"/>
  </r>
  <r>
    <d v="2014-06-07T00:00:00"/>
    <d v="2014-06-14T00:00:00"/>
    <n v="9.1300000000000008"/>
    <n v="0.24"/>
    <x v="4"/>
    <n v="7"/>
    <n v="9.370000000000001"/>
    <n v="210"/>
    <n v="219.37"/>
  </r>
  <r>
    <d v="2014-06-07T00:00:00"/>
    <d v="2014-06-26T00:00:00"/>
    <n v="10.199999999999999"/>
    <n v="0.27"/>
    <x v="0"/>
    <n v="19"/>
    <n v="10.469999999999999"/>
    <n v="950"/>
    <n v="960.47"/>
  </r>
  <r>
    <d v="2014-06-09T00:00:00"/>
    <d v="2014-07-03T00:00:00"/>
    <n v="6.23"/>
    <n v="0.16"/>
    <x v="2"/>
    <n v="24"/>
    <n v="6.3900000000000006"/>
    <n v="480"/>
    <n v="486.39"/>
  </r>
  <r>
    <d v="2014-06-13T00:00:00"/>
    <d v="2014-07-07T00:00:00"/>
    <n v="8.51"/>
    <n v="0.22"/>
    <x v="4"/>
    <n v="24"/>
    <n v="8.73"/>
    <n v="720"/>
    <n v="728.73"/>
  </r>
  <r>
    <d v="2014-06-13T00:00:00"/>
    <d v="2014-06-21T00:00:00"/>
    <n v="13.82"/>
    <n v="0.36"/>
    <x v="3"/>
    <n v="8"/>
    <n v="14.18"/>
    <n v="320"/>
    <n v="334.18"/>
  </r>
  <r>
    <d v="2014-06-13T00:00:00"/>
    <d v="2014-07-05T00:00:00"/>
    <n v="6.34"/>
    <n v="0.17"/>
    <x v="1"/>
    <n v="22"/>
    <n v="6.51"/>
    <n v="1320"/>
    <n v="1326.51"/>
  </r>
  <r>
    <d v="2014-06-13T00:00:00"/>
    <d v="2014-07-09T00:00:00"/>
    <n v="10.19"/>
    <n v="0.27"/>
    <x v="1"/>
    <n v="26"/>
    <n v="10.459999999999999"/>
    <n v="1560"/>
    <n v="1570.46"/>
  </r>
  <r>
    <d v="2014-06-13T00:00:00"/>
    <d v="2014-06-15T00:00:00"/>
    <n v="14"/>
    <n v="0.37"/>
    <x v="4"/>
    <n v="2"/>
    <n v="14.37"/>
    <n v="60"/>
    <n v="74.37"/>
  </r>
  <r>
    <d v="2014-06-13T00:00:00"/>
    <d v="2014-06-24T00:00:00"/>
    <n v="14"/>
    <n v="0.37"/>
    <x v="3"/>
    <n v="11"/>
    <n v="14.37"/>
    <n v="440"/>
    <n v="454.37"/>
  </r>
  <r>
    <d v="2014-06-13T00:00:00"/>
    <d v="2014-06-26T00:00:00"/>
    <n v="10.19"/>
    <n v="0.27"/>
    <x v="2"/>
    <n v="13"/>
    <n v="10.459999999999999"/>
    <n v="260"/>
    <n v="270.45999999999998"/>
  </r>
  <r>
    <d v="2014-06-13T00:00:00"/>
    <d v="2014-06-28T00:00:00"/>
    <n v="8.89"/>
    <n v="0.23"/>
    <x v="0"/>
    <n v="15"/>
    <n v="9.120000000000001"/>
    <n v="750"/>
    <n v="759.12"/>
  </r>
  <r>
    <d v="2014-06-13T00:00:00"/>
    <d v="2014-06-24T00:00:00"/>
    <n v="11.44"/>
    <n v="0.3"/>
    <x v="1"/>
    <n v="11"/>
    <n v="11.74"/>
    <n v="660"/>
    <n v="671.74"/>
  </r>
  <r>
    <d v="2014-06-13T00:00:00"/>
    <d v="2014-07-07T00:00:00"/>
    <n v="10.93"/>
    <n v="0.28999999999999998"/>
    <x v="2"/>
    <n v="24"/>
    <n v="11.219999999999999"/>
    <n v="480"/>
    <n v="491.22"/>
  </r>
  <r>
    <d v="2014-06-13T00:00:00"/>
    <d v="2014-07-02T00:00:00"/>
    <n v="6.34"/>
    <n v="0.17"/>
    <x v="3"/>
    <n v="19"/>
    <n v="6.51"/>
    <n v="760"/>
    <n v="766.51"/>
  </r>
  <r>
    <d v="2014-06-13T00:00:00"/>
    <d v="2014-06-23T00:00:00"/>
    <n v="5.67"/>
    <n v="0.15"/>
    <x v="0"/>
    <n v="10"/>
    <n v="5.82"/>
    <n v="500"/>
    <n v="505.82"/>
  </r>
  <r>
    <d v="2014-06-13T00:00:00"/>
    <d v="2014-07-01T00:00:00"/>
    <n v="8.51"/>
    <n v="0.22"/>
    <x v="1"/>
    <n v="18"/>
    <n v="8.73"/>
    <n v="1080"/>
    <n v="1088.73"/>
  </r>
  <r>
    <d v="2014-06-13T00:00:00"/>
    <d v="2014-06-27T00:00:00"/>
    <n v="16.829999999999998"/>
    <n v="0.44"/>
    <x v="0"/>
    <n v="14"/>
    <n v="17.27"/>
    <n v="700"/>
    <n v="717.27"/>
  </r>
  <r>
    <d v="2014-06-13T00:00:00"/>
    <d v="2014-06-24T00:00:00"/>
    <n v="11.69"/>
    <n v="0.31"/>
    <x v="0"/>
    <n v="11"/>
    <n v="12"/>
    <n v="550"/>
    <n v="562"/>
  </r>
  <r>
    <d v="2014-06-16T00:00:00"/>
    <d v="2014-06-18T00:00:00"/>
    <n v="7.71"/>
    <n v="0.2"/>
    <x v="4"/>
    <n v="2"/>
    <n v="7.91"/>
    <n v="60"/>
    <n v="67.91"/>
  </r>
  <r>
    <d v="2014-06-16T00:00:00"/>
    <d v="2014-07-14T00:00:00"/>
    <n v="5.67"/>
    <n v="0.15"/>
    <x v="0"/>
    <n v="28"/>
    <n v="5.82"/>
    <n v="1400"/>
    <n v="1405.82"/>
  </r>
  <r>
    <d v="2014-06-19T00:00:00"/>
    <d v="2014-07-17T00:00:00"/>
    <n v="7.3"/>
    <n v="0.19"/>
    <x v="1"/>
    <n v="28"/>
    <n v="7.49"/>
    <n v="1680"/>
    <n v="1687.49"/>
  </r>
  <r>
    <d v="2014-06-19T00:00:00"/>
    <d v="2014-06-23T00:00:00"/>
    <n v="5.64"/>
    <n v="0.15"/>
    <x v="0"/>
    <n v="4"/>
    <n v="5.79"/>
    <n v="200"/>
    <n v="205.79"/>
  </r>
  <r>
    <d v="2014-06-19T00:00:00"/>
    <d v="2014-06-25T00:00:00"/>
    <n v="10.79"/>
    <n v="0.28000000000000003"/>
    <x v="0"/>
    <n v="6"/>
    <n v="11.069999999999999"/>
    <n v="300"/>
    <n v="311.07"/>
  </r>
  <r>
    <d v="2014-06-19T00:00:00"/>
    <d v="2014-07-10T00:00:00"/>
    <n v="10.199999999999999"/>
    <n v="0.27"/>
    <x v="1"/>
    <n v="21"/>
    <n v="10.469999999999999"/>
    <n v="1260"/>
    <n v="1270.47"/>
  </r>
  <r>
    <d v="2014-06-19T00:00:00"/>
    <d v="2014-07-01T00:00:00"/>
    <n v="16.55"/>
    <n v="0.44"/>
    <x v="4"/>
    <n v="12"/>
    <n v="16.990000000000002"/>
    <n v="360"/>
    <n v="376.99"/>
  </r>
  <r>
    <d v="2014-06-19T00:00:00"/>
    <d v="2014-07-09T00:00:00"/>
    <n v="8.9499999999999993"/>
    <n v="0.24"/>
    <x v="1"/>
    <n v="20"/>
    <n v="9.19"/>
    <n v="1200"/>
    <n v="1209.19"/>
  </r>
  <r>
    <d v="2014-06-25T00:00:00"/>
    <d v="2014-07-05T00:00:00"/>
    <n v="5.64"/>
    <n v="0.15"/>
    <x v="3"/>
    <n v="10"/>
    <n v="5.79"/>
    <n v="400"/>
    <n v="405.79"/>
  </r>
  <r>
    <d v="2014-06-25T00:00:00"/>
    <d v="2014-07-20T00:00:00"/>
    <n v="6.34"/>
    <n v="0.17"/>
    <x v="4"/>
    <n v="25"/>
    <n v="6.51"/>
    <n v="750"/>
    <n v="756.51"/>
  </r>
  <r>
    <d v="2014-06-25T00:00:00"/>
    <d v="2014-07-12T00:00:00"/>
    <n v="11.69"/>
    <n v="0.31"/>
    <x v="1"/>
    <n v="17"/>
    <n v="12"/>
    <n v="1020"/>
    <n v="1032"/>
  </r>
  <r>
    <d v="2014-06-25T00:00:00"/>
    <d v="2014-07-19T00:00:00"/>
    <n v="11.42"/>
    <n v="0.3"/>
    <x v="0"/>
    <n v="24"/>
    <n v="11.72"/>
    <n v="1200"/>
    <n v="1211.72"/>
  </r>
  <r>
    <d v="2014-06-25T00:00:00"/>
    <d v="2014-07-02T00:00:00"/>
    <n v="8.5399999999999991"/>
    <n v="0.22"/>
    <x v="1"/>
    <n v="7"/>
    <n v="8.76"/>
    <n v="420"/>
    <n v="428.76"/>
  </r>
  <r>
    <d v="2014-06-25T00:00:00"/>
    <d v="2014-07-11T00:00:00"/>
    <n v="10.199999999999999"/>
    <n v="0.27"/>
    <x v="4"/>
    <n v="16"/>
    <n v="10.469999999999999"/>
    <n v="480"/>
    <n v="490.47"/>
  </r>
  <r>
    <d v="2014-06-25T00:00:00"/>
    <d v="2014-07-13T00:00:00"/>
    <n v="8.39"/>
    <n v="0.22"/>
    <x v="1"/>
    <n v="18"/>
    <n v="8.6100000000000012"/>
    <n v="1080"/>
    <n v="1088.6099999999999"/>
  </r>
  <r>
    <d v="2014-06-25T00:00:00"/>
    <d v="2014-07-06T00:00:00"/>
    <n v="9.4600000000000009"/>
    <n v="0.25"/>
    <x v="3"/>
    <n v="11"/>
    <n v="9.7100000000000009"/>
    <n v="440"/>
    <n v="449.71"/>
  </r>
  <r>
    <d v="2014-06-25T00:00:00"/>
    <d v="2014-07-23T00:00:00"/>
    <n v="11.37"/>
    <n v="0.3"/>
    <x v="0"/>
    <n v="28"/>
    <n v="11.67"/>
    <n v="1400"/>
    <n v="1411.67"/>
  </r>
  <r>
    <d v="2014-06-25T00:00:00"/>
    <d v="2014-07-21T00:00:00"/>
    <n v="3.79"/>
    <n v="0.1"/>
    <x v="0"/>
    <n v="26"/>
    <n v="3.89"/>
    <n v="1300"/>
    <n v="1303.8900000000001"/>
  </r>
  <r>
    <d v="2014-06-25T00:00:00"/>
    <d v="2014-07-15T00:00:00"/>
    <n v="8.84"/>
    <n v="0.23"/>
    <x v="2"/>
    <n v="20"/>
    <n v="9.07"/>
    <n v="400"/>
    <n v="409.07"/>
  </r>
  <r>
    <d v="2014-06-25T00:00:00"/>
    <d v="2014-07-05T00:00:00"/>
    <n v="19.54"/>
    <n v="0.51"/>
    <x v="3"/>
    <n v="10"/>
    <n v="20.05"/>
    <n v="400"/>
    <n v="420.05"/>
  </r>
  <r>
    <d v="2014-06-25T00:00:00"/>
    <d v="2014-07-01T00:00:00"/>
    <n v="3.79"/>
    <n v="0.1"/>
    <x v="0"/>
    <n v="6"/>
    <n v="3.89"/>
    <n v="300"/>
    <n v="303.89"/>
  </r>
  <r>
    <d v="2014-06-25T00:00:00"/>
    <d v="2014-07-08T00:00:00"/>
    <n v="9.74"/>
    <n v="0.26"/>
    <x v="1"/>
    <n v="13"/>
    <n v="10"/>
    <n v="780"/>
    <n v="790"/>
  </r>
  <r>
    <d v="2014-06-25T00:00:00"/>
    <d v="2014-07-17T00:00:00"/>
    <n v="10.199999999999999"/>
    <n v="0.27"/>
    <x v="2"/>
    <n v="22"/>
    <n v="10.469999999999999"/>
    <n v="440"/>
    <n v="450.47"/>
  </r>
  <r>
    <d v="2014-06-25T00:00:00"/>
    <d v="2014-07-16T00:00:00"/>
    <n v="3.88"/>
    <n v="0.1"/>
    <x v="3"/>
    <n v="21"/>
    <n v="3.98"/>
    <n v="840"/>
    <n v="843.98"/>
  </r>
  <r>
    <d v="2014-06-28T00:00:00"/>
    <d v="2014-07-15T00:00:00"/>
    <n v="4.66"/>
    <n v="0.12"/>
    <x v="3"/>
    <n v="17"/>
    <n v="4.78"/>
    <n v="680"/>
    <n v="684.78"/>
  </r>
  <r>
    <d v="2014-07-01T00:00:00"/>
    <d v="2014-07-20T00:00:00"/>
    <n v="16.55"/>
    <n v="0.44"/>
    <x v="1"/>
    <n v="19"/>
    <n v="16.990000000000002"/>
    <n v="1140"/>
    <n v="1156.99"/>
  </r>
  <r>
    <d v="2014-07-01T00:00:00"/>
    <d v="2014-07-15T00:00:00"/>
    <n v="13.81"/>
    <n v="0.36"/>
    <x v="4"/>
    <n v="14"/>
    <n v="14.17"/>
    <n v="420"/>
    <n v="434.17"/>
  </r>
  <r>
    <d v="2014-07-01T00:00:00"/>
    <d v="2014-07-17T00:00:00"/>
    <n v="8.51"/>
    <n v="0.22"/>
    <x v="0"/>
    <n v="16"/>
    <n v="8.73"/>
    <n v="800"/>
    <n v="808.73"/>
  </r>
  <r>
    <d v="2014-07-01T00:00:00"/>
    <d v="2014-07-07T00:00:00"/>
    <n v="8.65"/>
    <n v="0.23"/>
    <x v="2"/>
    <n v="6"/>
    <n v="8.8800000000000008"/>
    <n v="120"/>
    <n v="128.88"/>
  </r>
  <r>
    <d v="2014-07-01T00:00:00"/>
    <d v="2014-07-12T00:00:00"/>
    <n v="11.69"/>
    <n v="0.31"/>
    <x v="3"/>
    <n v="11"/>
    <n v="12"/>
    <n v="440"/>
    <n v="452"/>
  </r>
  <r>
    <d v="2014-07-01T00:00:00"/>
    <d v="2014-07-08T00:00:00"/>
    <n v="7.06"/>
    <n v="0.19"/>
    <x v="4"/>
    <n v="7"/>
    <n v="7.25"/>
    <n v="210"/>
    <n v="217.25"/>
  </r>
  <r>
    <d v="2014-07-07T00:00:00"/>
    <d v="2014-07-17T00:00:00"/>
    <n v="11.44"/>
    <n v="0.3"/>
    <x v="0"/>
    <n v="10"/>
    <n v="11.74"/>
    <n v="500"/>
    <n v="511.74"/>
  </r>
  <r>
    <d v="2014-07-07T00:00:00"/>
    <d v="2014-07-11T00:00:00"/>
    <n v="8.9499999999999993"/>
    <n v="0.24"/>
    <x v="3"/>
    <n v="4"/>
    <n v="9.19"/>
    <n v="160"/>
    <n v="169.19"/>
  </r>
  <r>
    <d v="2014-07-07T00:00:00"/>
    <d v="2014-07-27T00:00:00"/>
    <n v="9.4600000000000009"/>
    <n v="0.25"/>
    <x v="1"/>
    <n v="20"/>
    <n v="9.7100000000000009"/>
    <n v="1200"/>
    <n v="1209.71"/>
  </r>
  <r>
    <d v="2014-07-07T00:00:00"/>
    <d v="2014-07-21T00:00:00"/>
    <n v="5.23"/>
    <n v="0.14000000000000001"/>
    <x v="4"/>
    <n v="14"/>
    <n v="5.37"/>
    <n v="420"/>
    <n v="425.37"/>
  </r>
  <r>
    <d v="2014-07-07T00:00:00"/>
    <d v="2014-07-27T00:00:00"/>
    <n v="11.78"/>
    <n v="0.31"/>
    <x v="3"/>
    <n v="20"/>
    <n v="12.09"/>
    <n v="800"/>
    <n v="812.09"/>
  </r>
  <r>
    <d v="2014-07-07T00:00:00"/>
    <d v="2014-07-16T00:00:00"/>
    <n v="5.64"/>
    <n v="0.15"/>
    <x v="4"/>
    <n v="9"/>
    <n v="5.79"/>
    <n v="270"/>
    <n v="275.79000000000002"/>
  </r>
  <r>
    <d v="2014-07-07T00:00:00"/>
    <d v="2014-07-19T00:00:00"/>
    <n v="10.199999999999999"/>
    <n v="0.27"/>
    <x v="2"/>
    <n v="12"/>
    <n v="10.469999999999999"/>
    <n v="240"/>
    <n v="250.47"/>
  </r>
  <r>
    <d v="2014-07-07T00:00:00"/>
    <d v="2014-08-01T00:00:00"/>
    <n v="3.88"/>
    <n v="0.1"/>
    <x v="0"/>
    <n v="25"/>
    <n v="3.98"/>
    <n v="1250"/>
    <n v="1253.98"/>
  </r>
  <r>
    <d v="2014-07-07T00:00:00"/>
    <d v="2014-07-15T00:00:00"/>
    <n v="4.66"/>
    <n v="0.12"/>
    <x v="3"/>
    <n v="8"/>
    <n v="4.78"/>
    <n v="320"/>
    <n v="324.77999999999997"/>
  </r>
  <r>
    <d v="2014-07-07T00:00:00"/>
    <d v="2014-07-18T00:00:00"/>
    <n v="10.19"/>
    <n v="0.27"/>
    <x v="1"/>
    <n v="11"/>
    <n v="10.459999999999999"/>
    <n v="660"/>
    <n v="670.46"/>
  </r>
  <r>
    <d v="2014-07-07T00:00:00"/>
    <d v="2014-07-24T00:00:00"/>
    <n v="10.19"/>
    <n v="0.27"/>
    <x v="1"/>
    <n v="17"/>
    <n v="10.459999999999999"/>
    <n v="1020"/>
    <n v="1030.46"/>
  </r>
  <r>
    <d v="2014-07-07T00:00:00"/>
    <d v="2014-07-28T00:00:00"/>
    <n v="3.79"/>
    <n v="0.1"/>
    <x v="1"/>
    <n v="21"/>
    <n v="3.89"/>
    <n v="1260"/>
    <n v="1263.8900000000001"/>
  </r>
  <r>
    <d v="2014-07-07T00:00:00"/>
    <d v="2014-07-27T00:00:00"/>
    <n v="9.06"/>
    <n v="0.24"/>
    <x v="2"/>
    <n v="20"/>
    <n v="9.3000000000000007"/>
    <n v="400"/>
    <n v="409.3"/>
  </r>
  <r>
    <d v="2014-07-07T00:00:00"/>
    <d v="2014-07-11T00:00:00"/>
    <n v="6.23"/>
    <n v="0.16"/>
    <x v="4"/>
    <n v="4"/>
    <n v="6.3900000000000006"/>
    <n v="120"/>
    <n v="126.39"/>
  </r>
  <r>
    <d v="2014-07-07T00:00:00"/>
    <d v="2014-08-01T00:00:00"/>
    <n v="10.79"/>
    <n v="0.28000000000000003"/>
    <x v="4"/>
    <n v="25"/>
    <n v="11.069999999999999"/>
    <n v="750"/>
    <n v="761.07"/>
  </r>
  <r>
    <d v="2014-07-10T00:00:00"/>
    <d v="2014-07-27T00:00:00"/>
    <n v="5.67"/>
    <n v="0.15"/>
    <x v="0"/>
    <n v="17"/>
    <n v="5.82"/>
    <n v="850"/>
    <n v="855.82"/>
  </r>
  <r>
    <d v="2014-07-11T00:00:00"/>
    <d v="2014-08-04T00:00:00"/>
    <n v="2.29"/>
    <n v="0.06"/>
    <x v="4"/>
    <n v="24"/>
    <n v="2.35"/>
    <n v="720"/>
    <n v="722.35"/>
  </r>
  <r>
    <d v="2014-07-13T00:00:00"/>
    <d v="2014-08-02T00:00:00"/>
    <n v="10.93"/>
    <n v="0.28999999999999998"/>
    <x v="2"/>
    <n v="20"/>
    <n v="11.219999999999999"/>
    <n v="400"/>
    <n v="411.22"/>
  </r>
  <r>
    <d v="2014-07-13T00:00:00"/>
    <d v="2014-07-21T00:00:00"/>
    <n v="16.55"/>
    <n v="0.44"/>
    <x v="3"/>
    <n v="8"/>
    <n v="16.990000000000002"/>
    <n v="320"/>
    <n v="336.99"/>
  </r>
  <r>
    <d v="2014-07-14T00:00:00"/>
    <d v="2014-07-16T00:00:00"/>
    <n v="6.43"/>
    <n v="0.17"/>
    <x v="1"/>
    <n v="2"/>
    <n v="6.6"/>
    <n v="120"/>
    <n v="126.6"/>
  </r>
  <r>
    <d v="2014-07-15T00:00:00"/>
    <d v="2014-08-12T00:00:00"/>
    <n v="3.94"/>
    <n v="0.1"/>
    <x v="1"/>
    <n v="28"/>
    <n v="4.04"/>
    <n v="1680"/>
    <n v="1684.04"/>
  </r>
  <r>
    <d v="2014-07-15T00:00:00"/>
    <d v="2014-07-27T00:00:00"/>
    <n v="3.79"/>
    <n v="0.1"/>
    <x v="4"/>
    <n v="12"/>
    <n v="3.89"/>
    <n v="360"/>
    <n v="363.89"/>
  </r>
  <r>
    <d v="2014-07-15T00:00:00"/>
    <d v="2014-08-05T00:00:00"/>
    <n v="6.58"/>
    <n v="0.17"/>
    <x v="4"/>
    <n v="21"/>
    <n v="6.75"/>
    <n v="630"/>
    <n v="636.75"/>
  </r>
  <r>
    <d v="2014-07-17T00:00:00"/>
    <d v="2014-08-02T00:00:00"/>
    <n v="5.67"/>
    <n v="0.15"/>
    <x v="2"/>
    <n v="16"/>
    <n v="5.82"/>
    <n v="320"/>
    <n v="325.82"/>
  </r>
  <r>
    <d v="2014-07-19T00:00:00"/>
    <d v="2014-08-06T00:00:00"/>
    <n v="10.19"/>
    <n v="0.27"/>
    <x v="1"/>
    <n v="18"/>
    <n v="10.459999999999999"/>
    <n v="1080"/>
    <n v="1090.46"/>
  </r>
  <r>
    <d v="2014-07-19T00:00:00"/>
    <d v="2014-07-28T00:00:00"/>
    <n v="7.06"/>
    <n v="0.19"/>
    <x v="2"/>
    <n v="9"/>
    <n v="7.25"/>
    <n v="180"/>
    <n v="187.25"/>
  </r>
  <r>
    <d v="2014-07-19T00:00:00"/>
    <d v="2014-08-09T00:00:00"/>
    <n v="6.75"/>
    <n v="0.18"/>
    <x v="0"/>
    <n v="21"/>
    <n v="6.93"/>
    <n v="1050"/>
    <n v="1056.93"/>
  </r>
  <r>
    <d v="2014-07-19T00:00:00"/>
    <d v="2014-08-10T00:00:00"/>
    <n v="8.83"/>
    <n v="0.23"/>
    <x v="1"/>
    <n v="22"/>
    <n v="9.06"/>
    <n v="1320"/>
    <n v="1329.06"/>
  </r>
  <r>
    <d v="2014-07-19T00:00:00"/>
    <d v="2014-08-09T00:00:00"/>
    <n v="8.39"/>
    <n v="0.22"/>
    <x v="2"/>
    <n v="21"/>
    <n v="8.6100000000000012"/>
    <n v="420"/>
    <n v="428.61"/>
  </r>
  <r>
    <d v="2014-07-19T00:00:00"/>
    <d v="2014-08-02T00:00:00"/>
    <n v="6.23"/>
    <n v="0.16"/>
    <x v="4"/>
    <n v="14"/>
    <n v="6.3900000000000006"/>
    <n v="420"/>
    <n v="426.39"/>
  </r>
  <r>
    <d v="2014-07-19T00:00:00"/>
    <d v="2014-08-08T00:00:00"/>
    <n v="3.79"/>
    <n v="0.1"/>
    <x v="3"/>
    <n v="20"/>
    <n v="3.89"/>
    <n v="800"/>
    <n v="803.89"/>
  </r>
  <r>
    <d v="2014-07-19T00:00:00"/>
    <d v="2014-08-15T00:00:00"/>
    <n v="11.37"/>
    <n v="0.3"/>
    <x v="0"/>
    <n v="27"/>
    <n v="11.67"/>
    <n v="1350"/>
    <n v="1361.67"/>
  </r>
  <r>
    <d v="2014-07-19T00:00:00"/>
    <d v="2014-07-27T00:00:00"/>
    <n v="5.64"/>
    <n v="0.15"/>
    <x v="0"/>
    <n v="8"/>
    <n v="5.79"/>
    <n v="400"/>
    <n v="405.79"/>
  </r>
  <r>
    <d v="2014-07-19T00:00:00"/>
    <d v="2014-08-07T00:00:00"/>
    <n v="7.55"/>
    <n v="0.2"/>
    <x v="2"/>
    <n v="19"/>
    <n v="7.75"/>
    <n v="380"/>
    <n v="387.75"/>
  </r>
  <r>
    <d v="2014-07-19T00:00:00"/>
    <d v="2014-08-02T00:00:00"/>
    <n v="10.199999999999999"/>
    <n v="0.27"/>
    <x v="3"/>
    <n v="14"/>
    <n v="10.469999999999999"/>
    <n v="560"/>
    <n v="570.47"/>
  </r>
  <r>
    <d v="2014-07-19T00:00:00"/>
    <d v="2014-08-11T00:00:00"/>
    <n v="2.0099999999999998"/>
    <n v="0.05"/>
    <x v="1"/>
    <n v="23"/>
    <n v="2.0599999999999996"/>
    <n v="1380"/>
    <n v="1382.06"/>
  </r>
  <r>
    <d v="2014-07-19T00:00:00"/>
    <d v="2014-08-11T00:00:00"/>
    <n v="13.81"/>
    <n v="0.36"/>
    <x v="4"/>
    <n v="23"/>
    <n v="14.17"/>
    <n v="690"/>
    <n v="704.17"/>
  </r>
  <r>
    <d v="2014-07-21T00:00:00"/>
    <d v="2014-08-17T00:00:00"/>
    <n v="8.7200000000000006"/>
    <n v="0.23"/>
    <x v="2"/>
    <n v="27"/>
    <n v="8.9500000000000011"/>
    <n v="540"/>
    <n v="548.95000000000005"/>
  </r>
  <r>
    <d v="2014-07-21T00:00:00"/>
    <d v="2014-08-08T00:00:00"/>
    <n v="11.44"/>
    <n v="0.3"/>
    <x v="4"/>
    <n v="18"/>
    <n v="11.74"/>
    <n v="540"/>
    <n v="551.74"/>
  </r>
  <r>
    <d v="2014-07-21T00:00:00"/>
    <d v="2014-08-03T00:00:00"/>
    <n v="3.94"/>
    <n v="0.1"/>
    <x v="2"/>
    <n v="13"/>
    <n v="4.04"/>
    <n v="260"/>
    <n v="264.04000000000002"/>
  </r>
  <r>
    <d v="2014-07-25T00:00:00"/>
    <d v="2014-08-20T00:00:00"/>
    <n v="9.4600000000000009"/>
    <n v="0.25"/>
    <x v="4"/>
    <n v="26"/>
    <n v="9.7100000000000009"/>
    <n v="780"/>
    <n v="789.71"/>
  </r>
  <r>
    <d v="2014-07-25T00:00:00"/>
    <d v="2014-08-02T00:00:00"/>
    <n v="11.69"/>
    <n v="0.31"/>
    <x v="3"/>
    <n v="8"/>
    <n v="12"/>
    <n v="320"/>
    <n v="332"/>
  </r>
  <r>
    <d v="2014-07-25T00:00:00"/>
    <d v="2014-08-19T00:00:00"/>
    <n v="8.83"/>
    <n v="0.23"/>
    <x v="2"/>
    <n v="25"/>
    <n v="9.06"/>
    <n v="500"/>
    <n v="509.06"/>
  </r>
  <r>
    <d v="2014-07-25T00:00:00"/>
    <d v="2014-08-15T00:00:00"/>
    <n v="8.83"/>
    <n v="0.23"/>
    <x v="1"/>
    <n v="21"/>
    <n v="9.06"/>
    <n v="1260"/>
    <n v="1269.06"/>
  </r>
  <r>
    <d v="2014-07-25T00:00:00"/>
    <d v="2014-08-15T00:00:00"/>
    <n v="9.1300000000000008"/>
    <n v="0.24"/>
    <x v="3"/>
    <n v="21"/>
    <n v="9.370000000000001"/>
    <n v="840"/>
    <n v="849.37"/>
  </r>
  <r>
    <d v="2014-07-25T00:00:00"/>
    <d v="2014-08-22T00:00:00"/>
    <n v="9.06"/>
    <n v="0.24"/>
    <x v="0"/>
    <n v="28"/>
    <n v="9.3000000000000007"/>
    <n v="1400"/>
    <n v="1409.3"/>
  </r>
  <r>
    <d v="2014-07-31T00:00:00"/>
    <d v="2014-08-22T00:00:00"/>
    <n v="10.19"/>
    <n v="0.27"/>
    <x v="0"/>
    <n v="22"/>
    <n v="10.459999999999999"/>
    <n v="1100"/>
    <n v="1110.46"/>
  </r>
  <r>
    <d v="2014-07-31T00:00:00"/>
    <d v="2014-08-21T00:00:00"/>
    <n v="14"/>
    <n v="0.37"/>
    <x v="3"/>
    <n v="21"/>
    <n v="14.37"/>
    <n v="840"/>
    <n v="854.37"/>
  </r>
  <r>
    <d v="2014-07-31T00:00:00"/>
    <d v="2014-08-07T00:00:00"/>
    <n v="11.44"/>
    <n v="0.3"/>
    <x v="0"/>
    <n v="7"/>
    <n v="11.74"/>
    <n v="350"/>
    <n v="361.74"/>
  </r>
  <r>
    <d v="2014-07-31T00:00:00"/>
    <d v="2014-08-20T00:00:00"/>
    <n v="7.31"/>
    <n v="0.19"/>
    <x v="2"/>
    <n v="20"/>
    <n v="7.5"/>
    <n v="400"/>
    <n v="407.5"/>
  </r>
  <r>
    <d v="2014-07-31T00:00:00"/>
    <d v="2014-08-12T00:00:00"/>
    <n v="9.4600000000000009"/>
    <n v="0.25"/>
    <x v="2"/>
    <n v="12"/>
    <n v="9.7100000000000009"/>
    <n v="240"/>
    <n v="249.71"/>
  </r>
  <r>
    <d v="2014-07-31T00:00:00"/>
    <d v="2014-08-05T00:00:00"/>
    <n v="8.83"/>
    <n v="0.23"/>
    <x v="4"/>
    <n v="5"/>
    <n v="9.06"/>
    <n v="150"/>
    <n v="159.06"/>
  </r>
  <r>
    <d v="2014-07-31T00:00:00"/>
    <d v="2014-08-04T00:00:00"/>
    <n v="6.88"/>
    <n v="0.18"/>
    <x v="2"/>
    <n v="4"/>
    <n v="7.06"/>
    <n v="80"/>
    <n v="87.06"/>
  </r>
  <r>
    <d v="2014-07-31T00:00:00"/>
    <d v="2014-08-02T00:00:00"/>
    <n v="6.75"/>
    <n v="0.18"/>
    <x v="4"/>
    <n v="2"/>
    <n v="6.93"/>
    <n v="60"/>
    <n v="66.930000000000007"/>
  </r>
  <r>
    <d v="2014-07-31T00:00:00"/>
    <d v="2014-08-18T00:00:00"/>
    <n v="19.54"/>
    <n v="0.51"/>
    <x v="4"/>
    <n v="18"/>
    <n v="20.05"/>
    <n v="540"/>
    <n v="560.04999999999995"/>
  </r>
  <r>
    <d v="2014-07-31T00:00:00"/>
    <d v="2014-08-05T00:00:00"/>
    <n v="14.31"/>
    <n v="0.38"/>
    <x v="1"/>
    <n v="5"/>
    <n v="14.690000000000001"/>
    <n v="300"/>
    <n v="314.69"/>
  </r>
  <r>
    <d v="2014-07-31T00:00:00"/>
    <d v="2014-08-19T00:00:00"/>
    <n v="3.79"/>
    <n v="0.1"/>
    <x v="2"/>
    <n v="19"/>
    <n v="3.89"/>
    <n v="380"/>
    <n v="383.89"/>
  </r>
  <r>
    <d v="2014-07-31T00:00:00"/>
    <d v="2014-08-17T00:00:00"/>
    <n v="8.89"/>
    <n v="0.23"/>
    <x v="0"/>
    <n v="17"/>
    <n v="9.120000000000001"/>
    <n v="850"/>
    <n v="859.12"/>
  </r>
  <r>
    <d v="2014-07-31T00:00:00"/>
    <d v="2014-08-16T00:00:00"/>
    <n v="7.71"/>
    <n v="0.2"/>
    <x v="0"/>
    <n v="16"/>
    <n v="7.91"/>
    <n v="800"/>
    <n v="807.91"/>
  </r>
  <r>
    <d v="2014-07-31T00:00:00"/>
    <d v="2014-08-13T00:00:00"/>
    <n v="16.829999999999998"/>
    <n v="0.44"/>
    <x v="1"/>
    <n v="13"/>
    <n v="17.27"/>
    <n v="780"/>
    <n v="797.27"/>
  </r>
  <r>
    <d v="2014-07-31T00:00:00"/>
    <d v="2014-08-06T00:00:00"/>
    <n v="5.23"/>
    <n v="0.14000000000000001"/>
    <x v="1"/>
    <n v="6"/>
    <n v="5.37"/>
    <n v="360"/>
    <n v="365.37"/>
  </r>
  <r>
    <d v="2014-07-31T00:00:00"/>
    <d v="2014-08-02T00:00:00"/>
    <n v="10.79"/>
    <n v="0.28000000000000003"/>
    <x v="0"/>
    <n v="2"/>
    <n v="11.069999999999999"/>
    <n v="100"/>
    <n v="111.07"/>
  </r>
  <r>
    <d v="2014-07-31T00:00:00"/>
    <d v="2014-08-17T00:00:00"/>
    <n v="12.23"/>
    <n v="0.32"/>
    <x v="2"/>
    <n v="17"/>
    <n v="12.55"/>
    <n v="340"/>
    <n v="352.55"/>
  </r>
  <r>
    <d v="2014-07-31T00:00:00"/>
    <d v="2014-08-19T00:00:00"/>
    <n v="5.78"/>
    <n v="0.15"/>
    <x v="1"/>
    <n v="19"/>
    <n v="5.9300000000000006"/>
    <n v="1140"/>
    <n v="1145.93"/>
  </r>
  <r>
    <d v="2014-08-06T00:00:00"/>
    <d v="2014-08-14T00:00:00"/>
    <n v="5.23"/>
    <n v="0.14000000000000001"/>
    <x v="4"/>
    <n v="8"/>
    <n v="5.37"/>
    <n v="240"/>
    <n v="245.37"/>
  </r>
  <r>
    <d v="2014-08-06T00:00:00"/>
    <d v="2014-08-17T00:00:00"/>
    <n v="9.06"/>
    <n v="0.24"/>
    <x v="2"/>
    <n v="11"/>
    <n v="9.3000000000000007"/>
    <n v="220"/>
    <n v="229.3"/>
  </r>
  <r>
    <d v="2014-08-06T00:00:00"/>
    <d v="2014-09-03T00:00:00"/>
    <n v="12.23"/>
    <n v="0.32"/>
    <x v="3"/>
    <n v="28"/>
    <n v="12.55"/>
    <n v="1120"/>
    <n v="1132.55"/>
  </r>
  <r>
    <d v="2014-08-06T00:00:00"/>
    <d v="2014-08-30T00:00:00"/>
    <n v="8.83"/>
    <n v="0.23"/>
    <x v="3"/>
    <n v="24"/>
    <n v="9.06"/>
    <n v="960"/>
    <n v="969.06"/>
  </r>
  <r>
    <d v="2014-08-06T00:00:00"/>
    <d v="2014-08-25T00:00:00"/>
    <n v="10.93"/>
    <n v="0.28999999999999998"/>
    <x v="0"/>
    <n v="19"/>
    <n v="11.219999999999999"/>
    <n v="950"/>
    <n v="961.22"/>
  </r>
  <r>
    <d v="2014-08-09T00:00:00"/>
    <d v="2014-08-23T00:00:00"/>
    <n v="3.94"/>
    <n v="0.1"/>
    <x v="2"/>
    <n v="14"/>
    <n v="4.04"/>
    <n v="280"/>
    <n v="284.04000000000002"/>
  </r>
  <r>
    <d v="2014-08-12T00:00:00"/>
    <d v="2014-09-03T00:00:00"/>
    <n v="19.54"/>
    <n v="0.51"/>
    <x v="1"/>
    <n v="22"/>
    <n v="20.05"/>
    <n v="1320"/>
    <n v="1340.05"/>
  </r>
  <r>
    <d v="2014-08-12T00:00:00"/>
    <d v="2014-08-21T00:00:00"/>
    <n v="6.75"/>
    <n v="0.18"/>
    <x v="2"/>
    <n v="9"/>
    <n v="6.93"/>
    <n v="180"/>
    <n v="186.93"/>
  </r>
  <r>
    <d v="2014-08-12T00:00:00"/>
    <d v="2014-09-06T00:00:00"/>
    <n v="7.55"/>
    <n v="0.2"/>
    <x v="0"/>
    <n v="25"/>
    <n v="7.75"/>
    <n v="1250"/>
    <n v="1257.75"/>
  </r>
  <r>
    <d v="2014-08-12T00:00:00"/>
    <d v="2014-09-04T00:00:00"/>
    <n v="3.73"/>
    <n v="0.1"/>
    <x v="0"/>
    <n v="23"/>
    <n v="3.83"/>
    <n v="1150"/>
    <n v="1153.83"/>
  </r>
  <r>
    <d v="2014-08-12T00:00:00"/>
    <d v="2014-08-23T00:00:00"/>
    <n v="8.51"/>
    <n v="0.22"/>
    <x v="2"/>
    <n v="11"/>
    <n v="8.73"/>
    <n v="220"/>
    <n v="228.73"/>
  </r>
  <r>
    <d v="2014-08-12T00:00:00"/>
    <d v="2014-08-27T00:00:00"/>
    <n v="6.88"/>
    <n v="0.18"/>
    <x v="4"/>
    <n v="15"/>
    <n v="7.06"/>
    <n v="450"/>
    <n v="457.06"/>
  </r>
  <r>
    <d v="2014-08-12T00:00:00"/>
    <d v="2014-08-23T00:00:00"/>
    <n v="6.75"/>
    <n v="0.18"/>
    <x v="3"/>
    <n v="11"/>
    <n v="6.93"/>
    <n v="440"/>
    <n v="446.93"/>
  </r>
  <r>
    <d v="2014-08-12T00:00:00"/>
    <d v="2014-08-24T00:00:00"/>
    <n v="11.42"/>
    <n v="0.3"/>
    <x v="0"/>
    <n v="12"/>
    <n v="11.72"/>
    <n v="600"/>
    <n v="611.72"/>
  </r>
  <r>
    <d v="2014-08-12T00:00:00"/>
    <d v="2014-08-15T00:00:00"/>
    <n v="16.940000000000001"/>
    <n v="0.45"/>
    <x v="4"/>
    <n v="3"/>
    <n v="17.39"/>
    <n v="90"/>
    <n v="107.39"/>
  </r>
  <r>
    <d v="2014-08-12T00:00:00"/>
    <d v="2014-08-16T00:00:00"/>
    <n v="6.34"/>
    <n v="0.17"/>
    <x v="1"/>
    <n v="4"/>
    <n v="6.51"/>
    <n v="240"/>
    <n v="246.51"/>
  </r>
  <r>
    <d v="2014-08-12T00:00:00"/>
    <d v="2014-08-19T00:00:00"/>
    <n v="8.83"/>
    <n v="0.23"/>
    <x v="3"/>
    <n v="7"/>
    <n v="9.06"/>
    <n v="280"/>
    <n v="289.06"/>
  </r>
  <r>
    <d v="2014-08-12T00:00:00"/>
    <d v="2014-08-25T00:00:00"/>
    <n v="6.34"/>
    <n v="0.17"/>
    <x v="4"/>
    <n v="13"/>
    <n v="6.51"/>
    <n v="390"/>
    <n v="396.51"/>
  </r>
  <r>
    <d v="2014-08-12T00:00:00"/>
    <d v="2014-08-29T00:00:00"/>
    <n v="8.84"/>
    <n v="0.23"/>
    <x v="4"/>
    <n v="17"/>
    <n v="9.07"/>
    <n v="510"/>
    <n v="519.07000000000005"/>
  </r>
  <r>
    <d v="2014-08-12T00:00:00"/>
    <d v="2014-08-18T00:00:00"/>
    <n v="8.65"/>
    <n v="0.23"/>
    <x v="2"/>
    <n v="6"/>
    <n v="8.8800000000000008"/>
    <n v="120"/>
    <n v="128.88"/>
  </r>
  <r>
    <d v="2014-08-12T00:00:00"/>
    <d v="2014-09-05T00:00:00"/>
    <n v="8.51"/>
    <n v="0.22"/>
    <x v="3"/>
    <n v="24"/>
    <n v="8.73"/>
    <n v="960"/>
    <n v="968.73"/>
  </r>
  <r>
    <d v="2014-08-12T00:00:00"/>
    <d v="2014-09-08T00:00:00"/>
    <n v="9.74"/>
    <n v="0.26"/>
    <x v="0"/>
    <n v="27"/>
    <n v="10"/>
    <n v="1350"/>
    <n v="1360"/>
  </r>
  <r>
    <d v="2014-08-12T00:00:00"/>
    <d v="2014-09-05T00:00:00"/>
    <n v="13.02"/>
    <n v="0.34"/>
    <x v="2"/>
    <n v="24"/>
    <n v="13.36"/>
    <n v="480"/>
    <n v="493.36"/>
  </r>
  <r>
    <d v="2014-08-14T00:00:00"/>
    <d v="2014-08-18T00:00:00"/>
    <n v="4.66"/>
    <n v="0.12"/>
    <x v="4"/>
    <n v="4"/>
    <n v="4.78"/>
    <n v="120"/>
    <n v="124.78"/>
  </r>
  <r>
    <d v="2014-08-18T00:00:00"/>
    <d v="2014-09-02T00:00:00"/>
    <n v="14.13"/>
    <n v="0.37"/>
    <x v="3"/>
    <n v="15"/>
    <n v="14.5"/>
    <n v="600"/>
    <n v="614.5"/>
  </r>
  <r>
    <d v="2014-08-18T00:00:00"/>
    <d v="2014-09-10T00:00:00"/>
    <n v="11.37"/>
    <n v="0.3"/>
    <x v="2"/>
    <n v="23"/>
    <n v="11.67"/>
    <n v="460"/>
    <n v="471.67"/>
  </r>
  <r>
    <d v="2014-08-18T00:00:00"/>
    <d v="2014-09-08T00:00:00"/>
    <n v="3.79"/>
    <n v="0.1"/>
    <x v="4"/>
    <n v="21"/>
    <n v="3.89"/>
    <n v="630"/>
    <n v="633.89"/>
  </r>
  <r>
    <d v="2014-08-18T00:00:00"/>
    <d v="2014-08-24T00:00:00"/>
    <n v="11.42"/>
    <n v="0.3"/>
    <x v="1"/>
    <n v="6"/>
    <n v="11.72"/>
    <n v="360"/>
    <n v="371.72"/>
  </r>
  <r>
    <d v="2014-08-18T00:00:00"/>
    <d v="2014-09-10T00:00:00"/>
    <n v="8.84"/>
    <n v="0.23"/>
    <x v="4"/>
    <n v="23"/>
    <n v="9.07"/>
    <n v="690"/>
    <n v="699.07"/>
  </r>
  <r>
    <d v="2014-08-18T00:00:00"/>
    <d v="2014-08-24T00:00:00"/>
    <n v="11.69"/>
    <n v="0.31"/>
    <x v="1"/>
    <n v="6"/>
    <n v="12"/>
    <n v="360"/>
    <n v="372"/>
  </r>
  <r>
    <d v="2014-08-24T00:00:00"/>
    <d v="2014-08-28T00:00:00"/>
    <n v="5.78"/>
    <n v="0.15"/>
    <x v="3"/>
    <n v="4"/>
    <n v="5.9300000000000006"/>
    <n v="160"/>
    <n v="165.93"/>
  </r>
  <r>
    <d v="2014-08-24T00:00:00"/>
    <d v="2014-08-26T00:00:00"/>
    <n v="19.54"/>
    <n v="0.51"/>
    <x v="0"/>
    <n v="2"/>
    <n v="20.05"/>
    <n v="100"/>
    <n v="120.05"/>
  </r>
  <r>
    <d v="2014-08-24T00:00:00"/>
    <d v="2014-09-09T00:00:00"/>
    <n v="9.06"/>
    <n v="0.24"/>
    <x v="2"/>
    <n v="16"/>
    <n v="9.3000000000000007"/>
    <n v="320"/>
    <n v="329.3"/>
  </r>
  <r>
    <d v="2014-08-24T00:00:00"/>
    <d v="2014-09-08T00:00:00"/>
    <n v="13.81"/>
    <n v="0.36"/>
    <x v="1"/>
    <n v="15"/>
    <n v="14.17"/>
    <n v="900"/>
    <n v="914.17"/>
  </r>
  <r>
    <d v="2014-08-24T00:00:00"/>
    <d v="2014-09-04T00:00:00"/>
    <n v="11.42"/>
    <n v="0.3"/>
    <x v="0"/>
    <n v="11"/>
    <n v="11.72"/>
    <n v="550"/>
    <n v="561.72"/>
  </r>
  <r>
    <d v="2014-08-24T00:00:00"/>
    <d v="2014-08-30T00:00:00"/>
    <n v="14.31"/>
    <n v="0.38"/>
    <x v="2"/>
    <n v="6"/>
    <n v="14.690000000000001"/>
    <n v="120"/>
    <n v="134.69"/>
  </r>
  <r>
    <d v="2014-08-24T00:00:00"/>
    <d v="2014-09-12T00:00:00"/>
    <n v="8.83"/>
    <n v="0.23"/>
    <x v="4"/>
    <n v="19"/>
    <n v="9.06"/>
    <n v="570"/>
    <n v="579.05999999999995"/>
  </r>
  <r>
    <d v="2014-08-24T00:00:00"/>
    <d v="2014-09-03T00:00:00"/>
    <n v="14.31"/>
    <n v="0.38"/>
    <x v="4"/>
    <n v="10"/>
    <n v="14.690000000000001"/>
    <n v="300"/>
    <n v="314.69"/>
  </r>
  <r>
    <d v="2014-08-24T00:00:00"/>
    <d v="2014-09-13T00:00:00"/>
    <n v="11.37"/>
    <n v="0.3"/>
    <x v="2"/>
    <n v="20"/>
    <n v="11.67"/>
    <n v="400"/>
    <n v="411.67"/>
  </r>
  <r>
    <d v="2014-08-24T00:00:00"/>
    <d v="2014-09-12T00:00:00"/>
    <n v="11.44"/>
    <n v="0.3"/>
    <x v="2"/>
    <n v="19"/>
    <n v="11.74"/>
    <n v="380"/>
    <n v="391.74"/>
  </r>
  <r>
    <d v="2014-08-24T00:00:00"/>
    <d v="2014-09-20T00:00:00"/>
    <n v="8.65"/>
    <n v="0.23"/>
    <x v="3"/>
    <n v="27"/>
    <n v="8.8800000000000008"/>
    <n v="1080"/>
    <n v="1088.8800000000001"/>
  </r>
  <r>
    <d v="2014-08-25T00:00:00"/>
    <d v="2014-09-04T00:00:00"/>
    <n v="11.42"/>
    <n v="0.3"/>
    <x v="0"/>
    <n v="10"/>
    <n v="11.72"/>
    <n v="500"/>
    <n v="511.72"/>
  </r>
  <r>
    <d v="2014-08-25T00:00:00"/>
    <d v="2014-09-04T00:00:00"/>
    <n v="8.39"/>
    <n v="0.22"/>
    <x v="2"/>
    <n v="10"/>
    <n v="8.6100000000000012"/>
    <n v="200"/>
    <n v="208.61"/>
  </r>
  <r>
    <d v="2014-08-25T00:00:00"/>
    <d v="2014-09-05T00:00:00"/>
    <n v="9.74"/>
    <n v="0.26"/>
    <x v="3"/>
    <n v="11"/>
    <n v="10"/>
    <n v="440"/>
    <n v="450"/>
  </r>
  <r>
    <d v="2014-08-25T00:00:00"/>
    <d v="2014-09-21T00:00:00"/>
    <n v="5.23"/>
    <n v="0.14000000000000001"/>
    <x v="1"/>
    <n v="27"/>
    <n v="5.37"/>
    <n v="1620"/>
    <n v="1625.37"/>
  </r>
  <r>
    <d v="2014-08-25T00:00:00"/>
    <d v="2014-09-12T00:00:00"/>
    <n v="8.39"/>
    <n v="0.22"/>
    <x v="4"/>
    <n v="18"/>
    <n v="8.6100000000000012"/>
    <n v="540"/>
    <n v="548.61"/>
  </r>
  <r>
    <d v="2014-08-26T00:00:00"/>
    <d v="2014-09-14T00:00:00"/>
    <n v="5.23"/>
    <n v="0.14000000000000001"/>
    <x v="3"/>
    <n v="19"/>
    <n v="5.37"/>
    <n v="760"/>
    <n v="765.37"/>
  </r>
  <r>
    <d v="2014-08-27T00:00:00"/>
    <d v="2014-09-02T00:00:00"/>
    <n v="6.34"/>
    <n v="0.17"/>
    <x v="3"/>
    <n v="6"/>
    <n v="6.51"/>
    <n v="240"/>
    <n v="246.51"/>
  </r>
  <r>
    <d v="2014-08-30T00:00:00"/>
    <d v="2014-09-26T00:00:00"/>
    <n v="10.93"/>
    <n v="0.28999999999999998"/>
    <x v="3"/>
    <n v="27"/>
    <n v="11.219999999999999"/>
    <n v="1080"/>
    <n v="1091.22"/>
  </r>
  <r>
    <d v="2014-08-30T00:00:00"/>
    <d v="2014-09-12T00:00:00"/>
    <n v="8.89"/>
    <n v="0.23"/>
    <x v="2"/>
    <n v="13"/>
    <n v="9.120000000000001"/>
    <n v="260"/>
    <n v="269.12"/>
  </r>
  <r>
    <d v="2014-08-30T00:00:00"/>
    <d v="2014-09-01T00:00:00"/>
    <n v="5.57"/>
    <n v="0.15"/>
    <x v="2"/>
    <n v="2"/>
    <n v="5.7200000000000006"/>
    <n v="40"/>
    <n v="45.72"/>
  </r>
  <r>
    <d v="2014-08-30T00:00:00"/>
    <d v="2014-09-25T00:00:00"/>
    <n v="6.23"/>
    <n v="0.16"/>
    <x v="4"/>
    <n v="26"/>
    <n v="6.3900000000000006"/>
    <n v="780"/>
    <n v="786.39"/>
  </r>
  <r>
    <d v="2014-08-30T00:00:00"/>
    <d v="2014-09-14T00:00:00"/>
    <n v="11.42"/>
    <n v="0.3"/>
    <x v="3"/>
    <n v="15"/>
    <n v="11.72"/>
    <n v="600"/>
    <n v="611.72"/>
  </r>
  <r>
    <d v="2014-08-30T00:00:00"/>
    <d v="2014-09-21T00:00:00"/>
    <n v="16.940000000000001"/>
    <n v="0.45"/>
    <x v="4"/>
    <n v="22"/>
    <n v="17.39"/>
    <n v="660"/>
    <n v="677.39"/>
  </r>
  <r>
    <d v="2014-09-03T00:00:00"/>
    <d v="2014-09-19T00:00:00"/>
    <n v="7.06"/>
    <n v="0.19"/>
    <x v="3"/>
    <n v="16"/>
    <n v="7.25"/>
    <n v="640"/>
    <n v="647.25"/>
  </r>
  <r>
    <d v="2014-09-04T00:00:00"/>
    <d v="2014-09-17T00:00:00"/>
    <n v="5.64"/>
    <n v="0.15"/>
    <x v="3"/>
    <n v="13"/>
    <n v="5.79"/>
    <n v="520"/>
    <n v="525.79"/>
  </r>
  <r>
    <d v="2014-09-04T00:00:00"/>
    <d v="2014-09-16T00:00:00"/>
    <n v="7.3"/>
    <n v="0.19"/>
    <x v="4"/>
    <n v="12"/>
    <n v="7.49"/>
    <n v="360"/>
    <n v="367.49"/>
  </r>
  <r>
    <d v="2014-09-04T00:00:00"/>
    <d v="2014-09-14T00:00:00"/>
    <n v="7.06"/>
    <n v="0.19"/>
    <x v="4"/>
    <n v="10"/>
    <n v="7.25"/>
    <n v="300"/>
    <n v="307.25"/>
  </r>
  <r>
    <d v="2014-09-04T00:00:00"/>
    <d v="2014-09-14T00:00:00"/>
    <n v="5.64"/>
    <n v="0.15"/>
    <x v="0"/>
    <n v="10"/>
    <n v="5.79"/>
    <n v="500"/>
    <n v="505.79"/>
  </r>
  <r>
    <d v="2014-09-04T00:00:00"/>
    <d v="2014-09-07T00:00:00"/>
    <n v="3.73"/>
    <n v="0.1"/>
    <x v="1"/>
    <n v="3"/>
    <n v="3.83"/>
    <n v="180"/>
    <n v="183.83"/>
  </r>
  <r>
    <d v="2014-09-04T00:00:00"/>
    <d v="2014-09-26T00:00:00"/>
    <n v="13.81"/>
    <n v="0.36"/>
    <x v="1"/>
    <n v="22"/>
    <n v="14.17"/>
    <n v="1320"/>
    <n v="1334.17"/>
  </r>
  <r>
    <d v="2014-09-04T00:00:00"/>
    <d v="2014-09-14T00:00:00"/>
    <n v="5.47"/>
    <n v="0.14000000000000001"/>
    <x v="2"/>
    <n v="10"/>
    <n v="5.6099999999999994"/>
    <n v="200"/>
    <n v="205.61"/>
  </r>
  <r>
    <d v="2014-09-04T00:00:00"/>
    <d v="2014-10-02T00:00:00"/>
    <n v="7.31"/>
    <n v="0.19"/>
    <x v="1"/>
    <n v="28"/>
    <n v="7.5"/>
    <n v="1680"/>
    <n v="1687.5"/>
  </r>
  <r>
    <d v="2014-09-04T00:00:00"/>
    <d v="2014-09-06T00:00:00"/>
    <n v="3.73"/>
    <n v="0.1"/>
    <x v="4"/>
    <n v="2"/>
    <n v="3.83"/>
    <n v="60"/>
    <n v="63.83"/>
  </r>
  <r>
    <d v="2014-09-04T00:00:00"/>
    <d v="2014-09-25T00:00:00"/>
    <n v="8.39"/>
    <n v="0.22"/>
    <x v="3"/>
    <n v="21"/>
    <n v="8.6100000000000012"/>
    <n v="840"/>
    <n v="848.61"/>
  </r>
  <r>
    <d v="2014-09-04T00:00:00"/>
    <d v="2014-09-15T00:00:00"/>
    <n v="13.07"/>
    <n v="0.34"/>
    <x v="2"/>
    <n v="11"/>
    <n v="13.41"/>
    <n v="220"/>
    <n v="233.41"/>
  </r>
  <r>
    <d v="2014-09-04T00:00:00"/>
    <d v="2014-09-09T00:00:00"/>
    <n v="7.35"/>
    <n v="0.19"/>
    <x v="4"/>
    <n v="5"/>
    <n v="7.54"/>
    <n v="150"/>
    <n v="157.54"/>
  </r>
  <r>
    <d v="2014-09-04T00:00:00"/>
    <d v="2014-09-14T00:00:00"/>
    <n v="14.31"/>
    <n v="0.38"/>
    <x v="0"/>
    <n v="10"/>
    <n v="14.690000000000001"/>
    <n v="500"/>
    <n v="514.69000000000005"/>
  </r>
  <r>
    <d v="2014-09-04T00:00:00"/>
    <d v="2014-10-02T00:00:00"/>
    <n v="5.57"/>
    <n v="0.15"/>
    <x v="3"/>
    <n v="28"/>
    <n v="5.7200000000000006"/>
    <n v="1120"/>
    <n v="1125.72"/>
  </r>
  <r>
    <d v="2014-09-04T00:00:00"/>
    <d v="2014-09-06T00:00:00"/>
    <n v="5.23"/>
    <n v="0.14000000000000001"/>
    <x v="2"/>
    <n v="2"/>
    <n v="5.37"/>
    <n v="40"/>
    <n v="45.37"/>
  </r>
  <r>
    <d v="2014-09-04T00:00:00"/>
    <d v="2014-09-18T00:00:00"/>
    <n v="10.79"/>
    <n v="0.28000000000000003"/>
    <x v="3"/>
    <n v="14"/>
    <n v="11.069999999999999"/>
    <n v="560"/>
    <n v="571.07000000000005"/>
  </r>
  <r>
    <d v="2014-09-04T00:00:00"/>
    <d v="2014-09-10T00:00:00"/>
    <n v="2.72"/>
    <n v="7.0000000000000007E-2"/>
    <x v="2"/>
    <n v="6"/>
    <n v="2.79"/>
    <n v="120"/>
    <n v="122.79"/>
  </r>
  <r>
    <d v="2014-09-05T00:00:00"/>
    <d v="2014-10-01T00:00:00"/>
    <n v="7.55"/>
    <n v="0.2"/>
    <x v="4"/>
    <n v="26"/>
    <n v="7.75"/>
    <n v="780"/>
    <n v="787.75"/>
  </r>
  <r>
    <d v="2014-09-05T00:00:00"/>
    <d v="2014-09-24T00:00:00"/>
    <n v="6.43"/>
    <n v="0.17"/>
    <x v="2"/>
    <n v="19"/>
    <n v="6.6"/>
    <n v="380"/>
    <n v="386.6"/>
  </r>
  <r>
    <d v="2014-09-05T00:00:00"/>
    <d v="2014-09-23T00:00:00"/>
    <n v="3.88"/>
    <n v="0.1"/>
    <x v="1"/>
    <n v="18"/>
    <n v="3.98"/>
    <n v="1080"/>
    <n v="1083.98"/>
  </r>
  <r>
    <d v="2014-09-05T00:00:00"/>
    <d v="2014-09-07T00:00:00"/>
    <n v="5.67"/>
    <n v="0.15"/>
    <x v="3"/>
    <n v="2"/>
    <n v="5.82"/>
    <n v="80"/>
    <n v="85.82"/>
  </r>
  <r>
    <d v="2014-09-05T00:00:00"/>
    <d v="2014-09-07T00:00:00"/>
    <n v="12.01"/>
    <n v="0.32"/>
    <x v="3"/>
    <n v="2"/>
    <n v="12.33"/>
    <n v="80"/>
    <n v="92.33"/>
  </r>
  <r>
    <d v="2014-09-05T00:00:00"/>
    <d v="2014-09-26T00:00:00"/>
    <n v="6.58"/>
    <n v="0.17"/>
    <x v="1"/>
    <n v="21"/>
    <n v="6.75"/>
    <n v="1260"/>
    <n v="1266.75"/>
  </r>
  <r>
    <d v="2014-09-05T00:00:00"/>
    <d v="2014-10-02T00:00:00"/>
    <n v="3.79"/>
    <n v="0.1"/>
    <x v="4"/>
    <n v="27"/>
    <n v="3.89"/>
    <n v="810"/>
    <n v="813.89"/>
  </r>
  <r>
    <d v="2014-09-05T00:00:00"/>
    <d v="2014-09-09T00:00:00"/>
    <n v="8.83"/>
    <n v="0.23"/>
    <x v="2"/>
    <n v="4"/>
    <n v="9.06"/>
    <n v="80"/>
    <n v="89.06"/>
  </r>
  <r>
    <d v="2014-09-05T00:00:00"/>
    <d v="2014-09-09T00:00:00"/>
    <n v="14.31"/>
    <n v="0.38"/>
    <x v="4"/>
    <n v="4"/>
    <n v="14.690000000000001"/>
    <n v="120"/>
    <n v="134.69"/>
  </r>
  <r>
    <d v="2014-09-05T00:00:00"/>
    <d v="2014-09-18T00:00:00"/>
    <n v="5.47"/>
    <n v="0.14000000000000001"/>
    <x v="4"/>
    <n v="13"/>
    <n v="5.6099999999999994"/>
    <n v="390"/>
    <n v="395.61"/>
  </r>
  <r>
    <d v="2014-09-05T00:00:00"/>
    <d v="2014-09-25T00:00:00"/>
    <n v="8.9499999999999993"/>
    <n v="0.24"/>
    <x v="3"/>
    <n v="20"/>
    <n v="9.19"/>
    <n v="800"/>
    <n v="809.19"/>
  </r>
  <r>
    <d v="2014-09-05T00:00:00"/>
    <d v="2014-09-30T00:00:00"/>
    <n v="4.25"/>
    <n v="0.11"/>
    <x v="0"/>
    <n v="25"/>
    <n v="4.3600000000000003"/>
    <n v="1250"/>
    <n v="1254.3599999999999"/>
  </r>
  <r>
    <d v="2014-09-05T00:00:00"/>
    <d v="2014-09-12T00:00:00"/>
    <n v="6.88"/>
    <n v="0.18"/>
    <x v="0"/>
    <n v="7"/>
    <n v="7.06"/>
    <n v="350"/>
    <n v="357.06"/>
  </r>
  <r>
    <d v="2014-09-05T00:00:00"/>
    <d v="2014-09-29T00:00:00"/>
    <n v="8.89"/>
    <n v="0.23"/>
    <x v="4"/>
    <n v="24"/>
    <n v="9.120000000000001"/>
    <n v="720"/>
    <n v="729.12"/>
  </r>
  <r>
    <d v="2014-09-07T00:00:00"/>
    <d v="2014-10-04T00:00:00"/>
    <n v="6.43"/>
    <n v="0.17"/>
    <x v="0"/>
    <n v="27"/>
    <n v="6.6"/>
    <n v="1350"/>
    <n v="1356.6"/>
  </r>
  <r>
    <d v="2014-09-08T00:00:00"/>
    <d v="2014-10-06T00:00:00"/>
    <n v="6.58"/>
    <n v="0.17"/>
    <x v="0"/>
    <n v="28"/>
    <n v="6.75"/>
    <n v="1400"/>
    <n v="1406.75"/>
  </r>
  <r>
    <d v="2014-09-08T00:00:00"/>
    <d v="2014-09-16T00:00:00"/>
    <n v="5.67"/>
    <n v="0.15"/>
    <x v="2"/>
    <n v="8"/>
    <n v="5.82"/>
    <n v="160"/>
    <n v="165.82"/>
  </r>
  <r>
    <d v="2014-09-08T00:00:00"/>
    <d v="2014-09-30T00:00:00"/>
    <n v="3.57"/>
    <n v="0.09"/>
    <x v="4"/>
    <n v="22"/>
    <n v="3.6599999999999997"/>
    <n v="660"/>
    <n v="663.66"/>
  </r>
  <r>
    <d v="2014-09-08T00:00:00"/>
    <d v="2014-09-13T00:00:00"/>
    <n v="3.73"/>
    <n v="0.1"/>
    <x v="4"/>
    <n v="5"/>
    <n v="3.83"/>
    <n v="150"/>
    <n v="153.83000000000001"/>
  </r>
  <r>
    <d v="2014-09-11T00:00:00"/>
    <d v="2014-09-18T00:00:00"/>
    <n v="8.5399999999999991"/>
    <n v="0.22"/>
    <x v="3"/>
    <n v="7"/>
    <n v="8.76"/>
    <n v="280"/>
    <n v="288.76"/>
  </r>
  <r>
    <d v="2014-09-11T00:00:00"/>
    <d v="2014-09-16T00:00:00"/>
    <n v="16.829999999999998"/>
    <n v="0.44"/>
    <x v="4"/>
    <n v="5"/>
    <n v="17.27"/>
    <n v="150"/>
    <n v="167.27"/>
  </r>
  <r>
    <d v="2014-09-11T00:00:00"/>
    <d v="2014-10-06T00:00:00"/>
    <n v="11.42"/>
    <n v="0.3"/>
    <x v="1"/>
    <n v="25"/>
    <n v="11.72"/>
    <n v="1500"/>
    <n v="1511.72"/>
  </r>
  <r>
    <d v="2014-09-11T00:00:00"/>
    <d v="2014-09-17T00:00:00"/>
    <n v="8.84"/>
    <n v="0.23"/>
    <x v="2"/>
    <n v="6"/>
    <n v="9.07"/>
    <n v="120"/>
    <n v="129.07"/>
  </r>
  <r>
    <d v="2014-09-11T00:00:00"/>
    <d v="2014-09-24T00:00:00"/>
    <n v="6.75"/>
    <n v="0.18"/>
    <x v="1"/>
    <n v="13"/>
    <n v="6.93"/>
    <n v="780"/>
    <n v="786.93"/>
  </r>
  <r>
    <d v="2014-09-11T00:00:00"/>
    <d v="2014-10-07T00:00:00"/>
    <n v="7.35"/>
    <n v="0.19"/>
    <x v="0"/>
    <n v="26"/>
    <n v="7.54"/>
    <n v="1300"/>
    <n v="1307.54"/>
  </r>
  <r>
    <d v="2014-09-15T00:00:00"/>
    <d v="2014-10-09T00:00:00"/>
    <n v="3.57"/>
    <n v="0.09"/>
    <x v="3"/>
    <n v="24"/>
    <n v="3.6599999999999997"/>
    <n v="960"/>
    <n v="963.66"/>
  </r>
  <r>
    <d v="2014-09-15T00:00:00"/>
    <d v="2014-09-23T00:00:00"/>
    <n v="9.06"/>
    <n v="0.24"/>
    <x v="0"/>
    <n v="8"/>
    <n v="9.3000000000000007"/>
    <n v="400"/>
    <n v="409.3"/>
  </r>
  <r>
    <d v="2014-09-16T00:00:00"/>
    <d v="2014-09-24T00:00:00"/>
    <n v="9.4600000000000009"/>
    <n v="0.25"/>
    <x v="3"/>
    <n v="8"/>
    <n v="9.7100000000000009"/>
    <n v="320"/>
    <n v="329.71"/>
  </r>
  <r>
    <d v="2014-09-16T00:00:00"/>
    <d v="2014-10-12T00:00:00"/>
    <n v="8.9499999999999993"/>
    <n v="0.24"/>
    <x v="0"/>
    <n v="26"/>
    <n v="9.19"/>
    <n v="1300"/>
    <n v="1309.19"/>
  </r>
  <r>
    <d v="2014-09-16T00:00:00"/>
    <d v="2014-10-11T00:00:00"/>
    <n v="9.06"/>
    <n v="0.24"/>
    <x v="2"/>
    <n v="25"/>
    <n v="9.3000000000000007"/>
    <n v="500"/>
    <n v="509.3"/>
  </r>
  <r>
    <d v="2014-09-16T00:00:00"/>
    <d v="2014-09-22T00:00:00"/>
    <n v="6.88"/>
    <n v="0.18"/>
    <x v="4"/>
    <n v="6"/>
    <n v="7.06"/>
    <n v="180"/>
    <n v="187.06"/>
  </r>
  <r>
    <d v="2014-09-16T00:00:00"/>
    <d v="2014-10-05T00:00:00"/>
    <n v="9.1300000000000008"/>
    <n v="0.24"/>
    <x v="3"/>
    <n v="19"/>
    <n v="9.370000000000001"/>
    <n v="760"/>
    <n v="769.37"/>
  </r>
  <r>
    <d v="2014-09-16T00:00:00"/>
    <d v="2014-10-12T00:00:00"/>
    <n v="12.01"/>
    <n v="0.32"/>
    <x v="4"/>
    <n v="26"/>
    <n v="12.33"/>
    <n v="780"/>
    <n v="792.33"/>
  </r>
  <r>
    <d v="2014-09-16T00:00:00"/>
    <d v="2014-10-08T00:00:00"/>
    <n v="19.54"/>
    <n v="0.51"/>
    <x v="0"/>
    <n v="22"/>
    <n v="20.05"/>
    <n v="1100"/>
    <n v="1120.05"/>
  </r>
  <r>
    <d v="2014-09-16T00:00:00"/>
    <d v="2014-10-06T00:00:00"/>
    <n v="10.199999999999999"/>
    <n v="0.27"/>
    <x v="0"/>
    <n v="20"/>
    <n v="10.469999999999999"/>
    <n v="1000"/>
    <n v="1010.47"/>
  </r>
  <r>
    <d v="2014-09-16T00:00:00"/>
    <d v="2014-09-28T00:00:00"/>
    <n v="14.31"/>
    <n v="0.38"/>
    <x v="1"/>
    <n v="12"/>
    <n v="14.690000000000001"/>
    <n v="720"/>
    <n v="734.69"/>
  </r>
  <r>
    <d v="2014-09-16T00:00:00"/>
    <d v="2014-10-12T00:00:00"/>
    <n v="8.89"/>
    <n v="0.23"/>
    <x v="1"/>
    <n v="26"/>
    <n v="9.120000000000001"/>
    <n v="1560"/>
    <n v="1569.12"/>
  </r>
  <r>
    <d v="2014-09-16T00:00:00"/>
    <d v="2014-10-13T00:00:00"/>
    <n v="11.44"/>
    <n v="0.3"/>
    <x v="2"/>
    <n v="27"/>
    <n v="11.74"/>
    <n v="540"/>
    <n v="551.74"/>
  </r>
  <r>
    <d v="2014-09-16T00:00:00"/>
    <d v="2014-09-29T00:00:00"/>
    <n v="6.43"/>
    <n v="0.17"/>
    <x v="0"/>
    <n v="13"/>
    <n v="6.6"/>
    <n v="650"/>
    <n v="656.6"/>
  </r>
  <r>
    <d v="2014-09-16T00:00:00"/>
    <d v="2014-09-25T00:00:00"/>
    <n v="7.31"/>
    <n v="0.19"/>
    <x v="0"/>
    <n v="9"/>
    <n v="7.5"/>
    <n v="450"/>
    <n v="457.5"/>
  </r>
  <r>
    <d v="2014-09-16T00:00:00"/>
    <d v="2014-10-12T00:00:00"/>
    <n v="8.5399999999999991"/>
    <n v="0.22"/>
    <x v="3"/>
    <n v="26"/>
    <n v="8.76"/>
    <n v="1040"/>
    <n v="1048.76"/>
  </r>
  <r>
    <d v="2014-09-16T00:00:00"/>
    <d v="2014-09-19T00:00:00"/>
    <n v="4.25"/>
    <n v="0.11"/>
    <x v="1"/>
    <n v="3"/>
    <n v="4.3600000000000003"/>
    <n v="180"/>
    <n v="184.36"/>
  </r>
  <r>
    <d v="2014-09-16T00:00:00"/>
    <d v="2014-10-10T00:00:00"/>
    <n v="7.3"/>
    <n v="0.19"/>
    <x v="2"/>
    <n v="24"/>
    <n v="7.49"/>
    <n v="480"/>
    <n v="487.49"/>
  </r>
  <r>
    <d v="2014-09-16T00:00:00"/>
    <d v="2014-10-07T00:00:00"/>
    <n v="11.37"/>
    <n v="0.3"/>
    <x v="1"/>
    <n v="21"/>
    <n v="11.67"/>
    <n v="1260"/>
    <n v="1271.67"/>
  </r>
  <r>
    <d v="2014-09-16T00:00:00"/>
    <d v="2014-09-21T00:00:00"/>
    <n v="14.13"/>
    <n v="0.37"/>
    <x v="2"/>
    <n v="5"/>
    <n v="14.5"/>
    <n v="100"/>
    <n v="114.5"/>
  </r>
  <r>
    <d v="2014-09-16T00:00:00"/>
    <d v="2014-10-13T00:00:00"/>
    <n v="11.44"/>
    <n v="0.3"/>
    <x v="2"/>
    <n v="27"/>
    <n v="11.74"/>
    <n v="540"/>
    <n v="551.74"/>
  </r>
  <r>
    <d v="2014-09-17T00:00:00"/>
    <d v="2014-10-15T00:00:00"/>
    <n v="9.4600000000000009"/>
    <n v="0.25"/>
    <x v="1"/>
    <n v="28"/>
    <n v="9.7100000000000009"/>
    <n v="1680"/>
    <n v="1689.71"/>
  </r>
  <r>
    <d v="2014-09-17T00:00:00"/>
    <d v="2014-09-20T00:00:00"/>
    <n v="4.25"/>
    <n v="0.11"/>
    <x v="2"/>
    <n v="3"/>
    <n v="4.3600000000000003"/>
    <n v="60"/>
    <n v="64.36"/>
  </r>
  <r>
    <d v="2014-09-17T00:00:00"/>
    <d v="2014-09-29T00:00:00"/>
    <n v="7.31"/>
    <n v="0.19"/>
    <x v="3"/>
    <n v="12"/>
    <n v="7.5"/>
    <n v="480"/>
    <n v="487.5"/>
  </r>
  <r>
    <d v="2014-09-17T00:00:00"/>
    <d v="2014-10-01T00:00:00"/>
    <n v="14"/>
    <n v="0.37"/>
    <x v="1"/>
    <n v="14"/>
    <n v="14.37"/>
    <n v="840"/>
    <n v="854.37"/>
  </r>
  <r>
    <d v="2014-09-17T00:00:00"/>
    <d v="2014-09-25T00:00:00"/>
    <n v="6.23"/>
    <n v="0.16"/>
    <x v="2"/>
    <n v="8"/>
    <n v="6.3900000000000006"/>
    <n v="160"/>
    <n v="166.39"/>
  </r>
  <r>
    <d v="2014-09-17T00:00:00"/>
    <d v="2014-09-22T00:00:00"/>
    <n v="9.1300000000000008"/>
    <n v="0.24"/>
    <x v="4"/>
    <n v="5"/>
    <n v="9.370000000000001"/>
    <n v="150"/>
    <n v="159.37"/>
  </r>
  <r>
    <d v="2014-09-17T00:00:00"/>
    <d v="2014-10-07T00:00:00"/>
    <n v="10.59"/>
    <n v="0.28000000000000003"/>
    <x v="0"/>
    <n v="20"/>
    <n v="10.87"/>
    <n v="1000"/>
    <n v="1010.87"/>
  </r>
  <r>
    <d v="2014-09-17T00:00:00"/>
    <d v="2014-09-20T00:00:00"/>
    <n v="9.06"/>
    <n v="0.24"/>
    <x v="2"/>
    <n v="3"/>
    <n v="9.3000000000000007"/>
    <n v="60"/>
    <n v="69.3"/>
  </r>
  <r>
    <d v="2014-09-17T00:00:00"/>
    <d v="2014-09-19T00:00:00"/>
    <n v="7.06"/>
    <n v="0.19"/>
    <x v="2"/>
    <n v="2"/>
    <n v="7.25"/>
    <n v="40"/>
    <n v="47.25"/>
  </r>
  <r>
    <d v="2014-09-17T00:00:00"/>
    <d v="2014-10-04T00:00:00"/>
    <n v="6.75"/>
    <n v="0.18"/>
    <x v="0"/>
    <n v="17"/>
    <n v="6.93"/>
    <n v="850"/>
    <n v="856.93"/>
  </r>
  <r>
    <d v="2014-09-17T00:00:00"/>
    <d v="2014-09-29T00:00:00"/>
    <n v="7.3"/>
    <n v="0.19"/>
    <x v="3"/>
    <n v="12"/>
    <n v="7.49"/>
    <n v="480"/>
    <n v="487.49"/>
  </r>
  <r>
    <d v="2014-09-17T00:00:00"/>
    <d v="2014-09-20T00:00:00"/>
    <n v="13.02"/>
    <n v="0.34"/>
    <x v="0"/>
    <n v="3"/>
    <n v="13.36"/>
    <n v="150"/>
    <n v="163.36000000000001"/>
  </r>
  <r>
    <d v="2014-09-17T00:00:00"/>
    <d v="2014-09-23T00:00:00"/>
    <n v="14.13"/>
    <n v="0.37"/>
    <x v="4"/>
    <n v="6"/>
    <n v="14.5"/>
    <n v="180"/>
    <n v="194.5"/>
  </r>
  <r>
    <d v="2014-09-17T00:00:00"/>
    <d v="2014-09-24T00:00:00"/>
    <n v="10.59"/>
    <n v="0.28000000000000003"/>
    <x v="4"/>
    <n v="7"/>
    <n v="10.87"/>
    <n v="210"/>
    <n v="220.87"/>
  </r>
  <r>
    <d v="2014-09-17T00:00:00"/>
    <d v="2014-10-05T00:00:00"/>
    <n v="5.57"/>
    <n v="0.15"/>
    <x v="1"/>
    <n v="18"/>
    <n v="5.7200000000000006"/>
    <n v="1080"/>
    <n v="1085.72"/>
  </r>
  <r>
    <d v="2014-09-18T00:00:00"/>
    <d v="2014-09-24T00:00:00"/>
    <n v="5.57"/>
    <n v="0.15"/>
    <x v="2"/>
    <n v="6"/>
    <n v="5.7200000000000006"/>
    <n v="120"/>
    <n v="125.72"/>
  </r>
  <r>
    <d v="2014-09-19T00:00:00"/>
    <d v="2014-10-07T00:00:00"/>
    <n v="8.7200000000000006"/>
    <n v="0.23"/>
    <x v="2"/>
    <n v="18"/>
    <n v="8.9500000000000011"/>
    <n v="360"/>
    <n v="368.95"/>
  </r>
  <r>
    <d v="2014-09-20T00:00:00"/>
    <d v="2014-09-22T00:00:00"/>
    <n v="6.43"/>
    <n v="0.17"/>
    <x v="3"/>
    <n v="2"/>
    <n v="6.6"/>
    <n v="80"/>
    <n v="86.6"/>
  </r>
  <r>
    <d v="2014-09-22T00:00:00"/>
    <d v="2014-10-17T00:00:00"/>
    <n v="3.57"/>
    <n v="0.09"/>
    <x v="2"/>
    <n v="25"/>
    <n v="3.6599999999999997"/>
    <n v="500"/>
    <n v="503.66"/>
  </r>
  <r>
    <d v="2014-09-23T00:00:00"/>
    <d v="2014-10-12T00:00:00"/>
    <n v="13.82"/>
    <n v="0.36"/>
    <x v="3"/>
    <n v="19"/>
    <n v="14.18"/>
    <n v="760"/>
    <n v="774.18"/>
  </r>
  <r>
    <d v="2014-09-23T00:00:00"/>
    <d v="2014-09-28T00:00:00"/>
    <n v="11.37"/>
    <n v="0.3"/>
    <x v="0"/>
    <n v="5"/>
    <n v="11.67"/>
    <n v="250"/>
    <n v="261.67"/>
  </r>
  <r>
    <d v="2014-09-23T00:00:00"/>
    <d v="2014-10-13T00:00:00"/>
    <n v="6.58"/>
    <n v="0.17"/>
    <x v="3"/>
    <n v="20"/>
    <n v="6.75"/>
    <n v="800"/>
    <n v="806.75"/>
  </r>
  <r>
    <d v="2014-09-23T00:00:00"/>
    <d v="2014-10-15T00:00:00"/>
    <n v="11.69"/>
    <n v="0.31"/>
    <x v="0"/>
    <n v="22"/>
    <n v="12"/>
    <n v="1100"/>
    <n v="1112"/>
  </r>
  <r>
    <d v="2014-09-23T00:00:00"/>
    <d v="2014-09-25T00:00:00"/>
    <n v="12.01"/>
    <n v="0.32"/>
    <x v="4"/>
    <n v="2"/>
    <n v="12.33"/>
    <n v="60"/>
    <n v="72.33"/>
  </r>
  <r>
    <d v="2014-09-23T00:00:00"/>
    <d v="2014-10-12T00:00:00"/>
    <n v="6.43"/>
    <n v="0.17"/>
    <x v="2"/>
    <n v="19"/>
    <n v="6.6"/>
    <n v="380"/>
    <n v="386.6"/>
  </r>
  <r>
    <d v="2014-09-24T00:00:00"/>
    <d v="2014-10-09T00:00:00"/>
    <n v="14.13"/>
    <n v="0.37"/>
    <x v="2"/>
    <n v="15"/>
    <n v="14.5"/>
    <n v="300"/>
    <n v="314.5"/>
  </r>
  <r>
    <d v="2014-09-26T00:00:00"/>
    <d v="2014-10-16T00:00:00"/>
    <n v="3.73"/>
    <n v="0.1"/>
    <x v="2"/>
    <n v="20"/>
    <n v="3.83"/>
    <n v="400"/>
    <n v="403.83"/>
  </r>
  <r>
    <d v="2014-09-28T00:00:00"/>
    <d v="2014-10-24T00:00:00"/>
    <n v="2.29"/>
    <n v="0.06"/>
    <x v="1"/>
    <n v="26"/>
    <n v="2.35"/>
    <n v="1560"/>
    <n v="1562.35"/>
  </r>
  <r>
    <d v="2014-09-28T00:00:00"/>
    <d v="2014-10-14T00:00:00"/>
    <n v="14.13"/>
    <n v="0.37"/>
    <x v="4"/>
    <n v="16"/>
    <n v="14.5"/>
    <n v="480"/>
    <n v="494.5"/>
  </r>
  <r>
    <d v="2014-09-28T00:00:00"/>
    <d v="2014-10-13T00:00:00"/>
    <n v="11.37"/>
    <n v="0.3"/>
    <x v="3"/>
    <n v="15"/>
    <n v="11.67"/>
    <n v="600"/>
    <n v="611.66999999999996"/>
  </r>
  <r>
    <d v="2014-09-28T00:00:00"/>
    <d v="2014-10-05T00:00:00"/>
    <n v="16.940000000000001"/>
    <n v="0.45"/>
    <x v="2"/>
    <n v="7"/>
    <n v="17.39"/>
    <n v="140"/>
    <n v="157.38999999999999"/>
  </r>
  <r>
    <d v="2014-09-28T00:00:00"/>
    <d v="2014-10-01T00:00:00"/>
    <n v="11.42"/>
    <n v="0.3"/>
    <x v="4"/>
    <n v="3"/>
    <n v="11.72"/>
    <n v="90"/>
    <n v="101.72"/>
  </r>
  <r>
    <d v="2014-09-28T00:00:00"/>
    <d v="2014-10-01T00:00:00"/>
    <n v="4.25"/>
    <n v="0.11"/>
    <x v="3"/>
    <n v="3"/>
    <n v="4.3600000000000003"/>
    <n v="120"/>
    <n v="124.36"/>
  </r>
  <r>
    <d v="2014-09-28T00:00:00"/>
    <d v="2014-10-18T00:00:00"/>
    <n v="5.78"/>
    <n v="0.15"/>
    <x v="2"/>
    <n v="20"/>
    <n v="5.9300000000000006"/>
    <n v="400"/>
    <n v="405.93"/>
  </r>
  <r>
    <d v="2014-09-28T00:00:00"/>
    <d v="2014-10-06T00:00:00"/>
    <n v="5.23"/>
    <n v="0.14000000000000001"/>
    <x v="0"/>
    <n v="8"/>
    <n v="5.37"/>
    <n v="400"/>
    <n v="405.37"/>
  </r>
  <r>
    <d v="2014-09-28T00:00:00"/>
    <d v="2014-10-21T00:00:00"/>
    <n v="10.79"/>
    <n v="0.28000000000000003"/>
    <x v="4"/>
    <n v="23"/>
    <n v="11.069999999999999"/>
    <n v="690"/>
    <n v="701.07"/>
  </r>
  <r>
    <d v="2014-09-28T00:00:00"/>
    <d v="2014-10-11T00:00:00"/>
    <n v="5.78"/>
    <n v="0.15"/>
    <x v="1"/>
    <n v="13"/>
    <n v="5.9300000000000006"/>
    <n v="780"/>
    <n v="785.93"/>
  </r>
  <r>
    <d v="2014-09-29T00:00:00"/>
    <d v="2014-10-07T00:00:00"/>
    <n v="11.37"/>
    <n v="0.3"/>
    <x v="3"/>
    <n v="8"/>
    <n v="11.67"/>
    <n v="320"/>
    <n v="331.67"/>
  </r>
  <r>
    <d v="2014-09-29T00:00:00"/>
    <d v="2014-10-15T00:00:00"/>
    <n v="8.9499999999999993"/>
    <n v="0.24"/>
    <x v="4"/>
    <n v="16"/>
    <n v="9.19"/>
    <n v="480"/>
    <n v="489.19"/>
  </r>
  <r>
    <d v="2014-09-29T00:00:00"/>
    <d v="2014-10-17T00:00:00"/>
    <n v="10.199999999999999"/>
    <n v="0.27"/>
    <x v="4"/>
    <n v="18"/>
    <n v="10.469999999999999"/>
    <n v="540"/>
    <n v="550.47"/>
  </r>
  <r>
    <d v="2014-09-29T00:00:00"/>
    <d v="2014-10-09T00:00:00"/>
    <n v="9.1300000000000008"/>
    <n v="0.24"/>
    <x v="3"/>
    <n v="10"/>
    <n v="9.370000000000001"/>
    <n v="400"/>
    <n v="409.37"/>
  </r>
  <r>
    <d v="2014-09-29T00:00:00"/>
    <d v="2014-10-20T00:00:00"/>
    <n v="6.23"/>
    <n v="0.16"/>
    <x v="1"/>
    <n v="21"/>
    <n v="6.3900000000000006"/>
    <n v="1260"/>
    <n v="1266.3900000000001"/>
  </r>
  <r>
    <d v="2014-09-29T00:00:00"/>
    <d v="2014-10-20T00:00:00"/>
    <n v="8.84"/>
    <n v="0.23"/>
    <x v="3"/>
    <n v="21"/>
    <n v="9.07"/>
    <n v="840"/>
    <n v="849.07"/>
  </r>
  <r>
    <d v="2014-09-29T00:00:00"/>
    <d v="2014-10-07T00:00:00"/>
    <n v="6.88"/>
    <n v="0.18"/>
    <x v="1"/>
    <n v="8"/>
    <n v="7.06"/>
    <n v="480"/>
    <n v="487.06"/>
  </r>
  <r>
    <d v="2014-09-29T00:00:00"/>
    <d v="2014-10-09T00:00:00"/>
    <n v="8.84"/>
    <n v="0.23"/>
    <x v="2"/>
    <n v="10"/>
    <n v="9.07"/>
    <n v="200"/>
    <n v="209.07"/>
  </r>
  <r>
    <d v="2014-09-29T00:00:00"/>
    <d v="2014-10-05T00:00:00"/>
    <n v="3.57"/>
    <n v="0.09"/>
    <x v="0"/>
    <n v="6"/>
    <n v="3.6599999999999997"/>
    <n v="300"/>
    <n v="303.66000000000003"/>
  </r>
  <r>
    <d v="2014-09-29T00:00:00"/>
    <d v="2014-10-14T00:00:00"/>
    <n v="5.64"/>
    <n v="0.15"/>
    <x v="0"/>
    <n v="15"/>
    <n v="5.79"/>
    <n v="750"/>
    <n v="755.79"/>
  </r>
  <r>
    <d v="2014-09-29T00:00:00"/>
    <d v="2014-10-26T00:00:00"/>
    <n v="9.06"/>
    <n v="0.24"/>
    <x v="1"/>
    <n v="27"/>
    <n v="9.3000000000000007"/>
    <n v="1620"/>
    <n v="1629.3"/>
  </r>
  <r>
    <d v="2014-09-29T00:00:00"/>
    <d v="2014-10-04T00:00:00"/>
    <n v="7.55"/>
    <n v="0.2"/>
    <x v="2"/>
    <n v="5"/>
    <n v="7.75"/>
    <n v="100"/>
    <n v="107.75"/>
  </r>
  <r>
    <d v="2014-09-29T00:00:00"/>
    <d v="2014-10-17T00:00:00"/>
    <n v="13.02"/>
    <n v="0.34"/>
    <x v="0"/>
    <n v="18"/>
    <n v="13.36"/>
    <n v="900"/>
    <n v="913.36"/>
  </r>
  <r>
    <d v="2014-09-29T00:00:00"/>
    <d v="2014-10-01T00:00:00"/>
    <n v="8.9499999999999993"/>
    <n v="0.24"/>
    <x v="3"/>
    <n v="2"/>
    <n v="9.19"/>
    <n v="80"/>
    <n v="89.19"/>
  </r>
  <r>
    <d v="2014-09-29T00:00:00"/>
    <d v="2014-10-06T00:00:00"/>
    <n v="10.93"/>
    <n v="0.28999999999999998"/>
    <x v="4"/>
    <n v="7"/>
    <n v="11.219999999999999"/>
    <n v="210"/>
    <n v="221.22"/>
  </r>
  <r>
    <d v="2014-09-29T00:00:00"/>
    <d v="2014-10-19T00:00:00"/>
    <n v="7.3"/>
    <n v="0.19"/>
    <x v="0"/>
    <n v="20"/>
    <n v="7.49"/>
    <n v="1000"/>
    <n v="1007.49"/>
  </r>
  <r>
    <d v="2014-09-29T00:00:00"/>
    <d v="2014-10-27T00:00:00"/>
    <n v="7.31"/>
    <n v="0.19"/>
    <x v="1"/>
    <n v="28"/>
    <n v="7.5"/>
    <n v="1680"/>
    <n v="1687.5"/>
  </r>
  <r>
    <d v="2014-09-29T00:00:00"/>
    <d v="2014-10-06T00:00:00"/>
    <n v="13.07"/>
    <n v="0.34"/>
    <x v="0"/>
    <n v="7"/>
    <n v="13.41"/>
    <n v="350"/>
    <n v="363.41"/>
  </r>
  <r>
    <d v="2014-09-29T00:00:00"/>
    <d v="2014-10-11T00:00:00"/>
    <n v="5.67"/>
    <n v="0.15"/>
    <x v="3"/>
    <n v="12"/>
    <n v="5.82"/>
    <n v="480"/>
    <n v="485.82"/>
  </r>
  <r>
    <d v="2014-09-30T00:00:00"/>
    <d v="2014-10-13T00:00:00"/>
    <n v="2.72"/>
    <n v="7.0000000000000007E-2"/>
    <x v="1"/>
    <n v="13"/>
    <n v="2.79"/>
    <n v="780"/>
    <n v="782.79"/>
  </r>
  <r>
    <d v="2014-10-01T00:00:00"/>
    <d v="2014-10-07T00:00:00"/>
    <n v="5.67"/>
    <n v="0.15"/>
    <x v="3"/>
    <n v="6"/>
    <n v="5.82"/>
    <n v="240"/>
    <n v="245.82"/>
  </r>
  <r>
    <d v="2014-10-01T00:00:00"/>
    <d v="2014-10-16T00:00:00"/>
    <n v="5.67"/>
    <n v="0.15"/>
    <x v="0"/>
    <n v="15"/>
    <n v="5.82"/>
    <n v="750"/>
    <n v="755.82"/>
  </r>
  <r>
    <d v="2014-10-02T00:00:00"/>
    <d v="2014-10-05T00:00:00"/>
    <n v="3.94"/>
    <n v="0.1"/>
    <x v="0"/>
    <n v="3"/>
    <n v="4.04"/>
    <n v="150"/>
    <n v="154.04"/>
  </r>
  <r>
    <d v="2014-10-02T00:00:00"/>
    <d v="2014-10-30T00:00:00"/>
    <n v="5.64"/>
    <n v="0.15"/>
    <x v="4"/>
    <n v="28"/>
    <n v="5.79"/>
    <n v="840"/>
    <n v="845.79"/>
  </r>
  <r>
    <d v="2014-10-03T00:00:00"/>
    <d v="2014-10-20T00:00:00"/>
    <n v="2.0099999999999998"/>
    <n v="0.05"/>
    <x v="1"/>
    <n v="17"/>
    <n v="2.0599999999999996"/>
    <n v="1020"/>
    <n v="1022.06"/>
  </r>
  <r>
    <d v="2014-10-03T00:00:00"/>
    <d v="2014-10-26T00:00:00"/>
    <n v="3.73"/>
    <n v="0.1"/>
    <x v="3"/>
    <n v="23"/>
    <n v="3.83"/>
    <n v="920"/>
    <n v="923.83"/>
  </r>
  <r>
    <d v="2014-10-03T00:00:00"/>
    <d v="2014-10-09T00:00:00"/>
    <n v="3.73"/>
    <n v="0.1"/>
    <x v="2"/>
    <n v="6"/>
    <n v="3.83"/>
    <n v="120"/>
    <n v="123.83"/>
  </r>
  <r>
    <d v="2014-10-05T00:00:00"/>
    <d v="2014-10-25T00:00:00"/>
    <n v="4.25"/>
    <n v="0.11"/>
    <x v="0"/>
    <n v="20"/>
    <n v="4.3600000000000003"/>
    <n v="1000"/>
    <n v="1004.36"/>
  </r>
  <r>
    <d v="2014-10-05T00:00:00"/>
    <d v="2014-10-16T00:00:00"/>
    <n v="11.42"/>
    <n v="0.3"/>
    <x v="3"/>
    <n v="11"/>
    <n v="11.72"/>
    <n v="440"/>
    <n v="451.72"/>
  </r>
  <r>
    <d v="2014-10-05T00:00:00"/>
    <d v="2014-10-27T00:00:00"/>
    <n v="13.07"/>
    <n v="0.34"/>
    <x v="4"/>
    <n v="22"/>
    <n v="13.41"/>
    <n v="660"/>
    <n v="673.41"/>
  </r>
  <r>
    <d v="2014-10-06T00:00:00"/>
    <d v="2014-10-27T00:00:00"/>
    <n v="5.67"/>
    <n v="0.15"/>
    <x v="2"/>
    <n v="21"/>
    <n v="5.82"/>
    <n v="420"/>
    <n v="425.82"/>
  </r>
  <r>
    <d v="2014-10-06T00:00:00"/>
    <d v="2014-10-10T00:00:00"/>
    <n v="6.23"/>
    <n v="0.16"/>
    <x v="3"/>
    <n v="4"/>
    <n v="6.3900000000000006"/>
    <n v="160"/>
    <n v="166.39"/>
  </r>
  <r>
    <d v="2014-10-06T00:00:00"/>
    <d v="2014-10-28T00:00:00"/>
    <n v="19.940000000000001"/>
    <n v="0.52"/>
    <x v="3"/>
    <n v="22"/>
    <n v="20.46"/>
    <n v="880"/>
    <n v="900.46"/>
  </r>
  <r>
    <d v="2014-10-06T00:00:00"/>
    <d v="2014-10-13T00:00:00"/>
    <n v="6.88"/>
    <n v="0.18"/>
    <x v="4"/>
    <n v="7"/>
    <n v="7.06"/>
    <n v="210"/>
    <n v="217.06"/>
  </r>
  <r>
    <d v="2014-10-06T00:00:00"/>
    <d v="2014-10-17T00:00:00"/>
    <n v="8.39"/>
    <n v="0.22"/>
    <x v="1"/>
    <n v="11"/>
    <n v="8.6100000000000012"/>
    <n v="660"/>
    <n v="668.61"/>
  </r>
  <r>
    <d v="2014-10-10T00:00:00"/>
    <d v="2014-10-24T00:00:00"/>
    <n v="11.44"/>
    <n v="0.3"/>
    <x v="3"/>
    <n v="14"/>
    <n v="11.74"/>
    <n v="560"/>
    <n v="571.74"/>
  </r>
  <r>
    <d v="2014-10-10T00:00:00"/>
    <d v="2014-10-25T00:00:00"/>
    <n v="9.4600000000000009"/>
    <n v="0.25"/>
    <x v="0"/>
    <n v="15"/>
    <n v="9.7100000000000009"/>
    <n v="750"/>
    <n v="759.71"/>
  </r>
  <r>
    <d v="2014-10-10T00:00:00"/>
    <d v="2014-10-14T00:00:00"/>
    <n v="5.67"/>
    <n v="0.15"/>
    <x v="3"/>
    <n v="4"/>
    <n v="5.82"/>
    <n v="160"/>
    <n v="165.82"/>
  </r>
  <r>
    <d v="2014-10-10T00:00:00"/>
    <d v="2014-11-04T00:00:00"/>
    <n v="13.82"/>
    <n v="0.36"/>
    <x v="2"/>
    <n v="25"/>
    <n v="14.18"/>
    <n v="500"/>
    <n v="514.17999999999995"/>
  </r>
  <r>
    <d v="2014-10-10T00:00:00"/>
    <d v="2014-10-17T00:00:00"/>
    <n v="6.43"/>
    <n v="0.17"/>
    <x v="0"/>
    <n v="7"/>
    <n v="6.6"/>
    <n v="350"/>
    <n v="356.6"/>
  </r>
  <r>
    <d v="2014-10-10T00:00:00"/>
    <d v="2014-10-16T00:00:00"/>
    <n v="2.0099999999999998"/>
    <n v="0.05"/>
    <x v="2"/>
    <n v="6"/>
    <n v="2.0599999999999996"/>
    <n v="120"/>
    <n v="122.06"/>
  </r>
  <r>
    <d v="2014-10-10T00:00:00"/>
    <d v="2014-11-07T00:00:00"/>
    <n v="6.43"/>
    <n v="0.17"/>
    <x v="0"/>
    <n v="28"/>
    <n v="6.6"/>
    <n v="1400"/>
    <n v="1406.6"/>
  </r>
  <r>
    <d v="2014-10-10T00:00:00"/>
    <d v="2014-11-01T00:00:00"/>
    <n v="7.35"/>
    <n v="0.19"/>
    <x v="1"/>
    <n v="22"/>
    <n v="7.54"/>
    <n v="1320"/>
    <n v="1327.54"/>
  </r>
  <r>
    <d v="2014-10-10T00:00:00"/>
    <d v="2014-11-04T00:00:00"/>
    <n v="16.55"/>
    <n v="0.44"/>
    <x v="1"/>
    <n v="25"/>
    <n v="16.990000000000002"/>
    <n v="1500"/>
    <n v="1516.99"/>
  </r>
  <r>
    <d v="2014-10-10T00:00:00"/>
    <d v="2014-10-16T00:00:00"/>
    <n v="9.06"/>
    <n v="0.24"/>
    <x v="1"/>
    <n v="6"/>
    <n v="9.3000000000000007"/>
    <n v="360"/>
    <n v="369.3"/>
  </r>
  <r>
    <d v="2014-10-10T00:00:00"/>
    <d v="2014-11-02T00:00:00"/>
    <n v="10.59"/>
    <n v="0.28000000000000003"/>
    <x v="3"/>
    <n v="23"/>
    <n v="10.87"/>
    <n v="920"/>
    <n v="930.87"/>
  </r>
  <r>
    <d v="2014-10-10T00:00:00"/>
    <d v="2014-10-18T00:00:00"/>
    <n v="7.71"/>
    <n v="0.2"/>
    <x v="4"/>
    <n v="8"/>
    <n v="7.91"/>
    <n v="240"/>
    <n v="247.91"/>
  </r>
  <r>
    <d v="2014-10-10T00:00:00"/>
    <d v="2014-11-06T00:00:00"/>
    <n v="10.19"/>
    <n v="0.27"/>
    <x v="3"/>
    <n v="27"/>
    <n v="10.459999999999999"/>
    <n v="1080"/>
    <n v="1090.46"/>
  </r>
  <r>
    <d v="2014-10-10T00:00:00"/>
    <d v="2014-10-16T00:00:00"/>
    <n v="4.25"/>
    <n v="0.11"/>
    <x v="3"/>
    <n v="6"/>
    <n v="4.3600000000000003"/>
    <n v="240"/>
    <n v="244.36"/>
  </r>
  <r>
    <d v="2014-10-10T00:00:00"/>
    <d v="2014-10-14T00:00:00"/>
    <n v="9.06"/>
    <n v="0.24"/>
    <x v="4"/>
    <n v="4"/>
    <n v="9.3000000000000007"/>
    <n v="120"/>
    <n v="129.30000000000001"/>
  </r>
  <r>
    <d v="2014-10-11T00:00:00"/>
    <d v="2014-10-20T00:00:00"/>
    <n v="8.65"/>
    <n v="0.23"/>
    <x v="3"/>
    <n v="9"/>
    <n v="8.8800000000000008"/>
    <n v="360"/>
    <n v="368.88"/>
  </r>
  <r>
    <d v="2014-10-11T00:00:00"/>
    <d v="2014-10-23T00:00:00"/>
    <n v="8.84"/>
    <n v="0.23"/>
    <x v="3"/>
    <n v="12"/>
    <n v="9.07"/>
    <n v="480"/>
    <n v="489.07"/>
  </r>
  <r>
    <d v="2014-10-11T00:00:00"/>
    <d v="2014-10-20T00:00:00"/>
    <n v="4.25"/>
    <n v="0.11"/>
    <x v="0"/>
    <n v="9"/>
    <n v="4.3600000000000003"/>
    <n v="450"/>
    <n v="454.36"/>
  </r>
  <r>
    <d v="2014-10-11T00:00:00"/>
    <d v="2014-10-15T00:00:00"/>
    <n v="5.47"/>
    <n v="0.14000000000000001"/>
    <x v="0"/>
    <n v="4"/>
    <n v="5.6099999999999994"/>
    <n v="200"/>
    <n v="205.61"/>
  </r>
  <r>
    <d v="2014-10-11T00:00:00"/>
    <d v="2014-10-25T00:00:00"/>
    <n v="14.31"/>
    <n v="0.38"/>
    <x v="4"/>
    <n v="14"/>
    <n v="14.690000000000001"/>
    <n v="420"/>
    <n v="434.69"/>
  </r>
  <r>
    <d v="2014-10-11T00:00:00"/>
    <d v="2014-11-06T00:00:00"/>
    <n v="13.81"/>
    <n v="0.36"/>
    <x v="1"/>
    <n v="26"/>
    <n v="14.17"/>
    <n v="1560"/>
    <n v="1574.17"/>
  </r>
  <r>
    <d v="2014-10-11T00:00:00"/>
    <d v="2014-10-31T00:00:00"/>
    <n v="9.74"/>
    <n v="0.26"/>
    <x v="4"/>
    <n v="20"/>
    <n v="10"/>
    <n v="600"/>
    <n v="610"/>
  </r>
  <r>
    <d v="2014-10-11T00:00:00"/>
    <d v="2014-11-08T00:00:00"/>
    <n v="9.4600000000000009"/>
    <n v="0.25"/>
    <x v="0"/>
    <n v="28"/>
    <n v="9.7100000000000009"/>
    <n v="1400"/>
    <n v="1409.71"/>
  </r>
  <r>
    <d v="2014-10-11T00:00:00"/>
    <d v="2014-10-28T00:00:00"/>
    <n v="7.31"/>
    <n v="0.19"/>
    <x v="2"/>
    <n v="17"/>
    <n v="7.5"/>
    <n v="340"/>
    <n v="347.5"/>
  </r>
  <r>
    <d v="2014-10-11T00:00:00"/>
    <d v="2014-11-02T00:00:00"/>
    <n v="11.78"/>
    <n v="0.31"/>
    <x v="3"/>
    <n v="22"/>
    <n v="12.09"/>
    <n v="880"/>
    <n v="892.09"/>
  </r>
  <r>
    <d v="2014-10-11T00:00:00"/>
    <d v="2014-10-28T00:00:00"/>
    <n v="13.82"/>
    <n v="0.36"/>
    <x v="3"/>
    <n v="17"/>
    <n v="14.18"/>
    <n v="680"/>
    <n v="694.18"/>
  </r>
  <r>
    <d v="2014-10-13T00:00:00"/>
    <d v="2014-11-07T00:00:00"/>
    <n v="3.94"/>
    <n v="0.1"/>
    <x v="0"/>
    <n v="25"/>
    <n v="4.04"/>
    <n v="1250"/>
    <n v="1254.04"/>
  </r>
  <r>
    <d v="2014-10-13T00:00:00"/>
    <d v="2014-10-22T00:00:00"/>
    <n v="6.58"/>
    <n v="0.17"/>
    <x v="0"/>
    <n v="9"/>
    <n v="6.75"/>
    <n v="450"/>
    <n v="456.75"/>
  </r>
  <r>
    <d v="2014-10-13T00:00:00"/>
    <d v="2014-10-19T00:00:00"/>
    <n v="6.34"/>
    <n v="0.17"/>
    <x v="3"/>
    <n v="6"/>
    <n v="6.51"/>
    <n v="240"/>
    <n v="246.51"/>
  </r>
  <r>
    <d v="2014-10-13T00:00:00"/>
    <d v="2014-10-31T00:00:00"/>
    <n v="6.58"/>
    <n v="0.17"/>
    <x v="3"/>
    <n v="18"/>
    <n v="6.75"/>
    <n v="720"/>
    <n v="726.75"/>
  </r>
  <r>
    <d v="2014-10-13T00:00:00"/>
    <d v="2014-11-06T00:00:00"/>
    <n v="6.34"/>
    <n v="0.17"/>
    <x v="4"/>
    <n v="24"/>
    <n v="6.51"/>
    <n v="720"/>
    <n v="726.51"/>
  </r>
  <r>
    <d v="2014-10-14T00:00:00"/>
    <d v="2014-10-29T00:00:00"/>
    <n v="6.43"/>
    <n v="0.17"/>
    <x v="1"/>
    <n v="15"/>
    <n v="6.6"/>
    <n v="900"/>
    <n v="906.6"/>
  </r>
  <r>
    <d v="2014-10-15T00:00:00"/>
    <d v="2014-11-11T00:00:00"/>
    <n v="2.0099999999999998"/>
    <n v="0.05"/>
    <x v="1"/>
    <n v="27"/>
    <n v="2.0599999999999996"/>
    <n v="1620"/>
    <n v="1622.06"/>
  </r>
  <r>
    <d v="2014-10-15T00:00:00"/>
    <d v="2014-11-10T00:00:00"/>
    <n v="2.72"/>
    <n v="7.0000000000000007E-2"/>
    <x v="3"/>
    <n v="26"/>
    <n v="2.79"/>
    <n v="1040"/>
    <n v="1042.79"/>
  </r>
  <r>
    <d v="2014-10-16T00:00:00"/>
    <d v="2014-10-22T00:00:00"/>
    <n v="3.73"/>
    <n v="0.1"/>
    <x v="0"/>
    <n v="6"/>
    <n v="3.83"/>
    <n v="300"/>
    <n v="303.83"/>
  </r>
  <r>
    <d v="2014-10-17T00:00:00"/>
    <d v="2014-10-25T00:00:00"/>
    <n v="5.64"/>
    <n v="0.15"/>
    <x v="1"/>
    <n v="8"/>
    <n v="5.79"/>
    <n v="480"/>
    <n v="485.79"/>
  </r>
  <r>
    <d v="2014-10-17T00:00:00"/>
    <d v="2014-10-30T00:00:00"/>
    <n v="11.78"/>
    <n v="0.31"/>
    <x v="0"/>
    <n v="13"/>
    <n v="12.09"/>
    <n v="650"/>
    <n v="662.09"/>
  </r>
  <r>
    <d v="2014-10-17T00:00:00"/>
    <d v="2014-10-19T00:00:00"/>
    <n v="9.4600000000000009"/>
    <n v="0.25"/>
    <x v="0"/>
    <n v="2"/>
    <n v="9.7100000000000009"/>
    <n v="100"/>
    <n v="109.71000000000001"/>
  </r>
  <r>
    <d v="2014-10-17T00:00:00"/>
    <d v="2014-11-02T00:00:00"/>
    <n v="4.25"/>
    <n v="0.11"/>
    <x v="4"/>
    <n v="16"/>
    <n v="4.3600000000000003"/>
    <n v="480"/>
    <n v="484.36"/>
  </r>
  <r>
    <d v="2014-10-17T00:00:00"/>
    <d v="2014-11-12T00:00:00"/>
    <n v="11.42"/>
    <n v="0.3"/>
    <x v="3"/>
    <n v="26"/>
    <n v="11.72"/>
    <n v="1040"/>
    <n v="1051.72"/>
  </r>
  <r>
    <d v="2014-10-17T00:00:00"/>
    <d v="2014-11-12T00:00:00"/>
    <n v="8.5399999999999991"/>
    <n v="0.22"/>
    <x v="4"/>
    <n v="26"/>
    <n v="8.76"/>
    <n v="780"/>
    <n v="788.76"/>
  </r>
  <r>
    <d v="2014-10-18T00:00:00"/>
    <d v="2014-10-24T00:00:00"/>
    <n v="2.72"/>
    <n v="7.0000000000000007E-2"/>
    <x v="2"/>
    <n v="6"/>
    <n v="2.79"/>
    <n v="120"/>
    <n v="122.79"/>
  </r>
  <r>
    <d v="2014-10-22T00:00:00"/>
    <d v="2014-10-29T00:00:00"/>
    <n v="11.78"/>
    <n v="0.31"/>
    <x v="4"/>
    <n v="7"/>
    <n v="12.09"/>
    <n v="210"/>
    <n v="222.09"/>
  </r>
  <r>
    <d v="2014-10-22T00:00:00"/>
    <d v="2014-11-16T00:00:00"/>
    <n v="8.89"/>
    <n v="0.23"/>
    <x v="3"/>
    <n v="25"/>
    <n v="9.120000000000001"/>
    <n v="1000"/>
    <n v="1009.12"/>
  </r>
  <r>
    <d v="2014-10-22T00:00:00"/>
    <d v="2014-10-25T00:00:00"/>
    <n v="3.94"/>
    <n v="0.1"/>
    <x v="0"/>
    <n v="3"/>
    <n v="4.04"/>
    <n v="150"/>
    <n v="154.04"/>
  </r>
  <r>
    <d v="2014-10-22T00:00:00"/>
    <d v="2014-11-17T00:00:00"/>
    <n v="6.23"/>
    <n v="0.16"/>
    <x v="0"/>
    <n v="26"/>
    <n v="6.3900000000000006"/>
    <n v="1300"/>
    <n v="1306.3900000000001"/>
  </r>
  <r>
    <d v="2014-10-22T00:00:00"/>
    <d v="2014-11-18T00:00:00"/>
    <n v="9.4600000000000009"/>
    <n v="0.25"/>
    <x v="1"/>
    <n v="27"/>
    <n v="9.7100000000000009"/>
    <n v="1620"/>
    <n v="1629.71"/>
  </r>
  <r>
    <d v="2014-10-22T00:00:00"/>
    <d v="2014-10-30T00:00:00"/>
    <n v="11.42"/>
    <n v="0.3"/>
    <x v="1"/>
    <n v="8"/>
    <n v="11.72"/>
    <n v="480"/>
    <n v="491.72"/>
  </r>
  <r>
    <d v="2014-10-22T00:00:00"/>
    <d v="2014-11-06T00:00:00"/>
    <n v="8.84"/>
    <n v="0.23"/>
    <x v="4"/>
    <n v="15"/>
    <n v="9.07"/>
    <n v="450"/>
    <n v="459.07"/>
  </r>
  <r>
    <d v="2014-10-22T00:00:00"/>
    <d v="2014-11-06T00:00:00"/>
    <n v="6.34"/>
    <n v="0.17"/>
    <x v="2"/>
    <n v="15"/>
    <n v="6.51"/>
    <n v="300"/>
    <n v="306.51"/>
  </r>
  <r>
    <d v="2014-10-22T00:00:00"/>
    <d v="2014-10-31T00:00:00"/>
    <n v="5.67"/>
    <n v="0.15"/>
    <x v="2"/>
    <n v="9"/>
    <n v="5.82"/>
    <n v="180"/>
    <n v="185.82"/>
  </r>
  <r>
    <d v="2014-10-22T00:00:00"/>
    <d v="2014-11-11T00:00:00"/>
    <n v="11.78"/>
    <n v="0.31"/>
    <x v="0"/>
    <n v="20"/>
    <n v="12.09"/>
    <n v="1000"/>
    <n v="1012.09"/>
  </r>
  <r>
    <d v="2014-10-22T00:00:00"/>
    <d v="2014-11-01T00:00:00"/>
    <n v="13.82"/>
    <n v="0.36"/>
    <x v="4"/>
    <n v="10"/>
    <n v="14.18"/>
    <n v="300"/>
    <n v="314.18"/>
  </r>
  <r>
    <d v="2014-10-22T00:00:00"/>
    <d v="2014-11-15T00:00:00"/>
    <n v="3.57"/>
    <n v="0.09"/>
    <x v="4"/>
    <n v="24"/>
    <n v="3.6599999999999997"/>
    <n v="720"/>
    <n v="723.66"/>
  </r>
  <r>
    <d v="2014-10-22T00:00:00"/>
    <d v="2014-11-11T00:00:00"/>
    <n v="6.88"/>
    <n v="0.18"/>
    <x v="4"/>
    <n v="20"/>
    <n v="7.06"/>
    <n v="600"/>
    <n v="607.05999999999995"/>
  </r>
  <r>
    <d v="2014-10-22T00:00:00"/>
    <d v="2014-11-15T00:00:00"/>
    <n v="7.3"/>
    <n v="0.19"/>
    <x v="0"/>
    <n v="24"/>
    <n v="7.49"/>
    <n v="1200"/>
    <n v="1207.49"/>
  </r>
  <r>
    <d v="2014-10-22T00:00:00"/>
    <d v="2014-11-12T00:00:00"/>
    <n v="9.74"/>
    <n v="0.26"/>
    <x v="2"/>
    <n v="21"/>
    <n v="10"/>
    <n v="420"/>
    <n v="430"/>
  </r>
  <r>
    <d v="2014-10-22T00:00:00"/>
    <d v="2014-11-02T00:00:00"/>
    <n v="8.65"/>
    <n v="0.23"/>
    <x v="2"/>
    <n v="11"/>
    <n v="8.8800000000000008"/>
    <n v="220"/>
    <n v="228.88"/>
  </r>
  <r>
    <d v="2014-10-22T00:00:00"/>
    <d v="2014-11-11T00:00:00"/>
    <n v="3.57"/>
    <n v="0.09"/>
    <x v="0"/>
    <n v="20"/>
    <n v="3.6599999999999997"/>
    <n v="1000"/>
    <n v="1003.66"/>
  </r>
  <r>
    <d v="2014-10-22T00:00:00"/>
    <d v="2014-11-08T00:00:00"/>
    <n v="4.25"/>
    <n v="0.11"/>
    <x v="1"/>
    <n v="17"/>
    <n v="4.3600000000000003"/>
    <n v="1020"/>
    <n v="1024.3599999999999"/>
  </r>
  <r>
    <d v="2014-10-22T00:00:00"/>
    <d v="2014-10-26T00:00:00"/>
    <n v="13.02"/>
    <n v="0.34"/>
    <x v="2"/>
    <n v="4"/>
    <n v="13.36"/>
    <n v="80"/>
    <n v="93.36"/>
  </r>
  <r>
    <d v="2014-10-23T00:00:00"/>
    <d v="2014-11-02T00:00:00"/>
    <n v="11.44"/>
    <n v="0.3"/>
    <x v="1"/>
    <n v="10"/>
    <n v="11.74"/>
    <n v="600"/>
    <n v="611.74"/>
  </r>
  <r>
    <d v="2014-10-23T00:00:00"/>
    <d v="2014-11-11T00:00:00"/>
    <n v="11.78"/>
    <n v="0.31"/>
    <x v="0"/>
    <n v="19"/>
    <n v="12.09"/>
    <n v="950"/>
    <n v="962.09"/>
  </r>
  <r>
    <d v="2014-10-23T00:00:00"/>
    <d v="2014-11-01T00:00:00"/>
    <n v="7.31"/>
    <n v="0.19"/>
    <x v="2"/>
    <n v="9"/>
    <n v="7.5"/>
    <n v="180"/>
    <n v="187.5"/>
  </r>
  <r>
    <d v="2014-10-23T00:00:00"/>
    <d v="2014-10-28T00:00:00"/>
    <n v="3.79"/>
    <n v="0.1"/>
    <x v="3"/>
    <n v="5"/>
    <n v="3.89"/>
    <n v="200"/>
    <n v="203.89"/>
  </r>
  <r>
    <d v="2014-10-23T00:00:00"/>
    <d v="2014-11-04T00:00:00"/>
    <n v="11.42"/>
    <n v="0.3"/>
    <x v="4"/>
    <n v="12"/>
    <n v="11.72"/>
    <n v="360"/>
    <n v="371.72"/>
  </r>
  <r>
    <d v="2014-10-23T00:00:00"/>
    <d v="2014-11-12T00:00:00"/>
    <n v="7.31"/>
    <n v="0.19"/>
    <x v="1"/>
    <n v="20"/>
    <n v="7.5"/>
    <n v="1200"/>
    <n v="1207.5"/>
  </r>
  <r>
    <d v="2014-10-23T00:00:00"/>
    <d v="2014-10-28T00:00:00"/>
    <n v="3.73"/>
    <n v="0.1"/>
    <x v="2"/>
    <n v="5"/>
    <n v="3.83"/>
    <n v="100"/>
    <n v="103.83"/>
  </r>
  <r>
    <d v="2014-10-23T00:00:00"/>
    <d v="2014-11-14T00:00:00"/>
    <n v="9.06"/>
    <n v="0.24"/>
    <x v="2"/>
    <n v="22"/>
    <n v="9.3000000000000007"/>
    <n v="440"/>
    <n v="449.3"/>
  </r>
  <r>
    <d v="2014-10-23T00:00:00"/>
    <d v="2014-11-13T00:00:00"/>
    <n v="11.69"/>
    <n v="0.31"/>
    <x v="2"/>
    <n v="21"/>
    <n v="12"/>
    <n v="420"/>
    <n v="432"/>
  </r>
  <r>
    <d v="2014-10-23T00:00:00"/>
    <d v="2014-11-17T00:00:00"/>
    <n v="10.79"/>
    <n v="0.28000000000000003"/>
    <x v="4"/>
    <n v="25"/>
    <n v="11.069999999999999"/>
    <n v="750"/>
    <n v="761.07"/>
  </r>
  <r>
    <d v="2014-10-23T00:00:00"/>
    <d v="2014-11-03T00:00:00"/>
    <n v="14.13"/>
    <n v="0.37"/>
    <x v="1"/>
    <n v="11"/>
    <n v="14.5"/>
    <n v="660"/>
    <n v="674.5"/>
  </r>
  <r>
    <d v="2014-10-23T00:00:00"/>
    <d v="2014-11-16T00:00:00"/>
    <n v="8.7200000000000006"/>
    <n v="0.23"/>
    <x v="2"/>
    <n v="24"/>
    <n v="8.9500000000000011"/>
    <n v="480"/>
    <n v="488.95"/>
  </r>
  <r>
    <d v="2014-10-24T00:00:00"/>
    <d v="2014-11-08T00:00:00"/>
    <n v="3.94"/>
    <n v="0.1"/>
    <x v="0"/>
    <n v="15"/>
    <n v="4.04"/>
    <n v="750"/>
    <n v="754.04"/>
  </r>
  <r>
    <d v="2014-10-24T00:00:00"/>
    <d v="2014-11-21T00:00:00"/>
    <n v="3.73"/>
    <n v="0.1"/>
    <x v="4"/>
    <n v="28"/>
    <n v="3.83"/>
    <n v="840"/>
    <n v="843.83"/>
  </r>
  <r>
    <d v="2014-10-25T00:00:00"/>
    <d v="2014-11-20T00:00:00"/>
    <n v="3.94"/>
    <n v="0.1"/>
    <x v="3"/>
    <n v="26"/>
    <n v="4.04"/>
    <n v="1040"/>
    <n v="1044.04"/>
  </r>
  <r>
    <d v="2014-10-25T00:00:00"/>
    <d v="2014-11-21T00:00:00"/>
    <n v="3.57"/>
    <n v="0.09"/>
    <x v="2"/>
    <n v="27"/>
    <n v="3.6599999999999997"/>
    <n v="540"/>
    <n v="543.66"/>
  </r>
  <r>
    <d v="2014-10-25T00:00:00"/>
    <d v="2014-10-31T00:00:00"/>
    <n v="7.31"/>
    <n v="0.19"/>
    <x v="4"/>
    <n v="6"/>
    <n v="7.5"/>
    <n v="180"/>
    <n v="187.5"/>
  </r>
  <r>
    <d v="2014-10-26T00:00:00"/>
    <d v="2014-11-21T00:00:00"/>
    <n v="6.58"/>
    <n v="0.17"/>
    <x v="0"/>
    <n v="26"/>
    <n v="6.75"/>
    <n v="1300"/>
    <n v="1306.75"/>
  </r>
  <r>
    <d v="2014-10-27T00:00:00"/>
    <d v="2014-11-21T00:00:00"/>
    <n v="3.94"/>
    <n v="0.1"/>
    <x v="0"/>
    <n v="25"/>
    <n v="4.04"/>
    <n v="1250"/>
    <n v="1254.04"/>
  </r>
  <r>
    <d v="2014-10-28T00:00:00"/>
    <d v="2014-11-03T00:00:00"/>
    <n v="5.47"/>
    <n v="0.14000000000000001"/>
    <x v="0"/>
    <n v="6"/>
    <n v="5.6099999999999994"/>
    <n v="300"/>
    <n v="305.61"/>
  </r>
  <r>
    <d v="2014-10-29T00:00:00"/>
    <d v="2014-11-15T00:00:00"/>
    <n v="5.23"/>
    <n v="0.14000000000000001"/>
    <x v="4"/>
    <n v="17"/>
    <n v="5.37"/>
    <n v="510"/>
    <n v="515.37"/>
  </r>
  <r>
    <d v="2014-10-29T00:00:00"/>
    <d v="2014-11-19T00:00:00"/>
    <n v="6.58"/>
    <n v="0.17"/>
    <x v="0"/>
    <n v="21"/>
    <n v="6.75"/>
    <n v="1050"/>
    <n v="1056.75"/>
  </r>
  <r>
    <d v="2014-10-29T00:00:00"/>
    <d v="2014-11-14T00:00:00"/>
    <n v="3.79"/>
    <n v="0.1"/>
    <x v="3"/>
    <n v="16"/>
    <n v="3.89"/>
    <n v="640"/>
    <n v="643.89"/>
  </r>
  <r>
    <d v="2014-10-29T00:00:00"/>
    <d v="2014-11-10T00:00:00"/>
    <n v="5.64"/>
    <n v="0.15"/>
    <x v="1"/>
    <n v="12"/>
    <n v="5.79"/>
    <n v="720"/>
    <n v="725.79"/>
  </r>
  <r>
    <d v="2014-10-29T00:00:00"/>
    <d v="2014-11-01T00:00:00"/>
    <n v="11.37"/>
    <n v="0.3"/>
    <x v="2"/>
    <n v="3"/>
    <n v="11.67"/>
    <n v="60"/>
    <n v="71.67"/>
  </r>
  <r>
    <d v="2014-10-29T00:00:00"/>
    <d v="2014-11-26T00:00:00"/>
    <n v="8.9499999999999993"/>
    <n v="0.24"/>
    <x v="2"/>
    <n v="28"/>
    <n v="9.19"/>
    <n v="560"/>
    <n v="569.19000000000005"/>
  </r>
  <r>
    <d v="2014-10-29T00:00:00"/>
    <d v="2014-11-18T00:00:00"/>
    <n v="3.94"/>
    <n v="0.1"/>
    <x v="0"/>
    <n v="20"/>
    <n v="4.04"/>
    <n v="1000"/>
    <n v="1004.04"/>
  </r>
  <r>
    <d v="2014-11-03T00:00:00"/>
    <d v="2014-11-19T00:00:00"/>
    <n v="3.79"/>
    <n v="0.1"/>
    <x v="0"/>
    <n v="16"/>
    <n v="3.89"/>
    <n v="800"/>
    <n v="803.89"/>
  </r>
  <r>
    <d v="2014-11-03T00:00:00"/>
    <d v="2014-11-28T00:00:00"/>
    <n v="6.43"/>
    <n v="0.17"/>
    <x v="2"/>
    <n v="25"/>
    <n v="6.6"/>
    <n v="500"/>
    <n v="506.6"/>
  </r>
  <r>
    <d v="2014-11-03T00:00:00"/>
    <d v="2014-11-05T00:00:00"/>
    <n v="8.5399999999999991"/>
    <n v="0.22"/>
    <x v="1"/>
    <n v="2"/>
    <n v="8.76"/>
    <n v="120"/>
    <n v="128.76"/>
  </r>
  <r>
    <d v="2014-11-03T00:00:00"/>
    <d v="2014-11-13T00:00:00"/>
    <n v="13.02"/>
    <n v="0.34"/>
    <x v="4"/>
    <n v="10"/>
    <n v="13.36"/>
    <n v="300"/>
    <n v="313.36"/>
  </r>
  <r>
    <d v="2014-11-03T00:00:00"/>
    <d v="2014-11-17T00:00:00"/>
    <n v="5.64"/>
    <n v="0.15"/>
    <x v="3"/>
    <n v="14"/>
    <n v="5.79"/>
    <n v="560"/>
    <n v="565.79"/>
  </r>
  <r>
    <d v="2014-11-03T00:00:00"/>
    <d v="2014-11-23T00:00:00"/>
    <n v="4.66"/>
    <n v="0.12"/>
    <x v="1"/>
    <n v="20"/>
    <n v="4.78"/>
    <n v="1200"/>
    <n v="1204.78"/>
  </r>
  <r>
    <d v="2014-11-03T00:00:00"/>
    <d v="2014-11-25T00:00:00"/>
    <n v="7.71"/>
    <n v="0.2"/>
    <x v="0"/>
    <n v="22"/>
    <n v="7.91"/>
    <n v="1100"/>
    <n v="1107.9100000000001"/>
  </r>
  <r>
    <d v="2014-11-03T00:00:00"/>
    <d v="2014-11-08T00:00:00"/>
    <n v="7.71"/>
    <n v="0.2"/>
    <x v="1"/>
    <n v="5"/>
    <n v="7.91"/>
    <n v="300"/>
    <n v="307.91000000000003"/>
  </r>
  <r>
    <d v="2014-11-03T00:00:00"/>
    <d v="2014-11-14T00:00:00"/>
    <n v="6.34"/>
    <n v="0.17"/>
    <x v="4"/>
    <n v="11"/>
    <n v="6.51"/>
    <n v="330"/>
    <n v="336.51"/>
  </r>
  <r>
    <d v="2014-11-03T00:00:00"/>
    <d v="2014-11-11T00:00:00"/>
    <n v="11.37"/>
    <n v="0.3"/>
    <x v="2"/>
    <n v="8"/>
    <n v="11.67"/>
    <n v="160"/>
    <n v="171.67"/>
  </r>
  <r>
    <d v="2014-11-03T00:00:00"/>
    <d v="2014-11-10T00:00:00"/>
    <n v="6.34"/>
    <n v="0.17"/>
    <x v="2"/>
    <n v="7"/>
    <n v="6.51"/>
    <n v="140"/>
    <n v="146.51"/>
  </r>
  <r>
    <d v="2014-11-03T00:00:00"/>
    <d v="2014-11-12T00:00:00"/>
    <n v="3.57"/>
    <n v="0.09"/>
    <x v="1"/>
    <n v="9"/>
    <n v="3.6599999999999997"/>
    <n v="540"/>
    <n v="543.66"/>
  </r>
  <r>
    <d v="2014-11-03T00:00:00"/>
    <d v="2014-11-21T00:00:00"/>
    <n v="7.31"/>
    <n v="0.19"/>
    <x v="4"/>
    <n v="18"/>
    <n v="7.5"/>
    <n v="540"/>
    <n v="547.5"/>
  </r>
  <r>
    <d v="2014-11-03T00:00:00"/>
    <d v="2014-11-23T00:00:00"/>
    <n v="5.64"/>
    <n v="0.15"/>
    <x v="1"/>
    <n v="20"/>
    <n v="5.79"/>
    <n v="1200"/>
    <n v="1205.79"/>
  </r>
  <r>
    <d v="2014-11-03T00:00:00"/>
    <d v="2014-11-21T00:00:00"/>
    <n v="4.25"/>
    <n v="0.11"/>
    <x v="1"/>
    <n v="18"/>
    <n v="4.3600000000000003"/>
    <n v="1080"/>
    <n v="1084.3599999999999"/>
  </r>
  <r>
    <d v="2014-11-03T00:00:00"/>
    <d v="2014-11-10T00:00:00"/>
    <n v="9.1300000000000008"/>
    <n v="0.24"/>
    <x v="0"/>
    <n v="7"/>
    <n v="9.370000000000001"/>
    <n v="350"/>
    <n v="359.37"/>
  </r>
  <r>
    <d v="2014-11-03T00:00:00"/>
    <d v="2014-11-13T00:00:00"/>
    <n v="3.79"/>
    <n v="0.1"/>
    <x v="1"/>
    <n v="10"/>
    <n v="3.89"/>
    <n v="600"/>
    <n v="603.89"/>
  </r>
  <r>
    <d v="2014-11-03T00:00:00"/>
    <d v="2014-11-05T00:00:00"/>
    <n v="9.1300000000000008"/>
    <n v="0.24"/>
    <x v="3"/>
    <n v="2"/>
    <n v="9.370000000000001"/>
    <n v="80"/>
    <n v="89.37"/>
  </r>
  <r>
    <d v="2014-11-04T00:00:00"/>
    <d v="2014-11-17T00:00:00"/>
    <n v="11.44"/>
    <n v="0.3"/>
    <x v="1"/>
    <n v="13"/>
    <n v="11.74"/>
    <n v="780"/>
    <n v="791.74"/>
  </r>
  <r>
    <d v="2014-11-04T00:00:00"/>
    <d v="2014-11-29T00:00:00"/>
    <n v="5.47"/>
    <n v="0.14000000000000001"/>
    <x v="1"/>
    <n v="25"/>
    <n v="5.6099999999999994"/>
    <n v="1500"/>
    <n v="1505.61"/>
  </r>
  <r>
    <d v="2014-11-04T00:00:00"/>
    <d v="2014-11-25T00:00:00"/>
    <n v="14.13"/>
    <n v="0.37"/>
    <x v="2"/>
    <n v="21"/>
    <n v="14.5"/>
    <n v="420"/>
    <n v="434.5"/>
  </r>
  <r>
    <d v="2014-11-04T00:00:00"/>
    <d v="2014-11-13T00:00:00"/>
    <n v="11.69"/>
    <n v="0.31"/>
    <x v="4"/>
    <n v="9"/>
    <n v="12"/>
    <n v="270"/>
    <n v="282"/>
  </r>
  <r>
    <d v="2014-11-04T00:00:00"/>
    <d v="2014-11-27T00:00:00"/>
    <n v="6.75"/>
    <n v="0.18"/>
    <x v="2"/>
    <n v="23"/>
    <n v="6.93"/>
    <n v="460"/>
    <n v="466.93"/>
  </r>
  <r>
    <d v="2014-11-04T00:00:00"/>
    <d v="2014-11-19T00:00:00"/>
    <n v="8.65"/>
    <n v="0.23"/>
    <x v="1"/>
    <n v="15"/>
    <n v="8.8800000000000008"/>
    <n v="900"/>
    <n v="908.88"/>
  </r>
  <r>
    <d v="2014-11-04T00:00:00"/>
    <d v="2014-12-02T00:00:00"/>
    <n v="10.93"/>
    <n v="0.28999999999999998"/>
    <x v="0"/>
    <n v="28"/>
    <n v="11.219999999999999"/>
    <n v="1400"/>
    <n v="1411.22"/>
  </r>
  <r>
    <d v="2014-11-04T00:00:00"/>
    <d v="2014-11-19T00:00:00"/>
    <n v="16.55"/>
    <n v="0.44"/>
    <x v="1"/>
    <n v="15"/>
    <n v="16.990000000000002"/>
    <n v="900"/>
    <n v="916.99"/>
  </r>
  <r>
    <d v="2014-11-04T00:00:00"/>
    <d v="2014-11-17T00:00:00"/>
    <n v="9.06"/>
    <n v="0.24"/>
    <x v="3"/>
    <n v="13"/>
    <n v="9.3000000000000007"/>
    <n v="520"/>
    <n v="529.29999999999995"/>
  </r>
  <r>
    <d v="2014-11-04T00:00:00"/>
    <d v="2014-12-01T00:00:00"/>
    <n v="9.06"/>
    <n v="0.24"/>
    <x v="3"/>
    <n v="27"/>
    <n v="9.3000000000000007"/>
    <n v="1080"/>
    <n v="1089.3"/>
  </r>
  <r>
    <d v="2014-11-04T00:00:00"/>
    <d v="2014-11-26T00:00:00"/>
    <n v="6.43"/>
    <n v="0.17"/>
    <x v="2"/>
    <n v="22"/>
    <n v="6.6"/>
    <n v="440"/>
    <n v="446.6"/>
  </r>
  <r>
    <d v="2014-11-04T00:00:00"/>
    <d v="2014-11-11T00:00:00"/>
    <n v="6.23"/>
    <n v="0.16"/>
    <x v="4"/>
    <n v="7"/>
    <n v="6.3900000000000006"/>
    <n v="210"/>
    <n v="216.39"/>
  </r>
  <r>
    <d v="2014-11-04T00:00:00"/>
    <d v="2014-11-09T00:00:00"/>
    <n v="6.75"/>
    <n v="0.18"/>
    <x v="4"/>
    <n v="5"/>
    <n v="6.93"/>
    <n v="150"/>
    <n v="156.93"/>
  </r>
  <r>
    <d v="2014-11-04T00:00:00"/>
    <d v="2014-11-10T00:00:00"/>
    <n v="10.79"/>
    <n v="0.28000000000000003"/>
    <x v="1"/>
    <n v="6"/>
    <n v="11.069999999999999"/>
    <n v="360"/>
    <n v="371.07"/>
  </r>
  <r>
    <d v="2014-11-06T00:00:00"/>
    <d v="2014-11-13T00:00:00"/>
    <n v="5.67"/>
    <n v="0.15"/>
    <x v="3"/>
    <n v="7"/>
    <n v="5.82"/>
    <n v="280"/>
    <n v="285.82"/>
  </r>
  <r>
    <d v="2014-11-06T00:00:00"/>
    <d v="2014-11-16T00:00:00"/>
    <n v="11.44"/>
    <n v="0.3"/>
    <x v="3"/>
    <n v="10"/>
    <n v="11.74"/>
    <n v="400"/>
    <n v="411.74"/>
  </r>
  <r>
    <d v="2014-11-07T00:00:00"/>
    <d v="2014-12-04T00:00:00"/>
    <n v="4.25"/>
    <n v="0.11"/>
    <x v="0"/>
    <n v="27"/>
    <n v="4.3600000000000003"/>
    <n v="1350"/>
    <n v="1354.36"/>
  </r>
  <r>
    <d v="2014-11-07T00:00:00"/>
    <d v="2014-11-10T00:00:00"/>
    <n v="3.94"/>
    <n v="0.1"/>
    <x v="2"/>
    <n v="3"/>
    <n v="4.04"/>
    <n v="60"/>
    <n v="64.040000000000006"/>
  </r>
  <r>
    <d v="2014-11-07T00:00:00"/>
    <d v="2014-11-29T00:00:00"/>
    <n v="3.57"/>
    <n v="0.09"/>
    <x v="3"/>
    <n v="22"/>
    <n v="3.6599999999999997"/>
    <n v="880"/>
    <n v="883.66"/>
  </r>
  <r>
    <d v="2014-11-07T00:00:00"/>
    <d v="2014-11-09T00:00:00"/>
    <n v="5.67"/>
    <n v="0.15"/>
    <x v="1"/>
    <n v="2"/>
    <n v="5.82"/>
    <n v="120"/>
    <n v="125.82"/>
  </r>
  <r>
    <d v="2014-11-07T00:00:00"/>
    <d v="2014-11-24T00:00:00"/>
    <n v="5.67"/>
    <n v="0.15"/>
    <x v="3"/>
    <n v="17"/>
    <n v="5.82"/>
    <n v="680"/>
    <n v="685.82"/>
  </r>
  <r>
    <d v="2014-11-10T00:00:00"/>
    <d v="2014-12-05T00:00:00"/>
    <n v="16.829999999999998"/>
    <n v="0.44"/>
    <x v="1"/>
    <n v="25"/>
    <n v="17.27"/>
    <n v="1500"/>
    <n v="1517.27"/>
  </r>
  <r>
    <d v="2014-11-13T00:00:00"/>
    <d v="2014-11-15T00:00:00"/>
    <n v="5.23"/>
    <n v="0.14000000000000001"/>
    <x v="3"/>
    <n v="2"/>
    <n v="5.37"/>
    <n v="80"/>
    <n v="85.37"/>
  </r>
  <r>
    <d v="2014-11-14T00:00:00"/>
    <d v="2014-11-23T00:00:00"/>
    <n v="3.73"/>
    <n v="0.1"/>
    <x v="4"/>
    <n v="9"/>
    <n v="3.83"/>
    <n v="270"/>
    <n v="273.83"/>
  </r>
  <r>
    <d v="2014-11-15T00:00:00"/>
    <d v="2014-12-12T00:00:00"/>
    <n v="8.7200000000000006"/>
    <n v="0.23"/>
    <x v="1"/>
    <n v="27"/>
    <n v="8.9500000000000011"/>
    <n v="1620"/>
    <n v="1628.95"/>
  </r>
  <r>
    <d v="2014-11-15T00:00:00"/>
    <d v="2014-12-02T00:00:00"/>
    <n v="19.54"/>
    <n v="0.51"/>
    <x v="2"/>
    <n v="17"/>
    <n v="20.05"/>
    <n v="340"/>
    <n v="360.05"/>
  </r>
  <r>
    <d v="2014-11-15T00:00:00"/>
    <d v="2014-12-07T00:00:00"/>
    <n v="2.29"/>
    <n v="0.06"/>
    <x v="3"/>
    <n v="22"/>
    <n v="2.35"/>
    <n v="880"/>
    <n v="882.35"/>
  </r>
  <r>
    <d v="2014-11-15T00:00:00"/>
    <d v="2014-12-13T00:00:00"/>
    <n v="8.9499999999999993"/>
    <n v="0.24"/>
    <x v="1"/>
    <n v="28"/>
    <n v="9.19"/>
    <n v="1680"/>
    <n v="1689.19"/>
  </r>
  <r>
    <d v="2014-11-15T00:00:00"/>
    <d v="2014-11-26T00:00:00"/>
    <n v="5.67"/>
    <n v="0.15"/>
    <x v="1"/>
    <n v="11"/>
    <n v="5.82"/>
    <n v="660"/>
    <n v="665.82"/>
  </r>
  <r>
    <d v="2014-11-15T00:00:00"/>
    <d v="2014-12-09T00:00:00"/>
    <n v="8.83"/>
    <n v="0.23"/>
    <x v="3"/>
    <n v="24"/>
    <n v="9.06"/>
    <n v="960"/>
    <n v="969.06"/>
  </r>
  <r>
    <d v="2014-11-15T00:00:00"/>
    <d v="2014-11-20T00:00:00"/>
    <n v="10.79"/>
    <n v="0.28000000000000003"/>
    <x v="3"/>
    <n v="5"/>
    <n v="11.069999999999999"/>
    <n v="200"/>
    <n v="211.07"/>
  </r>
  <r>
    <d v="2014-11-15T00:00:00"/>
    <d v="2014-11-18T00:00:00"/>
    <n v="5.67"/>
    <n v="0.15"/>
    <x v="1"/>
    <n v="3"/>
    <n v="5.82"/>
    <n v="180"/>
    <n v="185.82"/>
  </r>
  <r>
    <d v="2014-11-15T00:00:00"/>
    <d v="2014-11-29T00:00:00"/>
    <n v="14.31"/>
    <n v="0.38"/>
    <x v="0"/>
    <n v="14"/>
    <n v="14.690000000000001"/>
    <n v="700"/>
    <n v="714.69"/>
  </r>
  <r>
    <d v="2014-11-15T00:00:00"/>
    <d v="2014-12-03T00:00:00"/>
    <n v="5.67"/>
    <n v="0.15"/>
    <x v="1"/>
    <n v="18"/>
    <n v="5.82"/>
    <n v="1080"/>
    <n v="1085.82"/>
  </r>
  <r>
    <d v="2014-11-15T00:00:00"/>
    <d v="2014-11-18T00:00:00"/>
    <n v="6.75"/>
    <n v="0.18"/>
    <x v="1"/>
    <n v="3"/>
    <n v="6.93"/>
    <n v="180"/>
    <n v="186.93"/>
  </r>
  <r>
    <d v="2014-11-15T00:00:00"/>
    <d v="2014-11-21T00:00:00"/>
    <n v="12.01"/>
    <n v="0.32"/>
    <x v="3"/>
    <n v="6"/>
    <n v="12.33"/>
    <n v="240"/>
    <n v="252.33"/>
  </r>
  <r>
    <d v="2014-11-15T00:00:00"/>
    <d v="2014-11-30T00:00:00"/>
    <n v="5.23"/>
    <n v="0.14000000000000001"/>
    <x v="1"/>
    <n v="15"/>
    <n v="5.37"/>
    <n v="900"/>
    <n v="905.37"/>
  </r>
  <r>
    <d v="2014-11-15T00:00:00"/>
    <d v="2014-12-05T00:00:00"/>
    <n v="13.81"/>
    <n v="0.36"/>
    <x v="3"/>
    <n v="20"/>
    <n v="14.17"/>
    <n v="800"/>
    <n v="814.17"/>
  </r>
  <r>
    <d v="2014-11-15T00:00:00"/>
    <d v="2014-11-27T00:00:00"/>
    <n v="5.23"/>
    <n v="0.14000000000000001"/>
    <x v="4"/>
    <n v="12"/>
    <n v="5.37"/>
    <n v="360"/>
    <n v="365.37"/>
  </r>
  <r>
    <d v="2014-11-16T00:00:00"/>
    <d v="2014-11-25T00:00:00"/>
    <n v="4.25"/>
    <n v="0.11"/>
    <x v="1"/>
    <n v="9"/>
    <n v="4.3600000000000003"/>
    <n v="540"/>
    <n v="544.36"/>
  </r>
  <r>
    <d v="2014-11-16T00:00:00"/>
    <d v="2014-12-11T00:00:00"/>
    <n v="5.23"/>
    <n v="0.14000000000000001"/>
    <x v="3"/>
    <n v="25"/>
    <n v="5.37"/>
    <n v="1000"/>
    <n v="1005.37"/>
  </r>
  <r>
    <d v="2014-11-16T00:00:00"/>
    <d v="2014-12-10T00:00:00"/>
    <n v="6.23"/>
    <n v="0.16"/>
    <x v="2"/>
    <n v="24"/>
    <n v="6.3900000000000006"/>
    <n v="480"/>
    <n v="486.39"/>
  </r>
  <r>
    <d v="2014-11-16T00:00:00"/>
    <d v="2014-11-28T00:00:00"/>
    <n v="16.55"/>
    <n v="0.44"/>
    <x v="0"/>
    <n v="12"/>
    <n v="16.990000000000002"/>
    <n v="600"/>
    <n v="616.99"/>
  </r>
  <r>
    <d v="2014-11-16T00:00:00"/>
    <d v="2014-11-23T00:00:00"/>
    <n v="5.78"/>
    <n v="0.15"/>
    <x v="1"/>
    <n v="7"/>
    <n v="5.9300000000000006"/>
    <n v="420"/>
    <n v="425.93"/>
  </r>
  <r>
    <d v="2014-11-16T00:00:00"/>
    <d v="2014-12-05T00:00:00"/>
    <n v="11.69"/>
    <n v="0.31"/>
    <x v="0"/>
    <n v="19"/>
    <n v="12"/>
    <n v="950"/>
    <n v="962"/>
  </r>
  <r>
    <d v="2014-11-16T00:00:00"/>
    <d v="2014-12-12T00:00:00"/>
    <n v="11.78"/>
    <n v="0.31"/>
    <x v="2"/>
    <n v="26"/>
    <n v="12.09"/>
    <n v="520"/>
    <n v="532.09"/>
  </r>
  <r>
    <d v="2014-11-16T00:00:00"/>
    <d v="2014-12-01T00:00:00"/>
    <n v="8.39"/>
    <n v="0.22"/>
    <x v="1"/>
    <n v="15"/>
    <n v="8.6100000000000012"/>
    <n v="900"/>
    <n v="908.61"/>
  </r>
  <r>
    <d v="2014-11-16T00:00:00"/>
    <d v="2014-12-03T00:00:00"/>
    <n v="6.75"/>
    <n v="0.18"/>
    <x v="1"/>
    <n v="17"/>
    <n v="6.93"/>
    <n v="1020"/>
    <n v="1026.93"/>
  </r>
  <r>
    <d v="2014-11-17T00:00:00"/>
    <d v="2014-11-21T00:00:00"/>
    <n v="3.94"/>
    <n v="0.1"/>
    <x v="1"/>
    <n v="4"/>
    <n v="4.04"/>
    <n v="240"/>
    <n v="244.04"/>
  </r>
  <r>
    <d v="2014-11-17T00:00:00"/>
    <d v="2014-12-07T00:00:00"/>
    <n v="3.57"/>
    <n v="0.09"/>
    <x v="1"/>
    <n v="20"/>
    <n v="3.6599999999999997"/>
    <n v="1200"/>
    <n v="1203.6600000000001"/>
  </r>
  <r>
    <d v="2014-11-17T00:00:00"/>
    <d v="2014-12-07T00:00:00"/>
    <n v="14.13"/>
    <n v="0.37"/>
    <x v="0"/>
    <n v="20"/>
    <n v="14.5"/>
    <n v="1000"/>
    <n v="1014.5"/>
  </r>
  <r>
    <d v="2014-11-17T00:00:00"/>
    <d v="2014-11-24T00:00:00"/>
    <n v="5.57"/>
    <n v="0.15"/>
    <x v="2"/>
    <n v="7"/>
    <n v="5.7200000000000006"/>
    <n v="140"/>
    <n v="145.72"/>
  </r>
  <r>
    <d v="2014-11-17T00:00:00"/>
    <d v="2014-12-06T00:00:00"/>
    <n v="8.7200000000000006"/>
    <n v="0.23"/>
    <x v="2"/>
    <n v="19"/>
    <n v="8.9500000000000011"/>
    <n v="380"/>
    <n v="388.95"/>
  </r>
  <r>
    <d v="2014-11-18T00:00:00"/>
    <d v="2014-12-14T00:00:00"/>
    <n v="5.67"/>
    <n v="0.15"/>
    <x v="4"/>
    <n v="26"/>
    <n v="5.82"/>
    <n v="780"/>
    <n v="785.82"/>
  </r>
  <r>
    <d v="2014-11-18T00:00:00"/>
    <d v="2014-11-29T00:00:00"/>
    <n v="3.94"/>
    <n v="0.1"/>
    <x v="3"/>
    <n v="11"/>
    <n v="4.04"/>
    <n v="440"/>
    <n v="444.04"/>
  </r>
  <r>
    <d v="2014-11-18T00:00:00"/>
    <d v="2014-11-23T00:00:00"/>
    <n v="5.67"/>
    <n v="0.15"/>
    <x v="4"/>
    <n v="5"/>
    <n v="5.82"/>
    <n v="150"/>
    <n v="155.82"/>
  </r>
  <r>
    <d v="2014-11-19T00:00:00"/>
    <d v="2014-12-11T00:00:00"/>
    <n v="6.34"/>
    <n v="0.17"/>
    <x v="1"/>
    <n v="22"/>
    <n v="6.51"/>
    <n v="1320"/>
    <n v="1326.51"/>
  </r>
  <r>
    <d v="2014-11-19T00:00:00"/>
    <d v="2014-11-27T00:00:00"/>
    <n v="2.0099999999999998"/>
    <n v="0.05"/>
    <x v="3"/>
    <n v="8"/>
    <n v="2.0599999999999996"/>
    <n v="320"/>
    <n v="322.06"/>
  </r>
  <r>
    <d v="2014-11-19T00:00:00"/>
    <d v="2014-11-29T00:00:00"/>
    <n v="5.67"/>
    <n v="0.15"/>
    <x v="4"/>
    <n v="10"/>
    <n v="5.82"/>
    <n v="300"/>
    <n v="305.82"/>
  </r>
  <r>
    <d v="2014-11-19T00:00:00"/>
    <d v="2014-11-26T00:00:00"/>
    <n v="6.43"/>
    <n v="0.17"/>
    <x v="0"/>
    <n v="7"/>
    <n v="6.6"/>
    <n v="350"/>
    <n v="356.6"/>
  </r>
  <r>
    <d v="2014-11-20T00:00:00"/>
    <d v="2014-11-28T00:00:00"/>
    <n v="8.39"/>
    <n v="0.22"/>
    <x v="1"/>
    <n v="8"/>
    <n v="8.6100000000000012"/>
    <n v="480"/>
    <n v="488.61"/>
  </r>
  <r>
    <d v="2014-11-20T00:00:00"/>
    <d v="2014-11-25T00:00:00"/>
    <n v="5.67"/>
    <n v="0.15"/>
    <x v="0"/>
    <n v="5"/>
    <n v="5.82"/>
    <n v="250"/>
    <n v="255.82"/>
  </r>
  <r>
    <d v="2014-11-20T00:00:00"/>
    <d v="2014-11-22T00:00:00"/>
    <n v="2.72"/>
    <n v="7.0000000000000007E-2"/>
    <x v="2"/>
    <n v="2"/>
    <n v="2.79"/>
    <n v="40"/>
    <n v="42.79"/>
  </r>
  <r>
    <d v="2014-11-21T00:00:00"/>
    <d v="2014-12-07T00:00:00"/>
    <n v="7.31"/>
    <n v="0.19"/>
    <x v="3"/>
    <n v="16"/>
    <n v="7.5"/>
    <n v="640"/>
    <n v="647.5"/>
  </r>
  <r>
    <d v="2014-11-21T00:00:00"/>
    <d v="2014-12-17T00:00:00"/>
    <n v="5.23"/>
    <n v="0.14000000000000001"/>
    <x v="1"/>
    <n v="26"/>
    <n v="5.37"/>
    <n v="1560"/>
    <n v="1565.37"/>
  </r>
  <r>
    <d v="2014-11-22T00:00:00"/>
    <d v="2014-11-25T00:00:00"/>
    <n v="8.83"/>
    <n v="0.23"/>
    <x v="1"/>
    <n v="3"/>
    <n v="9.06"/>
    <n v="180"/>
    <n v="189.06"/>
  </r>
  <r>
    <d v="2014-11-22T00:00:00"/>
    <d v="2014-11-28T00:00:00"/>
    <n v="2.0099999999999998"/>
    <n v="0.05"/>
    <x v="0"/>
    <n v="6"/>
    <n v="2.0599999999999996"/>
    <n v="300"/>
    <n v="302.06"/>
  </r>
  <r>
    <d v="2014-11-22T00:00:00"/>
    <d v="2014-12-10T00:00:00"/>
    <n v="8.89"/>
    <n v="0.23"/>
    <x v="1"/>
    <n v="18"/>
    <n v="9.120000000000001"/>
    <n v="1080"/>
    <n v="1089.1199999999999"/>
  </r>
  <r>
    <d v="2014-11-22T00:00:00"/>
    <d v="2014-12-11T00:00:00"/>
    <n v="6.34"/>
    <n v="0.17"/>
    <x v="1"/>
    <n v="19"/>
    <n v="6.51"/>
    <n v="1140"/>
    <n v="1146.51"/>
  </r>
  <r>
    <d v="2014-11-22T00:00:00"/>
    <d v="2014-11-25T00:00:00"/>
    <n v="14.31"/>
    <n v="0.38"/>
    <x v="4"/>
    <n v="3"/>
    <n v="14.690000000000001"/>
    <n v="90"/>
    <n v="104.69"/>
  </r>
  <r>
    <d v="2014-11-22T00:00:00"/>
    <d v="2014-11-30T00:00:00"/>
    <n v="11.42"/>
    <n v="0.3"/>
    <x v="1"/>
    <n v="8"/>
    <n v="11.72"/>
    <n v="480"/>
    <n v="491.72"/>
  </r>
  <r>
    <d v="2014-11-22T00:00:00"/>
    <d v="2014-11-26T00:00:00"/>
    <n v="9.4600000000000009"/>
    <n v="0.25"/>
    <x v="3"/>
    <n v="4"/>
    <n v="9.7100000000000009"/>
    <n v="160"/>
    <n v="169.71"/>
  </r>
  <r>
    <d v="2014-11-23T00:00:00"/>
    <d v="2014-12-11T00:00:00"/>
    <n v="6.58"/>
    <n v="0.17"/>
    <x v="0"/>
    <n v="18"/>
    <n v="6.75"/>
    <n v="900"/>
    <n v="906.75"/>
  </r>
  <r>
    <d v="2014-11-24T00:00:00"/>
    <d v="2014-12-18T00:00:00"/>
    <n v="11.42"/>
    <n v="0.3"/>
    <x v="3"/>
    <n v="24"/>
    <n v="11.72"/>
    <n v="960"/>
    <n v="971.72"/>
  </r>
  <r>
    <d v="2014-11-24T00:00:00"/>
    <d v="2014-12-15T00:00:00"/>
    <n v="2.29"/>
    <n v="0.06"/>
    <x v="1"/>
    <n v="21"/>
    <n v="2.35"/>
    <n v="1260"/>
    <n v="1262.3499999999999"/>
  </r>
  <r>
    <d v="2014-11-25T00:00:00"/>
    <d v="2014-12-20T00:00:00"/>
    <n v="8.7200000000000006"/>
    <n v="0.23"/>
    <x v="4"/>
    <n v="25"/>
    <n v="8.9500000000000011"/>
    <n v="750"/>
    <n v="758.95"/>
  </r>
  <r>
    <d v="2014-11-25T00:00:00"/>
    <d v="2014-12-01T00:00:00"/>
    <n v="2.29"/>
    <n v="0.06"/>
    <x v="4"/>
    <n v="6"/>
    <n v="2.35"/>
    <n v="180"/>
    <n v="182.35"/>
  </r>
  <r>
    <d v="2014-11-25T00:00:00"/>
    <d v="2014-12-02T00:00:00"/>
    <n v="6.58"/>
    <n v="0.17"/>
    <x v="4"/>
    <n v="7"/>
    <n v="6.75"/>
    <n v="210"/>
    <n v="216.75"/>
  </r>
  <r>
    <d v="2014-11-27T00:00:00"/>
    <d v="2014-11-29T00:00:00"/>
    <n v="7.35"/>
    <n v="0.19"/>
    <x v="1"/>
    <n v="2"/>
    <n v="7.54"/>
    <n v="120"/>
    <n v="127.54"/>
  </r>
  <r>
    <d v="2014-11-27T00:00:00"/>
    <d v="2014-12-09T00:00:00"/>
    <n v="6.43"/>
    <n v="0.17"/>
    <x v="3"/>
    <n v="12"/>
    <n v="6.6"/>
    <n v="480"/>
    <n v="486.6"/>
  </r>
  <r>
    <d v="2014-11-27T00:00:00"/>
    <d v="2014-12-14T00:00:00"/>
    <n v="8.65"/>
    <n v="0.23"/>
    <x v="4"/>
    <n v="17"/>
    <n v="8.8800000000000008"/>
    <n v="510"/>
    <n v="518.88"/>
  </r>
  <r>
    <d v="2014-11-27T00:00:00"/>
    <d v="2014-12-21T00:00:00"/>
    <n v="13.82"/>
    <n v="0.36"/>
    <x v="4"/>
    <n v="24"/>
    <n v="14.18"/>
    <n v="720"/>
    <n v="734.18"/>
  </r>
  <r>
    <d v="2014-11-27T00:00:00"/>
    <d v="2014-12-19T00:00:00"/>
    <n v="5.67"/>
    <n v="0.15"/>
    <x v="3"/>
    <n v="22"/>
    <n v="5.82"/>
    <n v="880"/>
    <n v="885.82"/>
  </r>
  <r>
    <d v="2014-11-27T00:00:00"/>
    <d v="2014-12-13T00:00:00"/>
    <n v="6.75"/>
    <n v="0.18"/>
    <x v="2"/>
    <n v="16"/>
    <n v="6.93"/>
    <n v="320"/>
    <n v="326.93"/>
  </r>
  <r>
    <d v="2014-11-27T00:00:00"/>
    <d v="2014-12-19T00:00:00"/>
    <n v="5.67"/>
    <n v="0.15"/>
    <x v="0"/>
    <n v="22"/>
    <n v="5.82"/>
    <n v="1100"/>
    <n v="1105.82"/>
  </r>
  <r>
    <d v="2014-11-27T00:00:00"/>
    <d v="2014-12-14T00:00:00"/>
    <n v="14.31"/>
    <n v="0.38"/>
    <x v="4"/>
    <n v="17"/>
    <n v="14.690000000000001"/>
    <n v="510"/>
    <n v="524.69000000000005"/>
  </r>
  <r>
    <d v="2014-11-27T00:00:00"/>
    <d v="2014-12-06T00:00:00"/>
    <n v="16.55"/>
    <n v="0.44"/>
    <x v="3"/>
    <n v="9"/>
    <n v="16.990000000000002"/>
    <n v="360"/>
    <n v="376.99"/>
  </r>
  <r>
    <d v="2014-11-27T00:00:00"/>
    <d v="2014-12-01T00:00:00"/>
    <n v="11.44"/>
    <n v="0.3"/>
    <x v="3"/>
    <n v="4"/>
    <n v="11.74"/>
    <n v="160"/>
    <n v="171.74"/>
  </r>
  <r>
    <d v="2014-11-27T00:00:00"/>
    <d v="2014-12-19T00:00:00"/>
    <n v="4.66"/>
    <n v="0.12"/>
    <x v="3"/>
    <n v="22"/>
    <n v="4.78"/>
    <n v="880"/>
    <n v="884.78"/>
  </r>
  <r>
    <d v="2014-11-27T00:00:00"/>
    <d v="2014-12-22T00:00:00"/>
    <n v="3.73"/>
    <n v="0.1"/>
    <x v="1"/>
    <n v="25"/>
    <n v="3.83"/>
    <n v="1500"/>
    <n v="1503.83"/>
  </r>
  <r>
    <d v="2014-11-27T00:00:00"/>
    <d v="2014-12-09T00:00:00"/>
    <n v="6.75"/>
    <n v="0.18"/>
    <x v="4"/>
    <n v="12"/>
    <n v="6.93"/>
    <n v="360"/>
    <n v="366.93"/>
  </r>
  <r>
    <d v="2014-11-27T00:00:00"/>
    <d v="2014-12-08T00:00:00"/>
    <n v="2.72"/>
    <n v="7.0000000000000007E-2"/>
    <x v="1"/>
    <n v="11"/>
    <n v="2.79"/>
    <n v="660"/>
    <n v="662.79"/>
  </r>
  <r>
    <d v="2014-11-27T00:00:00"/>
    <d v="2014-12-17T00:00:00"/>
    <n v="7.71"/>
    <n v="0.2"/>
    <x v="1"/>
    <n v="20"/>
    <n v="7.91"/>
    <n v="1200"/>
    <n v="1207.9100000000001"/>
  </r>
  <r>
    <d v="2014-11-27T00:00:00"/>
    <d v="2014-11-29T00:00:00"/>
    <n v="6.58"/>
    <n v="0.17"/>
    <x v="1"/>
    <n v="2"/>
    <n v="6.75"/>
    <n v="120"/>
    <n v="126.75"/>
  </r>
  <r>
    <d v="2014-11-27T00:00:00"/>
    <d v="2014-12-13T00:00:00"/>
    <n v="8.89"/>
    <n v="0.23"/>
    <x v="2"/>
    <n v="16"/>
    <n v="9.120000000000001"/>
    <n v="320"/>
    <n v="329.12"/>
  </r>
  <r>
    <d v="2014-11-27T00:00:00"/>
    <d v="2014-12-13T00:00:00"/>
    <n v="5.47"/>
    <n v="0.14000000000000001"/>
    <x v="3"/>
    <n v="16"/>
    <n v="5.6099999999999994"/>
    <n v="640"/>
    <n v="645.61"/>
  </r>
  <r>
    <d v="2014-11-28T00:00:00"/>
    <d v="2014-12-14T00:00:00"/>
    <n v="12.01"/>
    <n v="0.32"/>
    <x v="2"/>
    <n v="16"/>
    <n v="12.33"/>
    <n v="320"/>
    <n v="332.33"/>
  </r>
  <r>
    <d v="2014-11-28T00:00:00"/>
    <d v="2014-12-03T00:00:00"/>
    <n v="11.44"/>
    <n v="0.3"/>
    <x v="4"/>
    <n v="5"/>
    <n v="11.74"/>
    <n v="150"/>
    <n v="161.74"/>
  </r>
  <r>
    <d v="2014-11-28T00:00:00"/>
    <d v="2014-12-13T00:00:00"/>
    <n v="14.13"/>
    <n v="0.37"/>
    <x v="4"/>
    <n v="15"/>
    <n v="14.5"/>
    <n v="450"/>
    <n v="464.5"/>
  </r>
  <r>
    <d v="2014-11-28T00:00:00"/>
    <d v="2014-12-10T00:00:00"/>
    <n v="8.9499999999999993"/>
    <n v="0.24"/>
    <x v="1"/>
    <n v="12"/>
    <n v="9.19"/>
    <n v="720"/>
    <n v="729.19"/>
  </r>
  <r>
    <d v="2014-11-28T00:00:00"/>
    <d v="2014-11-30T00:00:00"/>
    <n v="8.89"/>
    <n v="0.23"/>
    <x v="2"/>
    <n v="2"/>
    <n v="9.120000000000001"/>
    <n v="40"/>
    <n v="49.120000000000005"/>
  </r>
  <r>
    <d v="2014-11-28T00:00:00"/>
    <d v="2014-12-02T00:00:00"/>
    <n v="6.43"/>
    <n v="0.17"/>
    <x v="0"/>
    <n v="4"/>
    <n v="6.6"/>
    <n v="200"/>
    <n v="206.6"/>
  </r>
  <r>
    <d v="2014-11-28T00:00:00"/>
    <d v="2014-12-01T00:00:00"/>
    <n v="3.94"/>
    <n v="0.1"/>
    <x v="4"/>
    <n v="3"/>
    <n v="4.04"/>
    <n v="90"/>
    <n v="94.04"/>
  </r>
  <r>
    <d v="2014-11-28T00:00:00"/>
    <d v="2014-11-30T00:00:00"/>
    <n v="6.23"/>
    <n v="0.16"/>
    <x v="4"/>
    <n v="2"/>
    <n v="6.3900000000000006"/>
    <n v="60"/>
    <n v="66.39"/>
  </r>
  <r>
    <d v="2014-11-28T00:00:00"/>
    <d v="2014-12-26T00:00:00"/>
    <n v="13.82"/>
    <n v="0.36"/>
    <x v="4"/>
    <n v="28"/>
    <n v="14.18"/>
    <n v="840"/>
    <n v="854.18"/>
  </r>
  <r>
    <d v="2014-11-28T00:00:00"/>
    <d v="2014-12-14T00:00:00"/>
    <n v="4.66"/>
    <n v="0.12"/>
    <x v="3"/>
    <n v="16"/>
    <n v="4.78"/>
    <n v="640"/>
    <n v="644.78"/>
  </r>
  <r>
    <d v="2014-11-28T00:00:00"/>
    <d v="2014-12-25T00:00:00"/>
    <n v="6.58"/>
    <n v="0.17"/>
    <x v="1"/>
    <n v="27"/>
    <n v="6.75"/>
    <n v="1620"/>
    <n v="1626.75"/>
  </r>
  <r>
    <d v="2014-11-28T00:00:00"/>
    <d v="2014-12-14T00:00:00"/>
    <n v="5.23"/>
    <n v="0.14000000000000001"/>
    <x v="2"/>
    <n v="16"/>
    <n v="5.37"/>
    <n v="320"/>
    <n v="325.37"/>
  </r>
  <r>
    <d v="2014-11-28T00:00:00"/>
    <d v="2014-12-26T00:00:00"/>
    <n v="14"/>
    <n v="0.37"/>
    <x v="1"/>
    <n v="28"/>
    <n v="14.37"/>
    <n v="1680"/>
    <n v="1694.37"/>
  </r>
  <r>
    <d v="2014-11-28T00:00:00"/>
    <d v="2014-12-20T00:00:00"/>
    <n v="8.65"/>
    <n v="0.23"/>
    <x v="2"/>
    <n v="22"/>
    <n v="8.8800000000000008"/>
    <n v="440"/>
    <n v="448.88"/>
  </r>
  <r>
    <d v="2014-11-28T00:00:00"/>
    <d v="2014-12-15T00:00:00"/>
    <n v="19.54"/>
    <n v="0.51"/>
    <x v="1"/>
    <n v="17"/>
    <n v="20.05"/>
    <n v="1020"/>
    <n v="1040.05"/>
  </r>
  <r>
    <d v="2014-11-28T00:00:00"/>
    <d v="2014-12-21T00:00:00"/>
    <n v="8.83"/>
    <n v="0.23"/>
    <x v="2"/>
    <n v="23"/>
    <n v="9.06"/>
    <n v="460"/>
    <n v="469.06"/>
  </r>
  <r>
    <d v="2014-11-28T00:00:00"/>
    <d v="2014-12-21T00:00:00"/>
    <n v="5.64"/>
    <n v="0.15"/>
    <x v="4"/>
    <n v="23"/>
    <n v="5.79"/>
    <n v="690"/>
    <n v="695.79"/>
  </r>
  <r>
    <d v="2014-11-28T00:00:00"/>
    <d v="2014-12-22T00:00:00"/>
    <n v="8.89"/>
    <n v="0.23"/>
    <x v="3"/>
    <n v="24"/>
    <n v="9.120000000000001"/>
    <n v="960"/>
    <n v="969.12"/>
  </r>
  <r>
    <d v="2014-11-28T00:00:00"/>
    <d v="2014-12-08T00:00:00"/>
    <n v="16.829999999999998"/>
    <n v="0.44"/>
    <x v="2"/>
    <n v="10"/>
    <n v="17.27"/>
    <n v="200"/>
    <n v="217.27"/>
  </r>
  <r>
    <d v="2014-11-28T00:00:00"/>
    <d v="2014-12-09T00:00:00"/>
    <n v="11.42"/>
    <n v="0.3"/>
    <x v="2"/>
    <n v="11"/>
    <n v="11.72"/>
    <n v="220"/>
    <n v="231.72"/>
  </r>
  <r>
    <d v="2014-11-29T00:00:00"/>
    <d v="2014-12-06T00:00:00"/>
    <n v="5.64"/>
    <n v="0.15"/>
    <x v="4"/>
    <n v="7"/>
    <n v="5.79"/>
    <n v="210"/>
    <n v="215.79"/>
  </r>
  <r>
    <d v="2014-12-01T00:00:00"/>
    <d v="2014-12-12T00:00:00"/>
    <n v="8.7200000000000006"/>
    <n v="0.23"/>
    <x v="1"/>
    <n v="11"/>
    <n v="8.9500000000000011"/>
    <n v="660"/>
    <n v="668.95"/>
  </r>
  <r>
    <d v="2014-12-01T00:00:00"/>
    <d v="2014-12-21T00:00:00"/>
    <n v="5.67"/>
    <n v="0.15"/>
    <x v="0"/>
    <n v="20"/>
    <n v="5.82"/>
    <n v="1000"/>
    <n v="1005.82"/>
  </r>
  <r>
    <d v="2014-12-01T00:00:00"/>
    <d v="2014-12-22T00:00:00"/>
    <n v="3.88"/>
    <n v="0.1"/>
    <x v="0"/>
    <n v="21"/>
    <n v="3.98"/>
    <n v="1050"/>
    <n v="1053.98"/>
  </r>
  <r>
    <d v="2014-12-01T00:00:00"/>
    <d v="2014-12-16T00:00:00"/>
    <n v="6.58"/>
    <n v="0.17"/>
    <x v="0"/>
    <n v="15"/>
    <n v="6.75"/>
    <n v="750"/>
    <n v="756.75"/>
  </r>
  <r>
    <d v="2014-12-01T00:00:00"/>
    <d v="2014-12-21T00:00:00"/>
    <n v="5.67"/>
    <n v="0.15"/>
    <x v="2"/>
    <n v="20"/>
    <n v="5.82"/>
    <n v="400"/>
    <n v="405.82"/>
  </r>
  <r>
    <d v="2014-12-01T00:00:00"/>
    <d v="2014-12-21T00:00:00"/>
    <n v="6.34"/>
    <n v="0.17"/>
    <x v="1"/>
    <n v="20"/>
    <n v="6.51"/>
    <n v="1200"/>
    <n v="1206.51"/>
  </r>
  <r>
    <d v="2014-12-01T00:00:00"/>
    <d v="2014-12-12T00:00:00"/>
    <n v="6.58"/>
    <n v="0.17"/>
    <x v="1"/>
    <n v="11"/>
    <n v="6.75"/>
    <n v="660"/>
    <n v="666.75"/>
  </r>
  <r>
    <d v="2014-12-02T00:00:00"/>
    <d v="2014-12-04T00:00:00"/>
    <n v="5.67"/>
    <n v="0.15"/>
    <x v="4"/>
    <n v="2"/>
    <n v="5.82"/>
    <n v="60"/>
    <n v="65.819999999999993"/>
  </r>
  <r>
    <d v="2014-12-02T00:00:00"/>
    <d v="2014-12-08T00:00:00"/>
    <n v="4.25"/>
    <n v="0.11"/>
    <x v="4"/>
    <n v="6"/>
    <n v="4.3600000000000003"/>
    <n v="180"/>
    <n v="184.36"/>
  </r>
  <r>
    <d v="2014-12-02T00:00:00"/>
    <d v="2014-12-19T00:00:00"/>
    <n v="8.84"/>
    <n v="0.23"/>
    <x v="4"/>
    <n v="17"/>
    <n v="9.07"/>
    <n v="510"/>
    <n v="519.07000000000005"/>
  </r>
  <r>
    <d v="2014-12-02T00:00:00"/>
    <d v="2014-12-17T00:00:00"/>
    <n v="3.57"/>
    <n v="0.09"/>
    <x v="0"/>
    <n v="15"/>
    <n v="3.6599999999999997"/>
    <n v="750"/>
    <n v="753.66"/>
  </r>
  <r>
    <d v="2014-12-02T00:00:00"/>
    <d v="2014-12-17T00:00:00"/>
    <n v="2.0099999999999998"/>
    <n v="0.05"/>
    <x v="2"/>
    <n v="15"/>
    <n v="2.0599999999999996"/>
    <n v="300"/>
    <n v="302.06"/>
  </r>
  <r>
    <d v="2014-12-02T00:00:00"/>
    <d v="2014-12-19T00:00:00"/>
    <n v="3.73"/>
    <n v="0.1"/>
    <x v="4"/>
    <n v="17"/>
    <n v="3.83"/>
    <n v="510"/>
    <n v="513.83000000000004"/>
  </r>
  <r>
    <d v="2014-12-03T00:00:00"/>
    <d v="2014-12-05T00:00:00"/>
    <n v="3.57"/>
    <n v="0.09"/>
    <x v="0"/>
    <n v="2"/>
    <n v="3.6599999999999997"/>
    <n v="100"/>
    <n v="103.66"/>
  </r>
  <r>
    <d v="2014-12-04T00:00:00"/>
    <d v="2014-12-20T00:00:00"/>
    <n v="6.58"/>
    <n v="0.17"/>
    <x v="3"/>
    <n v="16"/>
    <n v="6.75"/>
    <n v="640"/>
    <n v="646.75"/>
  </r>
  <r>
    <d v="2014-12-04T00:00:00"/>
    <d v="2015-01-01T00:00:00"/>
    <n v="5.64"/>
    <n v="0.15"/>
    <x v="1"/>
    <n v="28"/>
    <n v="5.79"/>
    <n v="1680"/>
    <n v="1685.79"/>
  </r>
  <r>
    <d v="2014-12-04T00:00:00"/>
    <d v="2014-12-16T00:00:00"/>
    <n v="3.88"/>
    <n v="0.1"/>
    <x v="2"/>
    <n v="12"/>
    <n v="3.98"/>
    <n v="240"/>
    <n v="243.98"/>
  </r>
  <r>
    <d v="2014-12-04T00:00:00"/>
    <d v="2014-12-27T00:00:00"/>
    <n v="3.79"/>
    <n v="0.1"/>
    <x v="1"/>
    <n v="23"/>
    <n v="3.89"/>
    <n v="1380"/>
    <n v="1383.89"/>
  </r>
  <r>
    <d v="2014-12-04T00:00:00"/>
    <d v="2014-12-11T00:00:00"/>
    <n v="11.37"/>
    <n v="0.3"/>
    <x v="2"/>
    <n v="7"/>
    <n v="11.67"/>
    <n v="140"/>
    <n v="151.66999999999999"/>
  </r>
  <r>
    <d v="2014-12-04T00:00:00"/>
    <d v="2014-12-21T00:00:00"/>
    <n v="16.55"/>
    <n v="0.44"/>
    <x v="1"/>
    <n v="17"/>
    <n v="16.990000000000002"/>
    <n v="1020"/>
    <n v="1036.99"/>
  </r>
  <r>
    <d v="2014-12-04T00:00:00"/>
    <d v="2014-12-28T00:00:00"/>
    <n v="6.88"/>
    <n v="0.18"/>
    <x v="3"/>
    <n v="24"/>
    <n v="7.06"/>
    <n v="960"/>
    <n v="967.06"/>
  </r>
  <r>
    <d v="2014-12-09T00:00:00"/>
    <d v="2014-12-28T00:00:00"/>
    <n v="5.64"/>
    <n v="0.15"/>
    <x v="3"/>
    <n v="19"/>
    <n v="5.79"/>
    <n v="760"/>
    <n v="765.79"/>
  </r>
  <r>
    <d v="2014-12-09T00:00:00"/>
    <d v="2014-12-31T00:00:00"/>
    <n v="3.57"/>
    <n v="0.09"/>
    <x v="3"/>
    <n v="22"/>
    <n v="3.6599999999999997"/>
    <n v="880"/>
    <n v="883.66"/>
  </r>
  <r>
    <d v="2014-12-09T00:00:00"/>
    <d v="2015-01-03T00:00:00"/>
    <n v="9.4600000000000009"/>
    <n v="0.25"/>
    <x v="1"/>
    <n v="25"/>
    <n v="9.7100000000000009"/>
    <n v="1500"/>
    <n v="1509.71"/>
  </r>
  <r>
    <d v="2014-12-09T00:00:00"/>
    <d v="2014-12-19T00:00:00"/>
    <n v="4.25"/>
    <n v="0.11"/>
    <x v="0"/>
    <n v="10"/>
    <n v="4.3600000000000003"/>
    <n v="500"/>
    <n v="504.36"/>
  </r>
  <r>
    <d v="2014-12-09T00:00:00"/>
    <d v="2014-12-15T00:00:00"/>
    <n v="5.67"/>
    <n v="0.15"/>
    <x v="0"/>
    <n v="6"/>
    <n v="5.82"/>
    <n v="300"/>
    <n v="305.82"/>
  </r>
  <r>
    <d v="2014-12-09T00:00:00"/>
    <d v="2014-12-26T00:00:00"/>
    <n v="6.34"/>
    <n v="0.17"/>
    <x v="2"/>
    <n v="17"/>
    <n v="6.51"/>
    <n v="340"/>
    <n v="346.51"/>
  </r>
  <r>
    <d v="2014-12-09T00:00:00"/>
    <d v="2014-12-18T00:00:00"/>
    <n v="14.13"/>
    <n v="0.37"/>
    <x v="1"/>
    <n v="9"/>
    <n v="14.5"/>
    <n v="540"/>
    <n v="554.5"/>
  </r>
  <r>
    <d v="2014-12-09T00:00:00"/>
    <d v="2015-01-03T00:00:00"/>
    <n v="8.83"/>
    <n v="0.23"/>
    <x v="0"/>
    <n v="25"/>
    <n v="9.06"/>
    <n v="1250"/>
    <n v="1259.06"/>
  </r>
  <r>
    <d v="2014-12-09T00:00:00"/>
    <d v="2014-12-30T00:00:00"/>
    <n v="7.31"/>
    <n v="0.19"/>
    <x v="2"/>
    <n v="21"/>
    <n v="7.5"/>
    <n v="420"/>
    <n v="427.5"/>
  </r>
  <r>
    <d v="2014-12-09T00:00:00"/>
    <d v="2014-12-24T00:00:00"/>
    <n v="9.74"/>
    <n v="0.26"/>
    <x v="1"/>
    <n v="15"/>
    <n v="10"/>
    <n v="900"/>
    <n v="910"/>
  </r>
  <r>
    <d v="2014-12-09T00:00:00"/>
    <d v="2015-01-02T00:00:00"/>
    <n v="11.42"/>
    <n v="0.3"/>
    <x v="3"/>
    <n v="24"/>
    <n v="11.72"/>
    <n v="960"/>
    <n v="971.72"/>
  </r>
  <r>
    <d v="2014-12-09T00:00:00"/>
    <d v="2014-12-22T00:00:00"/>
    <n v="11.44"/>
    <n v="0.3"/>
    <x v="3"/>
    <n v="13"/>
    <n v="11.74"/>
    <n v="520"/>
    <n v="531.74"/>
  </r>
  <r>
    <d v="2014-12-09T00:00:00"/>
    <d v="2014-12-15T00:00:00"/>
    <n v="7.35"/>
    <n v="0.19"/>
    <x v="4"/>
    <n v="6"/>
    <n v="7.54"/>
    <n v="180"/>
    <n v="187.54"/>
  </r>
  <r>
    <d v="2014-12-09T00:00:00"/>
    <d v="2014-12-20T00:00:00"/>
    <n v="7.3"/>
    <n v="0.19"/>
    <x v="2"/>
    <n v="11"/>
    <n v="7.49"/>
    <n v="220"/>
    <n v="227.49"/>
  </r>
  <r>
    <d v="2014-12-09T00:00:00"/>
    <d v="2014-12-16T00:00:00"/>
    <n v="8.65"/>
    <n v="0.23"/>
    <x v="3"/>
    <n v="7"/>
    <n v="8.8800000000000008"/>
    <n v="280"/>
    <n v="288.88"/>
  </r>
  <r>
    <d v="2014-12-09T00:00:00"/>
    <d v="2014-12-18T00:00:00"/>
    <n v="8.39"/>
    <n v="0.22"/>
    <x v="2"/>
    <n v="9"/>
    <n v="8.6100000000000012"/>
    <n v="180"/>
    <n v="188.61"/>
  </r>
  <r>
    <d v="2014-12-09T00:00:00"/>
    <d v="2014-12-20T00:00:00"/>
    <n v="11.42"/>
    <n v="0.3"/>
    <x v="4"/>
    <n v="11"/>
    <n v="11.72"/>
    <n v="330"/>
    <n v="341.72"/>
  </r>
  <r>
    <d v="2014-12-09T00:00:00"/>
    <d v="2014-12-21T00:00:00"/>
    <n v="9.74"/>
    <n v="0.26"/>
    <x v="2"/>
    <n v="12"/>
    <n v="10"/>
    <n v="240"/>
    <n v="250"/>
  </r>
  <r>
    <d v="2014-12-09T00:00:00"/>
    <d v="2014-12-29T00:00:00"/>
    <n v="13.07"/>
    <n v="0.34"/>
    <x v="2"/>
    <n v="20"/>
    <n v="13.41"/>
    <n v="400"/>
    <n v="413.41"/>
  </r>
  <r>
    <d v="2014-12-09T00:00:00"/>
    <d v="2015-01-02T00:00:00"/>
    <n v="6.75"/>
    <n v="0.18"/>
    <x v="3"/>
    <n v="24"/>
    <n v="6.93"/>
    <n v="960"/>
    <n v="966.93"/>
  </r>
  <r>
    <d v="2014-12-09T00:00:00"/>
    <d v="2015-01-06T00:00:00"/>
    <n v="6.75"/>
    <n v="0.18"/>
    <x v="2"/>
    <n v="28"/>
    <n v="6.93"/>
    <n v="560"/>
    <n v="566.92999999999995"/>
  </r>
  <r>
    <d v="2014-12-10T00:00:00"/>
    <d v="2014-12-17T00:00:00"/>
    <n v="9.06"/>
    <n v="0.24"/>
    <x v="3"/>
    <n v="7"/>
    <n v="9.3000000000000007"/>
    <n v="280"/>
    <n v="289.3"/>
  </r>
  <r>
    <d v="2014-12-10T00:00:00"/>
    <d v="2014-12-31T00:00:00"/>
    <n v="4.25"/>
    <n v="0.11"/>
    <x v="0"/>
    <n v="21"/>
    <n v="4.3600000000000003"/>
    <n v="1050"/>
    <n v="1054.3599999999999"/>
  </r>
  <r>
    <d v="2014-12-10T00:00:00"/>
    <d v="2014-12-20T00:00:00"/>
    <n v="7.06"/>
    <n v="0.19"/>
    <x v="2"/>
    <n v="10"/>
    <n v="7.25"/>
    <n v="200"/>
    <n v="207.25"/>
  </r>
  <r>
    <d v="2014-12-10T00:00:00"/>
    <d v="2014-12-19T00:00:00"/>
    <n v="14.31"/>
    <n v="0.38"/>
    <x v="3"/>
    <n v="9"/>
    <n v="14.690000000000001"/>
    <n v="360"/>
    <n v="374.69"/>
  </r>
  <r>
    <d v="2014-12-10T00:00:00"/>
    <d v="2015-01-07T00:00:00"/>
    <n v="5.64"/>
    <n v="0.15"/>
    <x v="0"/>
    <n v="28"/>
    <n v="5.79"/>
    <n v="1400"/>
    <n v="1405.79"/>
  </r>
  <r>
    <d v="2014-12-10T00:00:00"/>
    <d v="2014-12-23T00:00:00"/>
    <n v="5.67"/>
    <n v="0.15"/>
    <x v="4"/>
    <n v="13"/>
    <n v="5.82"/>
    <n v="390"/>
    <n v="395.82"/>
  </r>
  <r>
    <d v="2014-12-10T00:00:00"/>
    <d v="2014-12-17T00:00:00"/>
    <n v="11.69"/>
    <n v="0.31"/>
    <x v="2"/>
    <n v="7"/>
    <n v="12"/>
    <n v="140"/>
    <n v="152"/>
  </r>
  <r>
    <d v="2014-12-10T00:00:00"/>
    <d v="2014-12-29T00:00:00"/>
    <n v="13.02"/>
    <n v="0.34"/>
    <x v="4"/>
    <n v="19"/>
    <n v="13.36"/>
    <n v="570"/>
    <n v="583.36"/>
  </r>
  <r>
    <d v="2014-12-10T00:00:00"/>
    <d v="2014-12-13T00:00:00"/>
    <n v="4.25"/>
    <n v="0.11"/>
    <x v="4"/>
    <n v="3"/>
    <n v="4.3600000000000003"/>
    <n v="90"/>
    <n v="94.36"/>
  </r>
  <r>
    <d v="2014-12-10T00:00:00"/>
    <d v="2014-12-22T00:00:00"/>
    <n v="12.23"/>
    <n v="0.32"/>
    <x v="4"/>
    <n v="12"/>
    <n v="12.55"/>
    <n v="360"/>
    <n v="372.55"/>
  </r>
  <r>
    <d v="2014-12-10T00:00:00"/>
    <d v="2015-01-05T00:00:00"/>
    <n v="14.13"/>
    <n v="0.37"/>
    <x v="0"/>
    <n v="26"/>
    <n v="14.5"/>
    <n v="1300"/>
    <n v="1314.5"/>
  </r>
  <r>
    <d v="2014-12-10T00:00:00"/>
    <d v="2015-01-04T00:00:00"/>
    <n v="6.23"/>
    <n v="0.16"/>
    <x v="4"/>
    <n v="25"/>
    <n v="6.3900000000000006"/>
    <n v="750"/>
    <n v="756.39"/>
  </r>
  <r>
    <d v="2014-12-10T00:00:00"/>
    <d v="2015-01-02T00:00:00"/>
    <n v="8.5399999999999991"/>
    <n v="0.22"/>
    <x v="2"/>
    <n v="23"/>
    <n v="8.76"/>
    <n v="460"/>
    <n v="468.76"/>
  </r>
  <r>
    <d v="2014-12-10T00:00:00"/>
    <d v="2014-12-28T00:00:00"/>
    <n v="7.55"/>
    <n v="0.2"/>
    <x v="2"/>
    <n v="18"/>
    <n v="7.75"/>
    <n v="360"/>
    <n v="367.75"/>
  </r>
  <r>
    <d v="2014-12-10T00:00:00"/>
    <d v="2014-12-16T00:00:00"/>
    <n v="14"/>
    <n v="0.37"/>
    <x v="3"/>
    <n v="6"/>
    <n v="14.37"/>
    <n v="240"/>
    <n v="254.37"/>
  </r>
  <r>
    <d v="2014-12-10T00:00:00"/>
    <d v="2014-12-13T00:00:00"/>
    <n v="13.02"/>
    <n v="0.34"/>
    <x v="2"/>
    <n v="3"/>
    <n v="13.36"/>
    <n v="60"/>
    <n v="73.36"/>
  </r>
  <r>
    <d v="2014-12-10T00:00:00"/>
    <d v="2015-01-05T00:00:00"/>
    <n v="8.39"/>
    <n v="0.22"/>
    <x v="1"/>
    <n v="26"/>
    <n v="8.6100000000000012"/>
    <n v="1560"/>
    <n v="1568.61"/>
  </r>
  <r>
    <d v="2014-12-10T00:00:00"/>
    <d v="2014-12-17T00:00:00"/>
    <n v="5.23"/>
    <n v="0.14000000000000001"/>
    <x v="3"/>
    <n v="7"/>
    <n v="5.37"/>
    <n v="280"/>
    <n v="285.37"/>
  </r>
  <r>
    <d v="2014-12-10T00:00:00"/>
    <d v="2014-12-15T00:00:00"/>
    <n v="2.0099999999999998"/>
    <n v="0.05"/>
    <x v="2"/>
    <n v="5"/>
    <n v="2.0599999999999996"/>
    <n v="100"/>
    <n v="102.06"/>
  </r>
  <r>
    <d v="2014-12-10T00:00:00"/>
    <d v="2015-01-04T00:00:00"/>
    <n v="7.06"/>
    <n v="0.19"/>
    <x v="0"/>
    <n v="25"/>
    <n v="7.25"/>
    <n v="1250"/>
    <n v="1257.25"/>
  </r>
  <r>
    <d v="2014-12-10T00:00:00"/>
    <d v="2014-12-31T00:00:00"/>
    <n v="19.54"/>
    <n v="0.51"/>
    <x v="4"/>
    <n v="21"/>
    <n v="20.05"/>
    <n v="630"/>
    <n v="650.04999999999995"/>
  </r>
  <r>
    <d v="2014-12-10T00:00:00"/>
    <d v="2014-12-20T00:00:00"/>
    <n v="5.23"/>
    <n v="0.14000000000000001"/>
    <x v="3"/>
    <n v="10"/>
    <n v="5.37"/>
    <n v="400"/>
    <n v="405.37"/>
  </r>
  <r>
    <d v="2014-12-11T00:00:00"/>
    <d v="2014-12-29T00:00:00"/>
    <n v="9.06"/>
    <n v="0.24"/>
    <x v="3"/>
    <n v="18"/>
    <n v="9.3000000000000007"/>
    <n v="720"/>
    <n v="729.3"/>
  </r>
  <r>
    <d v="2014-12-11T00:00:00"/>
    <d v="2014-12-15T00:00:00"/>
    <n v="3.73"/>
    <n v="0.1"/>
    <x v="1"/>
    <n v="4"/>
    <n v="3.83"/>
    <n v="240"/>
    <n v="243.83"/>
  </r>
  <r>
    <d v="2014-12-12T00:00:00"/>
    <d v="2015-01-08T00:00:00"/>
    <n v="5.67"/>
    <n v="0.15"/>
    <x v="2"/>
    <n v="27"/>
    <n v="5.82"/>
    <n v="540"/>
    <n v="545.82000000000005"/>
  </r>
  <r>
    <d v="2014-12-12T00:00:00"/>
    <d v="2014-12-16T00:00:00"/>
    <n v="5.67"/>
    <n v="0.15"/>
    <x v="3"/>
    <n v="4"/>
    <n v="5.82"/>
    <n v="160"/>
    <n v="165.82"/>
  </r>
  <r>
    <d v="2014-12-12T00:00:00"/>
    <d v="2014-12-22T00:00:00"/>
    <n v="3.57"/>
    <n v="0.09"/>
    <x v="2"/>
    <n v="10"/>
    <n v="3.6599999999999997"/>
    <n v="200"/>
    <n v="203.66"/>
  </r>
  <r>
    <d v="2014-12-12T00:00:00"/>
    <d v="2014-12-22T00:00:00"/>
    <n v="3.57"/>
    <n v="0.09"/>
    <x v="4"/>
    <n v="10"/>
    <n v="3.6599999999999997"/>
    <n v="300"/>
    <n v="303.66000000000003"/>
  </r>
  <r>
    <d v="2014-12-12T00:00:00"/>
    <d v="2015-01-09T00:00:00"/>
    <n v="2.29"/>
    <n v="0.06"/>
    <x v="2"/>
    <n v="28"/>
    <n v="2.35"/>
    <n v="560"/>
    <n v="562.35"/>
  </r>
  <r>
    <d v="2014-12-12T00:00:00"/>
    <d v="2014-12-30T00:00:00"/>
    <n v="7.35"/>
    <n v="0.19"/>
    <x v="0"/>
    <n v="18"/>
    <n v="7.54"/>
    <n v="900"/>
    <n v="907.54"/>
  </r>
  <r>
    <d v="2014-12-12T00:00:00"/>
    <d v="2015-01-07T00:00:00"/>
    <n v="3.94"/>
    <n v="0.1"/>
    <x v="3"/>
    <n v="26"/>
    <n v="4.04"/>
    <n v="1040"/>
    <n v="1044.04"/>
  </r>
  <r>
    <d v="2014-12-12T00:00:00"/>
    <d v="2014-12-22T00:00:00"/>
    <n v="3.94"/>
    <n v="0.1"/>
    <x v="2"/>
    <n v="10"/>
    <n v="4.04"/>
    <n v="200"/>
    <n v="204.04"/>
  </r>
  <r>
    <d v="2014-12-12T00:00:00"/>
    <d v="2015-01-02T00:00:00"/>
    <n v="13.07"/>
    <n v="0.34"/>
    <x v="4"/>
    <n v="21"/>
    <n v="13.41"/>
    <n v="630"/>
    <n v="643.41"/>
  </r>
  <r>
    <d v="2014-12-13T00:00:00"/>
    <d v="2014-12-17T00:00:00"/>
    <n v="6.43"/>
    <n v="0.17"/>
    <x v="0"/>
    <n v="4"/>
    <n v="6.6"/>
    <n v="200"/>
    <n v="206.6"/>
  </r>
  <r>
    <d v="2014-12-13T00:00:00"/>
    <d v="2015-01-01T00:00:00"/>
    <n v="6.43"/>
    <n v="0.17"/>
    <x v="4"/>
    <n v="19"/>
    <n v="6.6"/>
    <n v="570"/>
    <n v="576.6"/>
  </r>
  <r>
    <d v="2014-12-14T00:00:00"/>
    <d v="2015-01-08T00:00:00"/>
    <n v="2.72"/>
    <n v="7.0000000000000007E-2"/>
    <x v="3"/>
    <n v="25"/>
    <n v="2.79"/>
    <n v="1000"/>
    <n v="1002.79"/>
  </r>
  <r>
    <d v="2014-12-14T00:00:00"/>
    <d v="2015-01-03T00:00:00"/>
    <n v="6.43"/>
    <n v="0.17"/>
    <x v="1"/>
    <n v="20"/>
    <n v="6.6"/>
    <n v="1200"/>
    <n v="1206.5999999999999"/>
  </r>
  <r>
    <d v="2014-12-15T00:00:00"/>
    <d v="2015-01-10T00:00:00"/>
    <n v="2.0099999999999998"/>
    <n v="0.05"/>
    <x v="4"/>
    <n v="26"/>
    <n v="2.0599999999999996"/>
    <n v="780"/>
    <n v="782.06"/>
  </r>
  <r>
    <d v="2014-12-15T00:00:00"/>
    <d v="2015-01-01T00:00:00"/>
    <n v="2.72"/>
    <n v="7.0000000000000007E-2"/>
    <x v="2"/>
    <n v="17"/>
    <n v="2.79"/>
    <n v="340"/>
    <n v="342.79"/>
  </r>
  <r>
    <d v="2014-12-15T00:00:00"/>
    <d v="2014-12-23T00:00:00"/>
    <n v="2.0099999999999998"/>
    <n v="0.05"/>
    <x v="0"/>
    <n v="8"/>
    <n v="2.0599999999999996"/>
    <n v="400"/>
    <n v="402.06"/>
  </r>
  <r>
    <d v="2014-12-16T00:00:00"/>
    <d v="2014-12-18T00:00:00"/>
    <n v="11.42"/>
    <n v="0.3"/>
    <x v="0"/>
    <n v="2"/>
    <n v="11.72"/>
    <n v="100"/>
    <n v="111.72"/>
  </r>
  <r>
    <d v="2014-12-16T00:00:00"/>
    <d v="2014-12-30T00:00:00"/>
    <n v="10.93"/>
    <n v="0.28999999999999998"/>
    <x v="4"/>
    <n v="14"/>
    <n v="11.219999999999999"/>
    <n v="420"/>
    <n v="431.22"/>
  </r>
  <r>
    <d v="2014-12-16T00:00:00"/>
    <d v="2014-12-24T00:00:00"/>
    <n v="9.06"/>
    <n v="0.24"/>
    <x v="2"/>
    <n v="8"/>
    <n v="9.3000000000000007"/>
    <n v="160"/>
    <n v="169.3"/>
  </r>
  <r>
    <d v="2014-12-16T00:00:00"/>
    <d v="2014-12-25T00:00:00"/>
    <n v="5.67"/>
    <n v="0.15"/>
    <x v="4"/>
    <n v="9"/>
    <n v="5.82"/>
    <n v="270"/>
    <n v="275.82"/>
  </r>
  <r>
    <d v="2014-12-16T00:00:00"/>
    <d v="2015-01-11T00:00:00"/>
    <n v="3.57"/>
    <n v="0.09"/>
    <x v="3"/>
    <n v="26"/>
    <n v="3.6599999999999997"/>
    <n v="1040"/>
    <n v="1043.6600000000001"/>
  </r>
  <r>
    <d v="2014-12-16T00:00:00"/>
    <d v="2015-01-07T00:00:00"/>
    <n v="3.79"/>
    <n v="0.1"/>
    <x v="0"/>
    <n v="22"/>
    <n v="3.89"/>
    <n v="1100"/>
    <n v="1103.8900000000001"/>
  </r>
  <r>
    <d v="2014-12-17T00:00:00"/>
    <d v="2014-12-23T00:00:00"/>
    <n v="4.66"/>
    <n v="0.12"/>
    <x v="4"/>
    <n v="6"/>
    <n v="4.78"/>
    <n v="180"/>
    <n v="184.78"/>
  </r>
  <r>
    <d v="2014-12-17T00:00:00"/>
    <d v="2014-12-31T00:00:00"/>
    <n v="6.43"/>
    <n v="0.17"/>
    <x v="1"/>
    <n v="14"/>
    <n v="6.6"/>
    <n v="840"/>
    <n v="846.6"/>
  </r>
  <r>
    <d v="2014-12-17T00:00:00"/>
    <d v="2014-12-25T00:00:00"/>
    <n v="6.58"/>
    <n v="0.17"/>
    <x v="3"/>
    <n v="8"/>
    <n v="6.75"/>
    <n v="320"/>
    <n v="326.75"/>
  </r>
  <r>
    <d v="2014-12-18T00:00:00"/>
    <d v="2014-12-25T00:00:00"/>
    <n v="4.66"/>
    <n v="0.12"/>
    <x v="1"/>
    <n v="7"/>
    <n v="4.78"/>
    <n v="420"/>
    <n v="424.78"/>
  </r>
  <r>
    <d v="2014-12-18T00:00:00"/>
    <d v="2014-12-30T00:00:00"/>
    <n v="4.66"/>
    <n v="0.12"/>
    <x v="0"/>
    <n v="12"/>
    <n v="4.78"/>
    <n v="600"/>
    <n v="604.78"/>
  </r>
  <r>
    <d v="2014-12-18T00:00:00"/>
    <d v="2014-12-26T00:00:00"/>
    <n v="3.73"/>
    <n v="0.1"/>
    <x v="0"/>
    <n v="8"/>
    <n v="3.83"/>
    <n v="400"/>
    <n v="403.83"/>
  </r>
  <r>
    <d v="2014-12-18T00:00:00"/>
    <d v="2014-12-22T00:00:00"/>
    <n v="4.25"/>
    <n v="0.11"/>
    <x v="3"/>
    <n v="4"/>
    <n v="4.3600000000000003"/>
    <n v="160"/>
    <n v="164.36"/>
  </r>
  <r>
    <d v="2014-12-18T00:00:00"/>
    <d v="2015-01-10T00:00:00"/>
    <n v="6.34"/>
    <n v="0.17"/>
    <x v="0"/>
    <n v="23"/>
    <n v="6.51"/>
    <n v="1150"/>
    <n v="1156.51"/>
  </r>
  <r>
    <d v="2014-12-19T00:00:00"/>
    <d v="2015-01-12T00:00:00"/>
    <n v="2.0099999999999998"/>
    <n v="0.05"/>
    <x v="1"/>
    <n v="24"/>
    <n v="2.0599999999999996"/>
    <n v="1440"/>
    <n v="1442.06"/>
  </r>
  <r>
    <d v="2014-12-19T00:00:00"/>
    <d v="2015-01-03T00:00:00"/>
    <n v="6.34"/>
    <n v="0.17"/>
    <x v="1"/>
    <n v="15"/>
    <n v="6.51"/>
    <n v="900"/>
    <n v="906.51"/>
  </r>
  <r>
    <d v="2014-12-20T00:00:00"/>
    <d v="2015-01-10T00:00:00"/>
    <n v="3.94"/>
    <n v="0.1"/>
    <x v="3"/>
    <n v="21"/>
    <n v="4.04"/>
    <n v="840"/>
    <n v="844.04"/>
  </r>
  <r>
    <d v="2014-12-20T00:00:00"/>
    <d v="2015-01-17T00:00:00"/>
    <n v="8.7200000000000006"/>
    <n v="0.23"/>
    <x v="3"/>
    <n v="28"/>
    <n v="8.9500000000000011"/>
    <n v="1120"/>
    <n v="1128.95"/>
  </r>
  <r>
    <d v="2014-12-21T00:00:00"/>
    <d v="2015-01-08T00:00:00"/>
    <n v="5.67"/>
    <n v="0.15"/>
    <x v="1"/>
    <n v="18"/>
    <n v="5.82"/>
    <n v="1080"/>
    <n v="1085.82"/>
  </r>
  <r>
    <d v="2014-12-21T00:00:00"/>
    <d v="2015-01-17T00:00:00"/>
    <n v="6.58"/>
    <n v="0.17"/>
    <x v="0"/>
    <n v="27"/>
    <n v="6.75"/>
    <n v="1350"/>
    <n v="1356.75"/>
  </r>
  <r>
    <d v="2014-12-21T00:00:00"/>
    <d v="2015-01-18T00:00:00"/>
    <n v="8.7200000000000006"/>
    <n v="0.23"/>
    <x v="1"/>
    <n v="28"/>
    <n v="8.9500000000000011"/>
    <n v="1680"/>
    <n v="1688.95"/>
  </r>
  <r>
    <d v="2014-12-21T00:00:00"/>
    <d v="2014-12-27T00:00:00"/>
    <n v="6.43"/>
    <n v="0.17"/>
    <x v="2"/>
    <n v="6"/>
    <n v="6.6"/>
    <n v="120"/>
    <n v="126.6"/>
  </r>
  <r>
    <d v="2014-12-21T00:00:00"/>
    <d v="2014-12-28T00:00:00"/>
    <n v="3.73"/>
    <n v="0.1"/>
    <x v="2"/>
    <n v="7"/>
    <n v="3.83"/>
    <n v="140"/>
    <n v="143.83000000000001"/>
  </r>
  <r>
    <d v="2014-12-21T00:00:00"/>
    <d v="2015-01-11T00:00:00"/>
    <n v="7.71"/>
    <n v="0.2"/>
    <x v="1"/>
    <n v="21"/>
    <n v="7.91"/>
    <n v="1260"/>
    <n v="1267.9100000000001"/>
  </r>
  <r>
    <d v="2014-12-21T00:00:00"/>
    <d v="2015-01-03T00:00:00"/>
    <n v="7.31"/>
    <n v="0.19"/>
    <x v="0"/>
    <n v="13"/>
    <n v="7.5"/>
    <n v="650"/>
    <n v="657.5"/>
  </r>
  <r>
    <d v="2014-12-21T00:00:00"/>
    <d v="2015-01-12T00:00:00"/>
    <n v="4.25"/>
    <n v="0.11"/>
    <x v="3"/>
    <n v="22"/>
    <n v="4.3600000000000003"/>
    <n v="880"/>
    <n v="884.36"/>
  </r>
  <r>
    <d v="2014-12-22T00:00:00"/>
    <d v="2015-01-14T00:00:00"/>
    <n v="6.43"/>
    <n v="0.17"/>
    <x v="2"/>
    <n v="23"/>
    <n v="6.6"/>
    <n v="460"/>
    <n v="466.6"/>
  </r>
  <r>
    <d v="2014-12-22T00:00:00"/>
    <d v="2015-01-13T00:00:00"/>
    <n v="4.66"/>
    <n v="0.12"/>
    <x v="0"/>
    <n v="22"/>
    <n v="4.78"/>
    <n v="1100"/>
    <n v="1104.78"/>
  </r>
  <r>
    <d v="2014-12-22T00:00:00"/>
    <d v="2015-01-02T00:00:00"/>
    <n v="6.23"/>
    <n v="0.16"/>
    <x v="0"/>
    <n v="11"/>
    <n v="6.3900000000000006"/>
    <n v="550"/>
    <n v="556.39"/>
  </r>
  <r>
    <d v="2014-12-22T00:00:00"/>
    <d v="2015-01-14T00:00:00"/>
    <n v="3.73"/>
    <n v="0.1"/>
    <x v="4"/>
    <n v="23"/>
    <n v="3.83"/>
    <n v="690"/>
    <n v="693.83"/>
  </r>
  <r>
    <d v="2014-12-22T00:00:00"/>
    <d v="2015-01-02T00:00:00"/>
    <n v="3.79"/>
    <n v="0.1"/>
    <x v="2"/>
    <n v="11"/>
    <n v="3.89"/>
    <n v="220"/>
    <n v="223.89"/>
  </r>
  <r>
    <d v="2014-12-22T00:00:00"/>
    <d v="2014-12-27T00:00:00"/>
    <n v="2.0099999999999998"/>
    <n v="0.05"/>
    <x v="1"/>
    <n v="5"/>
    <n v="2.0599999999999996"/>
    <n v="300"/>
    <n v="302.06"/>
  </r>
  <r>
    <d v="2014-12-22T00:00:00"/>
    <d v="2014-12-30T00:00:00"/>
    <n v="6.43"/>
    <n v="0.17"/>
    <x v="4"/>
    <n v="8"/>
    <n v="6.6"/>
    <n v="240"/>
    <n v="246.6"/>
  </r>
  <r>
    <d v="2014-12-22T00:00:00"/>
    <d v="2015-01-18T00:00:00"/>
    <n v="2.72"/>
    <n v="7.0000000000000007E-2"/>
    <x v="4"/>
    <n v="27"/>
    <n v="2.79"/>
    <n v="810"/>
    <n v="812.79"/>
  </r>
  <r>
    <d v="2014-12-22T00:00:00"/>
    <d v="2015-01-01T00:00:00"/>
    <n v="9.06"/>
    <n v="0.24"/>
    <x v="4"/>
    <n v="10"/>
    <n v="9.3000000000000007"/>
    <n v="300"/>
    <n v="309.3"/>
  </r>
  <r>
    <d v="2014-12-22T00:00:00"/>
    <d v="2015-01-03T00:00:00"/>
    <n v="5.67"/>
    <n v="0.15"/>
    <x v="4"/>
    <n v="12"/>
    <n v="5.82"/>
    <n v="360"/>
    <n v="365.82"/>
  </r>
  <r>
    <d v="2014-12-22T00:00:00"/>
    <d v="2015-01-05T00:00:00"/>
    <n v="4.25"/>
    <n v="0.11"/>
    <x v="1"/>
    <n v="14"/>
    <n v="4.3600000000000003"/>
    <n v="840"/>
    <n v="844.36"/>
  </r>
  <r>
    <d v="2014-12-22T00:00:00"/>
    <d v="2015-01-05T00:00:00"/>
    <n v="3.57"/>
    <n v="0.09"/>
    <x v="2"/>
    <n v="14"/>
    <n v="3.6599999999999997"/>
    <n v="280"/>
    <n v="283.66000000000003"/>
  </r>
  <r>
    <d v="2014-12-22T00:00:00"/>
    <d v="2015-01-04T00:00:00"/>
    <n v="8.39"/>
    <n v="0.22"/>
    <x v="0"/>
    <n v="13"/>
    <n v="8.6100000000000012"/>
    <n v="650"/>
    <n v="658.61"/>
  </r>
  <r>
    <d v="2014-12-22T00:00:00"/>
    <d v="2015-01-17T00:00:00"/>
    <n v="2.29"/>
    <n v="0.06"/>
    <x v="0"/>
    <n v="26"/>
    <n v="2.35"/>
    <n v="1300"/>
    <n v="1302.3499999999999"/>
  </r>
  <r>
    <d v="2014-12-28T00:00:00"/>
    <d v="2015-01-06T00:00:00"/>
    <n v="3.79"/>
    <n v="0.1"/>
    <x v="3"/>
    <n v="9"/>
    <n v="3.89"/>
    <n v="360"/>
    <n v="363.89"/>
  </r>
  <r>
    <d v="2014-12-28T00:00:00"/>
    <d v="2015-01-02T00:00:00"/>
    <n v="7.55"/>
    <n v="0.2"/>
    <x v="4"/>
    <n v="5"/>
    <n v="7.75"/>
    <n v="150"/>
    <n v="157.75"/>
  </r>
  <r>
    <d v="2014-12-29T00:00:00"/>
    <d v="2015-01-24T00:00:00"/>
    <n v="7.71"/>
    <n v="0.2"/>
    <x v="1"/>
    <n v="26"/>
    <n v="7.91"/>
    <n v="1560"/>
    <n v="1567.91"/>
  </r>
  <r>
    <d v="2014-12-29T00:00:00"/>
    <d v="2014-12-31T00:00:00"/>
    <n v="6.34"/>
    <n v="0.17"/>
    <x v="3"/>
    <n v="2"/>
    <n v="6.51"/>
    <n v="80"/>
    <n v="86.51"/>
  </r>
  <r>
    <d v="2014-12-29T00:00:00"/>
    <d v="2015-01-08T00:00:00"/>
    <n v="6.58"/>
    <n v="0.17"/>
    <x v="2"/>
    <n v="10"/>
    <n v="6.75"/>
    <n v="200"/>
    <n v="206.75"/>
  </r>
  <r>
    <d v="2014-12-29T00:00:00"/>
    <d v="2015-01-24T00:00:00"/>
    <n v="6.34"/>
    <n v="0.17"/>
    <x v="1"/>
    <n v="26"/>
    <n v="6.51"/>
    <n v="1560"/>
    <n v="1566.51"/>
  </r>
  <r>
    <d v="2014-12-29T00:00:00"/>
    <d v="2015-01-15T00:00:00"/>
    <n v="5.67"/>
    <n v="0.15"/>
    <x v="3"/>
    <n v="17"/>
    <n v="5.82"/>
    <n v="680"/>
    <n v="685.82"/>
  </r>
  <r>
    <d v="2014-12-29T00:00:00"/>
    <d v="2015-01-05T00:00:00"/>
    <n v="4.25"/>
    <n v="0.11"/>
    <x v="3"/>
    <n v="7"/>
    <n v="4.3600000000000003"/>
    <n v="280"/>
    <n v="284.3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d v="2014-01-11T00:00:00"/>
    <n v="39.35"/>
    <n v="1.04"/>
    <n v="5"/>
    <n v="9"/>
    <n v="40.39"/>
    <n v="450"/>
    <n v="490.39"/>
  </r>
  <r>
    <x v="0"/>
    <d v="2014-01-23T00:00:00"/>
    <n v="3.79"/>
    <n v="0.1"/>
    <n v="6"/>
    <n v="21"/>
    <n v="3.89"/>
    <n v="1260"/>
    <n v="1263.8900000000001"/>
  </r>
  <r>
    <x v="0"/>
    <d v="2014-01-14T00:00:00"/>
    <n v="3.88"/>
    <n v="0.1"/>
    <n v="6"/>
    <n v="12"/>
    <n v="3.98"/>
    <n v="720"/>
    <n v="723.98"/>
  </r>
  <r>
    <x v="0"/>
    <d v="2014-01-22T00:00:00"/>
    <n v="6.43"/>
    <n v="0.17"/>
    <n v="5"/>
    <n v="20"/>
    <n v="6.6"/>
    <n v="1000"/>
    <n v="1006.6"/>
  </r>
  <r>
    <x v="0"/>
    <d v="2014-01-27T00:00:00"/>
    <n v="8.39"/>
    <n v="0.22"/>
    <n v="2"/>
    <n v="25"/>
    <n v="8.6100000000000012"/>
    <n v="500"/>
    <n v="508.61"/>
  </r>
  <r>
    <x v="0"/>
    <d v="2014-01-30T00:00:00"/>
    <n v="11.42"/>
    <n v="0.3"/>
    <n v="2"/>
    <n v="28"/>
    <n v="11.72"/>
    <n v="560"/>
    <n v="571.72"/>
  </r>
  <r>
    <x v="1"/>
    <d v="2014-01-31T00:00:00"/>
    <n v="5.64"/>
    <n v="0.15"/>
    <n v="5"/>
    <n v="28"/>
    <n v="5.79"/>
    <n v="1400"/>
    <n v="1405.79"/>
  </r>
  <r>
    <x v="1"/>
    <d v="2014-01-06T00:00:00"/>
    <n v="10.59"/>
    <n v="0.28000000000000003"/>
    <n v="5"/>
    <n v="3"/>
    <n v="10.87"/>
    <n v="150"/>
    <n v="160.87"/>
  </r>
  <r>
    <x v="1"/>
    <d v="2014-01-30T00:00:00"/>
    <n v="4.25"/>
    <n v="0.11"/>
    <n v="2"/>
    <n v="27"/>
    <n v="4.3600000000000003"/>
    <n v="540"/>
    <n v="544.36"/>
  </r>
  <r>
    <x v="1"/>
    <d v="2014-01-21T00:00:00"/>
    <n v="5.64"/>
    <n v="0.15"/>
    <n v="4"/>
    <n v="18"/>
    <n v="5.79"/>
    <n v="720"/>
    <n v="725.79"/>
  </r>
  <r>
    <x v="1"/>
    <d v="2014-01-30T00:00:00"/>
    <n v="5.78"/>
    <n v="0.15"/>
    <n v="5"/>
    <n v="27"/>
    <n v="5.9300000000000006"/>
    <n v="1350"/>
    <n v="1355.93"/>
  </r>
  <r>
    <x v="1"/>
    <d v="2014-01-30T00:00:00"/>
    <n v="2.29"/>
    <n v="0.06"/>
    <n v="4"/>
    <n v="27"/>
    <n v="2.35"/>
    <n v="1080"/>
    <n v="1082.3499999999999"/>
  </r>
  <r>
    <x v="1"/>
    <d v="2014-01-26T00:00:00"/>
    <n v="5.23"/>
    <n v="0.14000000000000001"/>
    <n v="2"/>
    <n v="23"/>
    <n v="5.37"/>
    <n v="460"/>
    <n v="465.37"/>
  </r>
  <r>
    <x v="1"/>
    <d v="2014-01-10T00:00:00"/>
    <n v="5.67"/>
    <n v="0.15"/>
    <n v="2"/>
    <n v="7"/>
    <n v="5.82"/>
    <n v="140"/>
    <n v="145.82"/>
  </r>
  <r>
    <x v="2"/>
    <d v="2014-01-10T00:00:00"/>
    <n v="5.64"/>
    <n v="0.15"/>
    <n v="2"/>
    <n v="6"/>
    <n v="5.79"/>
    <n v="120"/>
    <n v="125.79"/>
  </r>
  <r>
    <x v="2"/>
    <d v="2014-01-11T00:00:00"/>
    <n v="4.25"/>
    <n v="0.11"/>
    <n v="4"/>
    <n v="7"/>
    <n v="4.3600000000000003"/>
    <n v="280"/>
    <n v="284.36"/>
  </r>
  <r>
    <x v="2"/>
    <d v="2014-01-21T00:00:00"/>
    <n v="6.58"/>
    <n v="0.17"/>
    <n v="6"/>
    <n v="17"/>
    <n v="6.75"/>
    <n v="1020"/>
    <n v="1026.75"/>
  </r>
  <r>
    <x v="3"/>
    <d v="2014-01-22T00:00:00"/>
    <n v="6.43"/>
    <n v="0.17"/>
    <n v="3"/>
    <n v="17"/>
    <n v="6.6"/>
    <n v="510"/>
    <n v="516.6"/>
  </r>
  <r>
    <x v="3"/>
    <d v="2014-01-23T00:00:00"/>
    <n v="5.67"/>
    <n v="0.15"/>
    <n v="5"/>
    <n v="18"/>
    <n v="5.82"/>
    <n v="900"/>
    <n v="905.82"/>
  </r>
  <r>
    <x v="4"/>
    <d v="2014-01-15T00:00:00"/>
    <n v="4.66"/>
    <n v="0.12"/>
    <n v="2"/>
    <n v="9"/>
    <n v="4.78"/>
    <n v="180"/>
    <n v="184.78"/>
  </r>
  <r>
    <x v="5"/>
    <d v="2014-01-24T00:00:00"/>
    <n v="2.0099999999999998"/>
    <n v="0.05"/>
    <n v="4"/>
    <n v="17"/>
    <n v="2.0599999999999996"/>
    <n v="680"/>
    <n v="682.06"/>
  </r>
  <r>
    <x v="5"/>
    <d v="2014-01-31T00:00:00"/>
    <n v="3.57"/>
    <n v="0.09"/>
    <n v="3"/>
    <n v="24"/>
    <n v="3.6599999999999997"/>
    <n v="720"/>
    <n v="723.66"/>
  </r>
  <r>
    <x v="5"/>
    <d v="2014-01-10T00:00:00"/>
    <n v="2.29"/>
    <n v="0.06"/>
    <n v="5"/>
    <n v="3"/>
    <n v="2.35"/>
    <n v="150"/>
    <n v="152.35"/>
  </r>
  <r>
    <x v="5"/>
    <d v="2014-01-10T00:00:00"/>
    <n v="2.72"/>
    <n v="7.0000000000000007E-2"/>
    <n v="4"/>
    <n v="3"/>
    <n v="2.79"/>
    <n v="120"/>
    <n v="122.79"/>
  </r>
  <r>
    <x v="5"/>
    <d v="2014-01-12T00:00:00"/>
    <n v="3.73"/>
    <n v="0.1"/>
    <n v="3"/>
    <n v="5"/>
    <n v="3.83"/>
    <n v="150"/>
    <n v="153.83000000000001"/>
  </r>
  <r>
    <x v="6"/>
    <d v="2014-01-26T00:00:00"/>
    <n v="6.58"/>
    <n v="0.17"/>
    <n v="3"/>
    <n v="18"/>
    <n v="6.75"/>
    <n v="540"/>
    <n v="546.75"/>
  </r>
  <r>
    <x v="6"/>
    <d v="2014-01-25T00:00:00"/>
    <n v="6.58"/>
    <n v="0.17"/>
    <n v="2"/>
    <n v="17"/>
    <n v="6.75"/>
    <n v="340"/>
    <n v="346.75"/>
  </r>
  <r>
    <x v="6"/>
    <d v="2014-01-19T00:00:00"/>
    <n v="5.67"/>
    <n v="0.15"/>
    <n v="5"/>
    <n v="11"/>
    <n v="5.82"/>
    <n v="550"/>
    <n v="555.82000000000005"/>
  </r>
  <r>
    <x v="7"/>
    <d v="2014-02-04T00:00:00"/>
    <n v="9.1300000000000008"/>
    <n v="0.24"/>
    <n v="2"/>
    <n v="26"/>
    <n v="9.370000000000001"/>
    <n v="520"/>
    <n v="529.37"/>
  </r>
  <r>
    <x v="7"/>
    <d v="2014-01-19T00:00:00"/>
    <n v="14.31"/>
    <n v="0.38"/>
    <n v="6"/>
    <n v="10"/>
    <n v="14.690000000000001"/>
    <n v="600"/>
    <n v="614.69000000000005"/>
  </r>
  <r>
    <x v="7"/>
    <d v="2014-02-05T00:00:00"/>
    <n v="3.79"/>
    <n v="0.1"/>
    <n v="5"/>
    <n v="27"/>
    <n v="3.89"/>
    <n v="1350"/>
    <n v="1353.89"/>
  </r>
  <r>
    <x v="7"/>
    <d v="2014-01-27T00:00:00"/>
    <n v="6.23"/>
    <n v="0.16"/>
    <n v="5"/>
    <n v="18"/>
    <n v="6.3900000000000006"/>
    <n v="900"/>
    <n v="906.39"/>
  </r>
  <r>
    <x v="8"/>
    <d v="2014-01-20T00:00:00"/>
    <n v="3.57"/>
    <n v="0.09"/>
    <n v="6"/>
    <n v="10"/>
    <n v="3.6599999999999997"/>
    <n v="600"/>
    <n v="603.66"/>
  </r>
  <r>
    <x v="8"/>
    <d v="2014-01-13T00:00:00"/>
    <n v="5.67"/>
    <n v="0.15"/>
    <n v="6"/>
    <n v="3"/>
    <n v="5.82"/>
    <n v="180"/>
    <n v="185.82"/>
  </r>
  <r>
    <x v="8"/>
    <d v="2014-01-28T00:00:00"/>
    <n v="8.7200000000000006"/>
    <n v="0.23"/>
    <n v="5"/>
    <n v="18"/>
    <n v="8.9500000000000011"/>
    <n v="900"/>
    <n v="908.95"/>
  </r>
  <r>
    <x v="8"/>
    <d v="2014-01-15T00:00:00"/>
    <n v="4.66"/>
    <n v="0.12"/>
    <n v="3"/>
    <n v="5"/>
    <n v="4.78"/>
    <n v="150"/>
    <n v="154.78"/>
  </r>
  <r>
    <x v="9"/>
    <d v="2014-01-20T00:00:00"/>
    <n v="5.67"/>
    <n v="0.15"/>
    <n v="3"/>
    <n v="8"/>
    <n v="5.82"/>
    <n v="240"/>
    <n v="245.82"/>
  </r>
  <r>
    <x v="10"/>
    <d v="2014-01-15T00:00:00"/>
    <n v="7.06"/>
    <n v="0.19"/>
    <n v="2"/>
    <n v="2"/>
    <n v="7.25"/>
    <n v="40"/>
    <n v="47.25"/>
  </r>
  <r>
    <x v="10"/>
    <d v="2014-01-22T00:00:00"/>
    <n v="5.67"/>
    <n v="0.15"/>
    <n v="5"/>
    <n v="9"/>
    <n v="5.82"/>
    <n v="450"/>
    <n v="455.82"/>
  </r>
  <r>
    <x v="10"/>
    <d v="2014-02-01T00:00:00"/>
    <n v="6.34"/>
    <n v="0.17"/>
    <n v="3"/>
    <n v="19"/>
    <n v="6.51"/>
    <n v="570"/>
    <n v="576.51"/>
  </r>
  <r>
    <x v="10"/>
    <d v="2014-01-17T00:00:00"/>
    <n v="7.31"/>
    <n v="0.19"/>
    <n v="3"/>
    <n v="4"/>
    <n v="7.5"/>
    <n v="120"/>
    <n v="127.5"/>
  </r>
  <r>
    <x v="10"/>
    <d v="2014-01-29T00:00:00"/>
    <n v="6.75"/>
    <n v="0.18"/>
    <n v="3"/>
    <n v="16"/>
    <n v="6.93"/>
    <n v="480"/>
    <n v="486.93"/>
  </r>
  <r>
    <x v="10"/>
    <d v="2014-02-10T00:00:00"/>
    <n v="3.57"/>
    <n v="0.09"/>
    <n v="2"/>
    <n v="28"/>
    <n v="3.6599999999999997"/>
    <n v="560"/>
    <n v="563.66"/>
  </r>
  <r>
    <x v="11"/>
    <d v="2014-01-25T00:00:00"/>
    <n v="8.5399999999999991"/>
    <n v="0.22"/>
    <n v="2"/>
    <n v="11"/>
    <n v="8.76"/>
    <n v="220"/>
    <n v="228.76"/>
  </r>
  <r>
    <x v="11"/>
    <d v="2014-01-16T00:00:00"/>
    <n v="8.9499999999999993"/>
    <n v="0.24"/>
    <n v="4"/>
    <n v="2"/>
    <n v="9.19"/>
    <n v="80"/>
    <n v="89.19"/>
  </r>
  <r>
    <x v="11"/>
    <d v="2014-02-07T00:00:00"/>
    <n v="6.34"/>
    <n v="0.17"/>
    <n v="6"/>
    <n v="24"/>
    <n v="6.51"/>
    <n v="1440"/>
    <n v="1446.51"/>
  </r>
  <r>
    <x v="11"/>
    <d v="2014-02-02T00:00:00"/>
    <n v="12.23"/>
    <n v="0.32"/>
    <n v="3"/>
    <n v="19"/>
    <n v="12.55"/>
    <n v="570"/>
    <n v="582.54999999999995"/>
  </r>
  <r>
    <x v="11"/>
    <d v="2014-01-29T00:00:00"/>
    <n v="8.7200000000000006"/>
    <n v="0.23"/>
    <n v="5"/>
    <n v="15"/>
    <n v="8.9500000000000011"/>
    <n v="750"/>
    <n v="758.95"/>
  </r>
  <r>
    <x v="11"/>
    <d v="2014-02-01T00:00:00"/>
    <n v="16.55"/>
    <n v="0.44"/>
    <n v="6"/>
    <n v="18"/>
    <n v="16.990000000000002"/>
    <n v="1080"/>
    <n v="1096.99"/>
  </r>
  <r>
    <x v="11"/>
    <d v="2014-01-17T00:00:00"/>
    <n v="7.55"/>
    <n v="0.2"/>
    <n v="2"/>
    <n v="3"/>
    <n v="7.75"/>
    <n v="60"/>
    <n v="67.75"/>
  </r>
  <r>
    <x v="11"/>
    <d v="2014-01-29T00:00:00"/>
    <n v="5.78"/>
    <n v="0.15"/>
    <n v="2"/>
    <n v="15"/>
    <n v="5.9300000000000006"/>
    <n v="300"/>
    <n v="305.93"/>
  </r>
  <r>
    <x v="11"/>
    <d v="2014-01-19T00:00:00"/>
    <n v="8.83"/>
    <n v="0.23"/>
    <n v="3"/>
    <n v="5"/>
    <n v="9.06"/>
    <n v="150"/>
    <n v="159.06"/>
  </r>
  <r>
    <x v="11"/>
    <d v="2014-01-16T00:00:00"/>
    <n v="8.89"/>
    <n v="0.23"/>
    <n v="4"/>
    <n v="2"/>
    <n v="9.120000000000001"/>
    <n v="80"/>
    <n v="89.12"/>
  </r>
  <r>
    <x v="11"/>
    <d v="2014-01-18T00:00:00"/>
    <n v="2.72"/>
    <n v="7.0000000000000007E-2"/>
    <n v="6"/>
    <n v="4"/>
    <n v="2.79"/>
    <n v="240"/>
    <n v="242.79"/>
  </r>
  <r>
    <x v="11"/>
    <d v="2014-02-05T00:00:00"/>
    <n v="11.42"/>
    <n v="0.3"/>
    <n v="2"/>
    <n v="22"/>
    <n v="11.72"/>
    <n v="440"/>
    <n v="451.72"/>
  </r>
  <r>
    <x v="11"/>
    <d v="2014-02-05T00:00:00"/>
    <n v="5.23"/>
    <n v="0.14000000000000001"/>
    <n v="2"/>
    <n v="22"/>
    <n v="5.37"/>
    <n v="440"/>
    <n v="445.37"/>
  </r>
  <r>
    <x v="11"/>
    <d v="2014-01-18T00:00:00"/>
    <n v="6.58"/>
    <n v="0.17"/>
    <n v="4"/>
    <n v="4"/>
    <n v="6.75"/>
    <n v="160"/>
    <n v="166.75"/>
  </r>
  <r>
    <x v="11"/>
    <d v="2014-02-09T00:00:00"/>
    <n v="9.74"/>
    <n v="0.26"/>
    <n v="4"/>
    <n v="26"/>
    <n v="10"/>
    <n v="1040"/>
    <n v="1050"/>
  </r>
  <r>
    <x v="11"/>
    <d v="2014-01-20T00:00:00"/>
    <n v="6.75"/>
    <n v="0.18"/>
    <n v="6"/>
    <n v="6"/>
    <n v="6.93"/>
    <n v="360"/>
    <n v="366.93"/>
  </r>
  <r>
    <x v="11"/>
    <d v="2014-02-01T00:00:00"/>
    <n v="16.829999999999998"/>
    <n v="0.44"/>
    <n v="4"/>
    <n v="18"/>
    <n v="17.27"/>
    <n v="720"/>
    <n v="737.27"/>
  </r>
  <r>
    <x v="11"/>
    <d v="2014-02-06T00:00:00"/>
    <n v="10.79"/>
    <n v="0.28000000000000003"/>
    <n v="3"/>
    <n v="23"/>
    <n v="11.069999999999999"/>
    <n v="690"/>
    <n v="701.07"/>
  </r>
  <r>
    <x v="11"/>
    <d v="2014-01-30T00:00:00"/>
    <n v="10.19"/>
    <n v="0.27"/>
    <n v="5"/>
    <n v="16"/>
    <n v="10.459999999999999"/>
    <n v="800"/>
    <n v="810.46"/>
  </r>
  <r>
    <x v="11"/>
    <d v="2014-02-08T00:00:00"/>
    <n v="10.93"/>
    <n v="0.28999999999999998"/>
    <n v="6"/>
    <n v="25"/>
    <n v="11.219999999999999"/>
    <n v="1500"/>
    <n v="1511.22"/>
  </r>
  <r>
    <x v="12"/>
    <d v="2014-01-22T00:00:00"/>
    <n v="9.74"/>
    <n v="0.26"/>
    <n v="5"/>
    <n v="7"/>
    <n v="10"/>
    <n v="350"/>
    <n v="360"/>
  </r>
  <r>
    <x v="12"/>
    <d v="2014-01-30T00:00:00"/>
    <n v="14.31"/>
    <n v="0.38"/>
    <n v="6"/>
    <n v="15"/>
    <n v="14.690000000000001"/>
    <n v="900"/>
    <n v="914.69"/>
  </r>
  <r>
    <x v="12"/>
    <d v="2014-01-24T00:00:00"/>
    <n v="7.35"/>
    <n v="0.19"/>
    <n v="4"/>
    <n v="9"/>
    <n v="7.54"/>
    <n v="360"/>
    <n v="367.54"/>
  </r>
  <r>
    <x v="12"/>
    <d v="2014-01-31T00:00:00"/>
    <n v="9.74"/>
    <n v="0.26"/>
    <n v="5"/>
    <n v="16"/>
    <n v="10"/>
    <n v="800"/>
    <n v="810"/>
  </r>
  <r>
    <x v="12"/>
    <d v="2014-01-27T00:00:00"/>
    <n v="14.13"/>
    <n v="0.37"/>
    <n v="2"/>
    <n v="12"/>
    <n v="14.5"/>
    <n v="240"/>
    <n v="254.5"/>
  </r>
  <r>
    <x v="12"/>
    <d v="2014-01-19T00:00:00"/>
    <n v="12.01"/>
    <n v="0.32"/>
    <n v="3"/>
    <n v="4"/>
    <n v="12.33"/>
    <n v="120"/>
    <n v="132.33000000000001"/>
  </r>
  <r>
    <x v="12"/>
    <d v="2014-01-30T00:00:00"/>
    <n v="13.07"/>
    <n v="0.34"/>
    <n v="6"/>
    <n v="15"/>
    <n v="13.41"/>
    <n v="900"/>
    <n v="913.41"/>
  </r>
  <r>
    <x v="12"/>
    <d v="2014-01-20T00:00:00"/>
    <n v="14"/>
    <n v="0.37"/>
    <n v="5"/>
    <n v="5"/>
    <n v="14.37"/>
    <n v="250"/>
    <n v="264.37"/>
  </r>
  <r>
    <x v="12"/>
    <d v="2014-02-01T00:00:00"/>
    <n v="13.02"/>
    <n v="0.34"/>
    <n v="2"/>
    <n v="17"/>
    <n v="13.36"/>
    <n v="340"/>
    <n v="353.36"/>
  </r>
  <r>
    <x v="12"/>
    <d v="2014-01-19T00:00:00"/>
    <n v="6.75"/>
    <n v="0.18"/>
    <n v="5"/>
    <n v="4"/>
    <n v="6.93"/>
    <n v="200"/>
    <n v="206.93"/>
  </r>
  <r>
    <x v="12"/>
    <d v="2014-01-31T00:00:00"/>
    <n v="3.88"/>
    <n v="0.1"/>
    <n v="2"/>
    <n v="16"/>
    <n v="3.98"/>
    <n v="320"/>
    <n v="323.98"/>
  </r>
  <r>
    <x v="12"/>
    <d v="2014-01-18T00:00:00"/>
    <n v="4.66"/>
    <n v="0.12"/>
    <n v="6"/>
    <n v="3"/>
    <n v="4.78"/>
    <n v="180"/>
    <n v="184.78"/>
  </r>
  <r>
    <x v="12"/>
    <d v="2014-01-22T00:00:00"/>
    <n v="2.29"/>
    <n v="0.06"/>
    <n v="4"/>
    <n v="7"/>
    <n v="2.35"/>
    <n v="280"/>
    <n v="282.35000000000002"/>
  </r>
  <r>
    <x v="12"/>
    <d v="2014-01-26T00:00:00"/>
    <n v="7.31"/>
    <n v="0.19"/>
    <n v="6"/>
    <n v="11"/>
    <n v="7.5"/>
    <n v="660"/>
    <n v="667.5"/>
  </r>
  <r>
    <x v="12"/>
    <d v="2014-02-12T00:00:00"/>
    <n v="6.23"/>
    <n v="0.16"/>
    <n v="6"/>
    <n v="28"/>
    <n v="6.3900000000000006"/>
    <n v="1680"/>
    <n v="1686.39"/>
  </r>
  <r>
    <x v="12"/>
    <d v="2014-01-24T00:00:00"/>
    <n v="3.88"/>
    <n v="0.1"/>
    <n v="2"/>
    <n v="9"/>
    <n v="3.98"/>
    <n v="180"/>
    <n v="183.98"/>
  </r>
  <r>
    <x v="12"/>
    <d v="2014-01-23T00:00:00"/>
    <n v="8.51"/>
    <n v="0.22"/>
    <n v="2"/>
    <n v="8"/>
    <n v="8.73"/>
    <n v="160"/>
    <n v="168.73"/>
  </r>
  <r>
    <x v="12"/>
    <d v="2014-01-18T00:00:00"/>
    <n v="8.51"/>
    <n v="0.22"/>
    <n v="4"/>
    <n v="3"/>
    <n v="8.73"/>
    <n v="120"/>
    <n v="128.72999999999999"/>
  </r>
  <r>
    <x v="12"/>
    <d v="2014-02-06T00:00:00"/>
    <n v="9.1300000000000008"/>
    <n v="0.24"/>
    <n v="2"/>
    <n v="22"/>
    <n v="9.370000000000001"/>
    <n v="440"/>
    <n v="449.37"/>
  </r>
  <r>
    <x v="12"/>
    <d v="2014-01-19T00:00:00"/>
    <n v="3.88"/>
    <n v="0.1"/>
    <n v="2"/>
    <n v="4"/>
    <n v="3.98"/>
    <n v="80"/>
    <n v="83.98"/>
  </r>
  <r>
    <x v="12"/>
    <d v="2014-02-05T00:00:00"/>
    <n v="11.42"/>
    <n v="0.3"/>
    <n v="2"/>
    <n v="21"/>
    <n v="11.72"/>
    <n v="420"/>
    <n v="431.72"/>
  </r>
  <r>
    <x v="12"/>
    <d v="2014-01-22T00:00:00"/>
    <n v="16.829999999999998"/>
    <n v="0.44"/>
    <n v="4"/>
    <n v="7"/>
    <n v="17.27"/>
    <n v="280"/>
    <n v="297.27"/>
  </r>
  <r>
    <x v="13"/>
    <d v="2014-02-04T00:00:00"/>
    <n v="5.67"/>
    <n v="0.15"/>
    <n v="2"/>
    <n v="18"/>
    <n v="5.82"/>
    <n v="360"/>
    <n v="365.82"/>
  </r>
  <r>
    <x v="13"/>
    <d v="2014-01-28T00:00:00"/>
    <n v="5.67"/>
    <n v="0.15"/>
    <n v="3"/>
    <n v="11"/>
    <n v="5.82"/>
    <n v="330"/>
    <n v="335.82"/>
  </r>
  <r>
    <x v="13"/>
    <d v="2014-01-27T00:00:00"/>
    <n v="2.0099999999999998"/>
    <n v="0.05"/>
    <n v="5"/>
    <n v="10"/>
    <n v="2.0599999999999996"/>
    <n v="500"/>
    <n v="502.06"/>
  </r>
  <r>
    <x v="13"/>
    <d v="2014-02-08T00:00:00"/>
    <n v="2.0099999999999998"/>
    <n v="0.05"/>
    <n v="5"/>
    <n v="22"/>
    <n v="2.0599999999999996"/>
    <n v="1100"/>
    <n v="1102.06"/>
  </r>
  <r>
    <x v="14"/>
    <d v="2014-01-30T00:00:00"/>
    <n v="6.43"/>
    <n v="0.17"/>
    <n v="5"/>
    <n v="12"/>
    <n v="6.6"/>
    <n v="600"/>
    <n v="606.6"/>
  </r>
  <r>
    <x v="14"/>
    <d v="2014-01-27T00:00:00"/>
    <n v="3.88"/>
    <n v="0.1"/>
    <n v="5"/>
    <n v="9"/>
    <n v="3.98"/>
    <n v="450"/>
    <n v="453.98"/>
  </r>
  <r>
    <x v="14"/>
    <d v="2014-01-22T00:00:00"/>
    <n v="8.7200000000000006"/>
    <n v="0.23"/>
    <n v="4"/>
    <n v="4"/>
    <n v="8.9500000000000011"/>
    <n v="160"/>
    <n v="168.95"/>
  </r>
  <r>
    <x v="15"/>
    <d v="2014-02-15T00:00:00"/>
    <n v="6.58"/>
    <n v="0.17"/>
    <n v="5"/>
    <n v="27"/>
    <n v="6.75"/>
    <n v="1350"/>
    <n v="1356.75"/>
  </r>
  <r>
    <x v="15"/>
    <d v="2014-02-15T00:00:00"/>
    <n v="6.43"/>
    <n v="0.17"/>
    <n v="2"/>
    <n v="27"/>
    <n v="6.6"/>
    <n v="540"/>
    <n v="546.6"/>
  </r>
  <r>
    <x v="16"/>
    <d v="2014-02-06T00:00:00"/>
    <n v="11.44"/>
    <n v="0.3"/>
    <n v="3"/>
    <n v="16"/>
    <n v="11.74"/>
    <n v="480"/>
    <n v="491.74"/>
  </r>
  <r>
    <x v="16"/>
    <d v="2014-01-28T00:00:00"/>
    <n v="10.59"/>
    <n v="0.28000000000000003"/>
    <n v="4"/>
    <n v="7"/>
    <n v="10.87"/>
    <n v="280"/>
    <n v="290.87"/>
  </r>
  <r>
    <x v="16"/>
    <d v="2014-02-17T00:00:00"/>
    <n v="11.44"/>
    <n v="0.3"/>
    <n v="6"/>
    <n v="27"/>
    <n v="11.74"/>
    <n v="1620"/>
    <n v="1631.74"/>
  </r>
  <r>
    <x v="16"/>
    <d v="2014-02-16T00:00:00"/>
    <n v="10.199999999999999"/>
    <n v="0.27"/>
    <n v="6"/>
    <n v="26"/>
    <n v="10.469999999999999"/>
    <n v="1560"/>
    <n v="1570.47"/>
  </r>
  <r>
    <x v="16"/>
    <d v="2014-02-14T00:00:00"/>
    <n v="19.54"/>
    <n v="0.51"/>
    <n v="5"/>
    <n v="24"/>
    <n v="20.05"/>
    <n v="1200"/>
    <n v="1220.05"/>
  </r>
  <r>
    <x v="16"/>
    <d v="2014-02-04T00:00:00"/>
    <n v="10.93"/>
    <n v="0.28999999999999998"/>
    <n v="4"/>
    <n v="14"/>
    <n v="11.219999999999999"/>
    <n v="560"/>
    <n v="571.22"/>
  </r>
  <r>
    <x v="17"/>
    <d v="2014-01-29T00:00:00"/>
    <n v="6.43"/>
    <n v="0.17"/>
    <n v="5"/>
    <n v="7"/>
    <n v="6.6"/>
    <n v="350"/>
    <n v="356.6"/>
  </r>
  <r>
    <x v="17"/>
    <d v="2014-02-11T00:00:00"/>
    <n v="5.67"/>
    <n v="0.15"/>
    <n v="4"/>
    <n v="20"/>
    <n v="5.82"/>
    <n v="800"/>
    <n v="805.82"/>
  </r>
  <r>
    <x v="17"/>
    <d v="2014-02-12T00:00:00"/>
    <n v="14.13"/>
    <n v="0.37"/>
    <n v="5"/>
    <n v="21"/>
    <n v="14.5"/>
    <n v="1050"/>
    <n v="1064.5"/>
  </r>
  <r>
    <x v="17"/>
    <d v="2014-02-19T00:00:00"/>
    <n v="5.47"/>
    <n v="0.14000000000000001"/>
    <n v="3"/>
    <n v="28"/>
    <n v="5.6099999999999994"/>
    <n v="840"/>
    <n v="845.61"/>
  </r>
  <r>
    <x v="18"/>
    <d v="2014-02-16T00:00:00"/>
    <n v="8.39"/>
    <n v="0.22"/>
    <n v="2"/>
    <n v="24"/>
    <n v="8.6100000000000012"/>
    <n v="480"/>
    <n v="488.61"/>
  </r>
  <r>
    <x v="18"/>
    <d v="2014-02-18T00:00:00"/>
    <n v="3.79"/>
    <n v="0.1"/>
    <n v="3"/>
    <n v="26"/>
    <n v="3.89"/>
    <n v="780"/>
    <n v="783.89"/>
  </r>
  <r>
    <x v="18"/>
    <d v="2014-01-25T00:00:00"/>
    <n v="6.23"/>
    <n v="0.16"/>
    <n v="6"/>
    <n v="2"/>
    <n v="6.3900000000000006"/>
    <n v="120"/>
    <n v="126.39"/>
  </r>
  <r>
    <x v="19"/>
    <d v="2014-02-05T00:00:00"/>
    <n v="6.34"/>
    <n v="0.17"/>
    <n v="6"/>
    <n v="12"/>
    <n v="6.51"/>
    <n v="720"/>
    <n v="726.51"/>
  </r>
  <r>
    <x v="19"/>
    <d v="2014-02-14T00:00:00"/>
    <n v="3.57"/>
    <n v="0.09"/>
    <n v="6"/>
    <n v="21"/>
    <n v="3.6599999999999997"/>
    <n v="1260"/>
    <n v="1263.6600000000001"/>
  </r>
  <r>
    <x v="20"/>
    <d v="2014-02-11T00:00:00"/>
    <n v="4.66"/>
    <n v="0.12"/>
    <n v="4"/>
    <n v="17"/>
    <n v="4.78"/>
    <n v="680"/>
    <n v="684.78"/>
  </r>
  <r>
    <x v="21"/>
    <d v="2014-02-22T00:00:00"/>
    <n v="13.07"/>
    <n v="0.34"/>
    <n v="3"/>
    <n v="27"/>
    <n v="13.41"/>
    <n v="810"/>
    <n v="823.41"/>
  </r>
  <r>
    <x v="21"/>
    <d v="2014-02-21T00:00:00"/>
    <n v="13.81"/>
    <n v="0.36"/>
    <n v="5"/>
    <n v="26"/>
    <n v="14.17"/>
    <n v="1300"/>
    <n v="1314.17"/>
  </r>
  <r>
    <x v="21"/>
    <d v="2014-02-03T00:00:00"/>
    <n v="11.69"/>
    <n v="0.31"/>
    <n v="2"/>
    <n v="8"/>
    <n v="12"/>
    <n v="160"/>
    <n v="172"/>
  </r>
  <r>
    <x v="21"/>
    <d v="2014-02-13T00:00:00"/>
    <n v="8.84"/>
    <n v="0.23"/>
    <n v="4"/>
    <n v="18"/>
    <n v="9.07"/>
    <n v="720"/>
    <n v="729.07"/>
  </r>
  <r>
    <x v="21"/>
    <d v="2014-02-20T00:00:00"/>
    <n v="16.940000000000001"/>
    <n v="0.45"/>
    <n v="5"/>
    <n v="25"/>
    <n v="17.39"/>
    <n v="1250"/>
    <n v="1267.3900000000001"/>
  </r>
  <r>
    <x v="21"/>
    <d v="2014-01-30T00:00:00"/>
    <n v="13.82"/>
    <n v="0.36"/>
    <n v="4"/>
    <n v="4"/>
    <n v="14.18"/>
    <n v="160"/>
    <n v="174.18"/>
  </r>
  <r>
    <x v="21"/>
    <d v="2014-02-19T00:00:00"/>
    <n v="9.4600000000000009"/>
    <n v="0.25"/>
    <n v="6"/>
    <n v="24"/>
    <n v="9.7100000000000009"/>
    <n v="1440"/>
    <n v="1449.71"/>
  </r>
  <r>
    <x v="21"/>
    <d v="2014-02-14T00:00:00"/>
    <n v="8.89"/>
    <n v="0.23"/>
    <n v="6"/>
    <n v="19"/>
    <n v="9.120000000000001"/>
    <n v="1140"/>
    <n v="1149.1199999999999"/>
  </r>
  <r>
    <x v="21"/>
    <d v="2014-02-03T00:00:00"/>
    <n v="5.57"/>
    <n v="0.15"/>
    <n v="4"/>
    <n v="8"/>
    <n v="5.7200000000000006"/>
    <n v="320"/>
    <n v="325.72000000000003"/>
  </r>
  <r>
    <x v="21"/>
    <d v="2014-01-30T00:00:00"/>
    <n v="7.35"/>
    <n v="0.19"/>
    <n v="2"/>
    <n v="4"/>
    <n v="7.54"/>
    <n v="80"/>
    <n v="87.54"/>
  </r>
  <r>
    <x v="21"/>
    <d v="2014-02-11T00:00:00"/>
    <n v="12.23"/>
    <n v="0.32"/>
    <n v="4"/>
    <n v="16"/>
    <n v="12.55"/>
    <n v="640"/>
    <n v="652.54999999999995"/>
  </r>
  <r>
    <x v="21"/>
    <d v="2014-02-20T00:00:00"/>
    <n v="5.23"/>
    <n v="0.14000000000000001"/>
    <n v="6"/>
    <n v="25"/>
    <n v="5.37"/>
    <n v="1500"/>
    <n v="1505.37"/>
  </r>
  <r>
    <x v="22"/>
    <d v="2014-02-12T00:00:00"/>
    <n v="6.43"/>
    <n v="0.17"/>
    <n v="4"/>
    <n v="16"/>
    <n v="6.6"/>
    <n v="640"/>
    <n v="646.6"/>
  </r>
  <r>
    <x v="22"/>
    <d v="2014-01-29T00:00:00"/>
    <n v="11.44"/>
    <n v="0.3"/>
    <n v="5"/>
    <n v="2"/>
    <n v="11.74"/>
    <n v="100"/>
    <n v="111.74"/>
  </r>
  <r>
    <x v="22"/>
    <d v="2014-02-03T00:00:00"/>
    <n v="8.7200000000000006"/>
    <n v="0.23"/>
    <n v="5"/>
    <n v="7"/>
    <n v="8.9500000000000011"/>
    <n v="350"/>
    <n v="358.95"/>
  </r>
  <r>
    <x v="22"/>
    <d v="2014-02-15T00:00:00"/>
    <n v="10.199999999999999"/>
    <n v="0.27"/>
    <n v="4"/>
    <n v="19"/>
    <n v="10.469999999999999"/>
    <n v="760"/>
    <n v="770.47"/>
  </r>
  <r>
    <x v="22"/>
    <d v="2014-01-29T00:00:00"/>
    <n v="10.199999999999999"/>
    <n v="0.27"/>
    <n v="2"/>
    <n v="2"/>
    <n v="10.469999999999999"/>
    <n v="40"/>
    <n v="50.47"/>
  </r>
  <r>
    <x v="23"/>
    <d v="2014-02-23T00:00:00"/>
    <n v="4.66"/>
    <n v="0.12"/>
    <n v="3"/>
    <n v="26"/>
    <n v="4.78"/>
    <n v="780"/>
    <n v="784.78"/>
  </r>
  <r>
    <x v="23"/>
    <d v="2014-02-05T00:00:00"/>
    <n v="11.69"/>
    <n v="0.31"/>
    <n v="6"/>
    <n v="8"/>
    <n v="12"/>
    <n v="480"/>
    <n v="492"/>
  </r>
  <r>
    <x v="23"/>
    <d v="2014-02-03T00:00:00"/>
    <n v="6.88"/>
    <n v="0.18"/>
    <n v="3"/>
    <n v="6"/>
    <n v="7.06"/>
    <n v="180"/>
    <n v="187.06"/>
  </r>
  <r>
    <x v="24"/>
    <d v="2014-02-13T00:00:00"/>
    <n v="9.74"/>
    <n v="0.26"/>
    <n v="2"/>
    <n v="11"/>
    <n v="10"/>
    <n v="220"/>
    <n v="230"/>
  </r>
  <r>
    <x v="24"/>
    <d v="2014-02-11T00:00:00"/>
    <n v="9.06"/>
    <n v="0.24"/>
    <n v="2"/>
    <n v="9"/>
    <n v="9.3000000000000007"/>
    <n v="180"/>
    <n v="189.3"/>
  </r>
  <r>
    <x v="24"/>
    <d v="2014-02-24T00:00:00"/>
    <n v="14"/>
    <n v="0.37"/>
    <n v="2"/>
    <n v="22"/>
    <n v="14.37"/>
    <n v="440"/>
    <n v="454.37"/>
  </r>
  <r>
    <x v="25"/>
    <d v="2014-02-27T00:00:00"/>
    <n v="10.59"/>
    <n v="0.28000000000000003"/>
    <n v="3"/>
    <n v="24"/>
    <n v="10.87"/>
    <n v="720"/>
    <n v="730.87"/>
  </r>
  <r>
    <x v="25"/>
    <d v="2014-02-06T00:00:00"/>
    <n v="3.94"/>
    <n v="0.1"/>
    <n v="6"/>
    <n v="3"/>
    <n v="4.04"/>
    <n v="180"/>
    <n v="184.04"/>
  </r>
  <r>
    <x v="25"/>
    <d v="2014-02-20T00:00:00"/>
    <n v="4.66"/>
    <n v="0.12"/>
    <n v="3"/>
    <n v="17"/>
    <n v="4.78"/>
    <n v="510"/>
    <n v="514.78"/>
  </r>
  <r>
    <x v="25"/>
    <d v="2014-03-03T00:00:00"/>
    <n v="10.199999999999999"/>
    <n v="0.27"/>
    <n v="6"/>
    <n v="28"/>
    <n v="10.469999999999999"/>
    <n v="1680"/>
    <n v="1690.47"/>
  </r>
  <r>
    <x v="26"/>
    <d v="2014-02-12T00:00:00"/>
    <n v="12.23"/>
    <n v="0.32"/>
    <n v="5"/>
    <n v="5"/>
    <n v="12.55"/>
    <n v="250"/>
    <n v="262.55"/>
  </r>
  <r>
    <x v="26"/>
    <d v="2014-02-28T00:00:00"/>
    <n v="10.19"/>
    <n v="0.27"/>
    <n v="3"/>
    <n v="21"/>
    <n v="10.459999999999999"/>
    <n v="630"/>
    <n v="640.46"/>
  </r>
  <r>
    <x v="26"/>
    <d v="2014-03-03T00:00:00"/>
    <n v="12.01"/>
    <n v="0.32"/>
    <n v="6"/>
    <n v="24"/>
    <n v="12.33"/>
    <n v="1440"/>
    <n v="1452.33"/>
  </r>
  <r>
    <x v="26"/>
    <d v="2014-02-11T00:00:00"/>
    <n v="11.44"/>
    <n v="0.3"/>
    <n v="3"/>
    <n v="4"/>
    <n v="11.74"/>
    <n v="120"/>
    <n v="131.74"/>
  </r>
  <r>
    <x v="26"/>
    <d v="2014-03-02T00:00:00"/>
    <n v="6.23"/>
    <n v="0.16"/>
    <n v="3"/>
    <n v="23"/>
    <n v="6.3900000000000006"/>
    <n v="690"/>
    <n v="696.39"/>
  </r>
  <r>
    <x v="26"/>
    <d v="2014-02-16T00:00:00"/>
    <n v="12.01"/>
    <n v="0.32"/>
    <n v="5"/>
    <n v="9"/>
    <n v="12.33"/>
    <n v="450"/>
    <n v="462.33"/>
  </r>
  <r>
    <x v="26"/>
    <d v="2014-02-11T00:00:00"/>
    <n v="12.23"/>
    <n v="0.32"/>
    <n v="5"/>
    <n v="4"/>
    <n v="12.55"/>
    <n v="200"/>
    <n v="212.55"/>
  </r>
  <r>
    <x v="26"/>
    <d v="2014-02-25T00:00:00"/>
    <n v="12.01"/>
    <n v="0.32"/>
    <n v="5"/>
    <n v="18"/>
    <n v="12.33"/>
    <n v="900"/>
    <n v="912.33"/>
  </r>
  <r>
    <x v="26"/>
    <d v="2014-02-22T00:00:00"/>
    <n v="5.67"/>
    <n v="0.15"/>
    <n v="4"/>
    <n v="15"/>
    <n v="5.82"/>
    <n v="600"/>
    <n v="605.82000000000005"/>
  </r>
  <r>
    <x v="26"/>
    <d v="2014-03-04T00:00:00"/>
    <n v="6.88"/>
    <n v="0.18"/>
    <n v="5"/>
    <n v="25"/>
    <n v="7.06"/>
    <n v="1250"/>
    <n v="1257.06"/>
  </r>
  <r>
    <x v="26"/>
    <d v="2014-03-07T00:00:00"/>
    <n v="2.72"/>
    <n v="7.0000000000000007E-2"/>
    <n v="6"/>
    <n v="28"/>
    <n v="2.79"/>
    <n v="1680"/>
    <n v="1682.79"/>
  </r>
  <r>
    <x v="26"/>
    <d v="2014-02-16T00:00:00"/>
    <n v="9.74"/>
    <n v="0.26"/>
    <n v="6"/>
    <n v="9"/>
    <n v="10"/>
    <n v="540"/>
    <n v="550"/>
  </r>
  <r>
    <x v="26"/>
    <d v="2014-02-21T00:00:00"/>
    <n v="7.31"/>
    <n v="0.19"/>
    <n v="3"/>
    <n v="14"/>
    <n v="7.5"/>
    <n v="420"/>
    <n v="427.5"/>
  </r>
  <r>
    <x v="26"/>
    <d v="2014-03-06T00:00:00"/>
    <n v="8.84"/>
    <n v="0.23"/>
    <n v="6"/>
    <n v="27"/>
    <n v="9.07"/>
    <n v="1620"/>
    <n v="1629.07"/>
  </r>
  <r>
    <x v="26"/>
    <d v="2014-02-20T00:00:00"/>
    <n v="13.07"/>
    <n v="0.34"/>
    <n v="2"/>
    <n v="13"/>
    <n v="13.41"/>
    <n v="260"/>
    <n v="273.41000000000003"/>
  </r>
  <r>
    <x v="26"/>
    <d v="2014-02-20T00:00:00"/>
    <n v="11.42"/>
    <n v="0.3"/>
    <n v="6"/>
    <n v="13"/>
    <n v="11.72"/>
    <n v="780"/>
    <n v="791.72"/>
  </r>
  <r>
    <x v="26"/>
    <d v="2014-03-06T00:00:00"/>
    <n v="3.79"/>
    <n v="0.1"/>
    <n v="3"/>
    <n v="27"/>
    <n v="3.89"/>
    <n v="810"/>
    <n v="813.89"/>
  </r>
  <r>
    <x v="26"/>
    <d v="2014-02-12T00:00:00"/>
    <n v="11.42"/>
    <n v="0.3"/>
    <n v="6"/>
    <n v="5"/>
    <n v="11.72"/>
    <n v="300"/>
    <n v="311.72000000000003"/>
  </r>
  <r>
    <x v="26"/>
    <d v="2014-02-10T00:00:00"/>
    <n v="8.83"/>
    <n v="0.23"/>
    <n v="4"/>
    <n v="3"/>
    <n v="9.06"/>
    <n v="120"/>
    <n v="129.06"/>
  </r>
  <r>
    <x v="26"/>
    <d v="2014-02-20T00:00:00"/>
    <n v="8.51"/>
    <n v="0.22"/>
    <n v="5"/>
    <n v="13"/>
    <n v="8.73"/>
    <n v="650"/>
    <n v="658.73"/>
  </r>
  <r>
    <x v="26"/>
    <d v="2014-02-24T00:00:00"/>
    <n v="7.3"/>
    <n v="0.19"/>
    <n v="5"/>
    <n v="17"/>
    <n v="7.49"/>
    <n v="850"/>
    <n v="857.49"/>
  </r>
  <r>
    <x v="27"/>
    <d v="2014-02-22T00:00:00"/>
    <n v="5.67"/>
    <n v="0.15"/>
    <n v="4"/>
    <n v="12"/>
    <n v="5.82"/>
    <n v="480"/>
    <n v="485.82"/>
  </r>
  <r>
    <x v="27"/>
    <d v="2014-02-20T00:00:00"/>
    <n v="6.58"/>
    <n v="0.17"/>
    <n v="3"/>
    <n v="10"/>
    <n v="6.75"/>
    <n v="300"/>
    <n v="306.75"/>
  </r>
  <r>
    <x v="27"/>
    <d v="2014-03-01T00:00:00"/>
    <n v="4.25"/>
    <n v="0.11"/>
    <n v="3"/>
    <n v="19"/>
    <n v="4.3600000000000003"/>
    <n v="570"/>
    <n v="574.36"/>
  </r>
  <r>
    <x v="28"/>
    <d v="2014-02-24T00:00:00"/>
    <n v="6.58"/>
    <n v="0.17"/>
    <n v="6"/>
    <n v="12"/>
    <n v="6.75"/>
    <n v="720"/>
    <n v="726.75"/>
  </r>
  <r>
    <x v="29"/>
    <d v="2014-03-06T00:00:00"/>
    <n v="5.78"/>
    <n v="0.15"/>
    <n v="2"/>
    <n v="20"/>
    <n v="5.9300000000000006"/>
    <n v="400"/>
    <n v="405.93"/>
  </r>
  <r>
    <x v="29"/>
    <d v="2014-02-23T00:00:00"/>
    <n v="10.199999999999999"/>
    <n v="0.27"/>
    <n v="5"/>
    <n v="9"/>
    <n v="10.469999999999999"/>
    <n v="450"/>
    <n v="460.47"/>
  </r>
  <r>
    <x v="29"/>
    <d v="2014-02-22T00:00:00"/>
    <n v="2.72"/>
    <n v="7.0000000000000007E-2"/>
    <n v="6"/>
    <n v="8"/>
    <n v="2.79"/>
    <n v="480"/>
    <n v="482.79"/>
  </r>
  <r>
    <x v="29"/>
    <d v="2014-03-09T00:00:00"/>
    <n v="11.44"/>
    <n v="0.3"/>
    <n v="6"/>
    <n v="23"/>
    <n v="11.74"/>
    <n v="1380"/>
    <n v="1391.74"/>
  </r>
  <r>
    <x v="29"/>
    <d v="2014-03-14T00:00:00"/>
    <n v="13.07"/>
    <n v="0.34"/>
    <n v="6"/>
    <n v="28"/>
    <n v="13.41"/>
    <n v="1680"/>
    <n v="1693.41"/>
  </r>
  <r>
    <x v="29"/>
    <d v="2014-03-14T00:00:00"/>
    <n v="7.35"/>
    <n v="0.19"/>
    <n v="4"/>
    <n v="28"/>
    <n v="7.54"/>
    <n v="1120"/>
    <n v="1127.54"/>
  </r>
  <r>
    <x v="30"/>
    <d v="2014-03-14T00:00:00"/>
    <n v="6.88"/>
    <n v="0.18"/>
    <n v="3"/>
    <n v="27"/>
    <n v="7.06"/>
    <n v="810"/>
    <n v="817.06"/>
  </r>
  <r>
    <x v="30"/>
    <d v="2014-03-10T00:00:00"/>
    <n v="9.06"/>
    <n v="0.24"/>
    <n v="2"/>
    <n v="23"/>
    <n v="9.3000000000000007"/>
    <n v="460"/>
    <n v="469.3"/>
  </r>
  <r>
    <x v="31"/>
    <d v="2014-03-10T00:00:00"/>
    <n v="16.55"/>
    <n v="0.44"/>
    <n v="2"/>
    <n v="19"/>
    <n v="16.990000000000002"/>
    <n v="380"/>
    <n v="396.99"/>
  </r>
  <r>
    <x v="31"/>
    <d v="2014-03-10T00:00:00"/>
    <n v="8.83"/>
    <n v="0.23"/>
    <n v="3"/>
    <n v="19"/>
    <n v="9.06"/>
    <n v="570"/>
    <n v="579.05999999999995"/>
  </r>
  <r>
    <x v="31"/>
    <d v="2014-02-26T00:00:00"/>
    <n v="7.31"/>
    <n v="0.19"/>
    <n v="2"/>
    <n v="7"/>
    <n v="7.5"/>
    <n v="140"/>
    <n v="147.5"/>
  </r>
  <r>
    <x v="31"/>
    <d v="2014-03-17T00:00:00"/>
    <n v="14.31"/>
    <n v="0.38"/>
    <n v="5"/>
    <n v="26"/>
    <n v="14.690000000000001"/>
    <n v="1300"/>
    <n v="1314.69"/>
  </r>
  <r>
    <x v="31"/>
    <d v="2014-02-21T00:00:00"/>
    <n v="11.42"/>
    <n v="0.3"/>
    <n v="5"/>
    <n v="2"/>
    <n v="11.72"/>
    <n v="100"/>
    <n v="111.72"/>
  </r>
  <r>
    <x v="31"/>
    <d v="2014-03-02T00:00:00"/>
    <n v="8.5399999999999991"/>
    <n v="0.22"/>
    <n v="3"/>
    <n v="11"/>
    <n v="8.76"/>
    <n v="330"/>
    <n v="338.76"/>
  </r>
  <r>
    <x v="31"/>
    <d v="2014-03-19T00:00:00"/>
    <n v="5.57"/>
    <n v="0.15"/>
    <n v="4"/>
    <n v="28"/>
    <n v="5.7200000000000006"/>
    <n v="1120"/>
    <n v="1125.72"/>
  </r>
  <r>
    <x v="31"/>
    <d v="2014-03-19T00:00:00"/>
    <n v="7.55"/>
    <n v="0.2"/>
    <n v="4"/>
    <n v="28"/>
    <n v="7.75"/>
    <n v="1120"/>
    <n v="1127.75"/>
  </r>
  <r>
    <x v="31"/>
    <d v="2014-03-09T00:00:00"/>
    <n v="10.79"/>
    <n v="0.28000000000000003"/>
    <n v="6"/>
    <n v="18"/>
    <n v="11.069999999999999"/>
    <n v="1080"/>
    <n v="1091.07"/>
  </r>
  <r>
    <x v="31"/>
    <d v="2014-03-08T00:00:00"/>
    <n v="8.39"/>
    <n v="0.22"/>
    <n v="2"/>
    <n v="17"/>
    <n v="8.6100000000000012"/>
    <n v="340"/>
    <n v="348.61"/>
  </r>
  <r>
    <x v="31"/>
    <d v="2014-03-13T00:00:00"/>
    <n v="9.06"/>
    <n v="0.24"/>
    <n v="6"/>
    <n v="22"/>
    <n v="9.3000000000000007"/>
    <n v="1320"/>
    <n v="1329.3"/>
  </r>
  <r>
    <x v="31"/>
    <d v="2014-03-02T00:00:00"/>
    <n v="16.940000000000001"/>
    <n v="0.45"/>
    <n v="3"/>
    <n v="11"/>
    <n v="17.39"/>
    <n v="330"/>
    <n v="347.39"/>
  </r>
  <r>
    <x v="31"/>
    <d v="2014-03-10T00:00:00"/>
    <n v="11.37"/>
    <n v="0.3"/>
    <n v="4"/>
    <n v="19"/>
    <n v="11.67"/>
    <n v="760"/>
    <n v="771.67"/>
  </r>
  <r>
    <x v="31"/>
    <d v="2014-03-01T00:00:00"/>
    <n v="4.25"/>
    <n v="0.11"/>
    <n v="5"/>
    <n v="10"/>
    <n v="4.3600000000000003"/>
    <n v="500"/>
    <n v="504.36"/>
  </r>
  <r>
    <x v="31"/>
    <d v="2014-03-12T00:00:00"/>
    <n v="11.42"/>
    <n v="0.3"/>
    <n v="4"/>
    <n v="21"/>
    <n v="11.72"/>
    <n v="840"/>
    <n v="851.72"/>
  </r>
  <r>
    <x v="31"/>
    <d v="2014-03-13T00:00:00"/>
    <n v="3.79"/>
    <n v="0.1"/>
    <n v="3"/>
    <n v="22"/>
    <n v="3.89"/>
    <n v="660"/>
    <n v="663.89"/>
  </r>
  <r>
    <x v="31"/>
    <d v="2014-03-14T00:00:00"/>
    <n v="10.59"/>
    <n v="0.28000000000000003"/>
    <n v="4"/>
    <n v="23"/>
    <n v="10.87"/>
    <n v="920"/>
    <n v="930.87"/>
  </r>
  <r>
    <x v="31"/>
    <d v="2014-03-07T00:00:00"/>
    <n v="8.9499999999999993"/>
    <n v="0.24"/>
    <n v="2"/>
    <n v="16"/>
    <n v="9.19"/>
    <n v="320"/>
    <n v="329.19"/>
  </r>
  <r>
    <x v="31"/>
    <d v="2014-02-23T00:00:00"/>
    <n v="4.66"/>
    <n v="0.12"/>
    <n v="5"/>
    <n v="4"/>
    <n v="4.78"/>
    <n v="200"/>
    <n v="204.78"/>
  </r>
  <r>
    <x v="31"/>
    <d v="2014-03-09T00:00:00"/>
    <n v="6.88"/>
    <n v="0.18"/>
    <n v="5"/>
    <n v="18"/>
    <n v="7.06"/>
    <n v="900"/>
    <n v="907.06"/>
  </r>
  <r>
    <x v="32"/>
    <d v="2014-03-08T00:00:00"/>
    <n v="8.7200000000000006"/>
    <n v="0.23"/>
    <n v="4"/>
    <n v="14"/>
    <n v="8.9500000000000011"/>
    <n v="560"/>
    <n v="568.95000000000005"/>
  </r>
  <r>
    <x v="33"/>
    <d v="2014-02-28T00:00:00"/>
    <n v="12.23"/>
    <n v="0.32"/>
    <n v="2"/>
    <n v="2"/>
    <n v="12.55"/>
    <n v="40"/>
    <n v="52.55"/>
  </r>
  <r>
    <x v="33"/>
    <d v="2014-03-10T00:00:00"/>
    <n v="10.199999999999999"/>
    <n v="0.27"/>
    <n v="4"/>
    <n v="12"/>
    <n v="10.469999999999999"/>
    <n v="480"/>
    <n v="490.47"/>
  </r>
  <r>
    <x v="33"/>
    <d v="2014-03-05T00:00:00"/>
    <n v="7.06"/>
    <n v="0.19"/>
    <n v="5"/>
    <n v="7"/>
    <n v="7.25"/>
    <n v="350"/>
    <n v="357.25"/>
  </r>
  <r>
    <x v="33"/>
    <d v="2014-03-18T00:00:00"/>
    <n v="5.64"/>
    <n v="0.15"/>
    <n v="6"/>
    <n v="20"/>
    <n v="5.79"/>
    <n v="1200"/>
    <n v="1205.79"/>
  </r>
  <r>
    <x v="33"/>
    <d v="2014-03-23T00:00:00"/>
    <n v="9.06"/>
    <n v="0.24"/>
    <n v="4"/>
    <n v="25"/>
    <n v="9.3000000000000007"/>
    <n v="1000"/>
    <n v="1009.3"/>
  </r>
  <r>
    <x v="33"/>
    <d v="2014-03-19T00:00:00"/>
    <n v="6.23"/>
    <n v="0.16"/>
    <n v="2"/>
    <n v="21"/>
    <n v="6.3900000000000006"/>
    <n v="420"/>
    <n v="426.39"/>
  </r>
  <r>
    <x v="34"/>
    <d v="2014-03-23T00:00:00"/>
    <n v="3.57"/>
    <n v="0.09"/>
    <n v="4"/>
    <n v="23"/>
    <n v="3.6599999999999997"/>
    <n v="920"/>
    <n v="923.66"/>
  </r>
  <r>
    <x v="35"/>
    <d v="2014-03-16T00:00:00"/>
    <n v="8.89"/>
    <n v="0.23"/>
    <n v="3"/>
    <n v="13"/>
    <n v="9.120000000000001"/>
    <n v="390"/>
    <n v="399.12"/>
  </r>
  <r>
    <x v="35"/>
    <d v="2014-03-28T00:00:00"/>
    <n v="6.34"/>
    <n v="0.17"/>
    <n v="5"/>
    <n v="25"/>
    <n v="6.51"/>
    <n v="1250"/>
    <n v="1256.51"/>
  </r>
  <r>
    <x v="35"/>
    <d v="2014-03-19T00:00:00"/>
    <n v="11.69"/>
    <n v="0.31"/>
    <n v="6"/>
    <n v="16"/>
    <n v="12"/>
    <n v="960"/>
    <n v="972"/>
  </r>
  <r>
    <x v="35"/>
    <d v="2014-03-14T00:00:00"/>
    <n v="3.79"/>
    <n v="0.1"/>
    <n v="4"/>
    <n v="11"/>
    <n v="3.89"/>
    <n v="440"/>
    <n v="443.89"/>
  </r>
  <r>
    <x v="35"/>
    <d v="2014-03-28T00:00:00"/>
    <n v="9.1300000000000008"/>
    <n v="0.24"/>
    <n v="2"/>
    <n v="25"/>
    <n v="9.370000000000001"/>
    <n v="500"/>
    <n v="509.37"/>
  </r>
  <r>
    <x v="35"/>
    <d v="2014-03-24T00:00:00"/>
    <n v="5.78"/>
    <n v="0.15"/>
    <n v="6"/>
    <n v="21"/>
    <n v="5.9300000000000006"/>
    <n v="1260"/>
    <n v="1265.93"/>
  </r>
  <r>
    <x v="35"/>
    <d v="2014-03-21T00:00:00"/>
    <n v="7.06"/>
    <n v="0.19"/>
    <n v="6"/>
    <n v="18"/>
    <n v="7.25"/>
    <n v="1080"/>
    <n v="1087.25"/>
  </r>
  <r>
    <x v="35"/>
    <d v="2014-03-14T00:00:00"/>
    <n v="7.31"/>
    <n v="0.19"/>
    <n v="4"/>
    <n v="11"/>
    <n v="7.5"/>
    <n v="440"/>
    <n v="447.5"/>
  </r>
  <r>
    <x v="35"/>
    <d v="2014-03-13T00:00:00"/>
    <n v="8.9499999999999993"/>
    <n v="0.24"/>
    <n v="4"/>
    <n v="10"/>
    <n v="9.19"/>
    <n v="400"/>
    <n v="409.19"/>
  </r>
  <r>
    <x v="35"/>
    <d v="2014-03-21T00:00:00"/>
    <n v="2.0099999999999998"/>
    <n v="0.05"/>
    <n v="5"/>
    <n v="18"/>
    <n v="2.0599999999999996"/>
    <n v="900"/>
    <n v="902.06"/>
  </r>
  <r>
    <x v="35"/>
    <d v="2014-03-07T00:00:00"/>
    <n v="19.54"/>
    <n v="0.51"/>
    <n v="3"/>
    <n v="4"/>
    <n v="20.05"/>
    <n v="120"/>
    <n v="140.05000000000001"/>
  </r>
  <r>
    <x v="35"/>
    <d v="2014-03-20T00:00:00"/>
    <n v="13.02"/>
    <n v="0.34"/>
    <n v="5"/>
    <n v="17"/>
    <n v="13.36"/>
    <n v="850"/>
    <n v="863.36"/>
  </r>
  <r>
    <x v="35"/>
    <d v="2014-03-22T00:00:00"/>
    <n v="11.69"/>
    <n v="0.31"/>
    <n v="6"/>
    <n v="19"/>
    <n v="12"/>
    <n v="1140"/>
    <n v="1152"/>
  </r>
  <r>
    <x v="35"/>
    <d v="2014-03-31T00:00:00"/>
    <n v="13.02"/>
    <n v="0.34"/>
    <n v="2"/>
    <n v="28"/>
    <n v="13.36"/>
    <n v="560"/>
    <n v="573.36"/>
  </r>
  <r>
    <x v="35"/>
    <d v="2014-03-15T00:00:00"/>
    <n v="3.57"/>
    <n v="0.09"/>
    <n v="3"/>
    <n v="12"/>
    <n v="3.6599999999999997"/>
    <n v="360"/>
    <n v="363.66"/>
  </r>
  <r>
    <x v="35"/>
    <d v="2014-03-10T00:00:00"/>
    <n v="7.06"/>
    <n v="0.19"/>
    <n v="3"/>
    <n v="7"/>
    <n v="7.25"/>
    <n v="210"/>
    <n v="217.25"/>
  </r>
  <r>
    <x v="36"/>
    <d v="2014-03-19T00:00:00"/>
    <n v="6.34"/>
    <n v="0.17"/>
    <n v="3"/>
    <n v="13"/>
    <n v="6.51"/>
    <n v="390"/>
    <n v="396.51"/>
  </r>
  <r>
    <x v="36"/>
    <d v="2014-03-20T00:00:00"/>
    <n v="2.72"/>
    <n v="7.0000000000000007E-2"/>
    <n v="2"/>
    <n v="14"/>
    <n v="2.79"/>
    <n v="280"/>
    <n v="282.79000000000002"/>
  </r>
  <r>
    <x v="37"/>
    <d v="2014-03-12T00:00:00"/>
    <n v="3.73"/>
    <n v="0.1"/>
    <n v="5"/>
    <n v="5"/>
    <n v="3.83"/>
    <n v="250"/>
    <n v="253.83"/>
  </r>
  <r>
    <x v="38"/>
    <d v="2014-03-21T00:00:00"/>
    <n v="10.59"/>
    <n v="0.28000000000000003"/>
    <n v="6"/>
    <n v="12"/>
    <n v="10.87"/>
    <n v="720"/>
    <n v="730.87"/>
  </r>
  <r>
    <x v="39"/>
    <d v="2014-04-04T00:00:00"/>
    <n v="3.73"/>
    <n v="0.1"/>
    <n v="5"/>
    <n v="25"/>
    <n v="3.83"/>
    <n v="1250"/>
    <n v="1253.83"/>
  </r>
  <r>
    <x v="39"/>
    <d v="2014-03-22T00:00:00"/>
    <n v="5.78"/>
    <n v="0.15"/>
    <n v="2"/>
    <n v="12"/>
    <n v="5.9300000000000006"/>
    <n v="240"/>
    <n v="245.93"/>
  </r>
  <r>
    <x v="39"/>
    <d v="2014-03-22T00:00:00"/>
    <n v="10.79"/>
    <n v="0.28000000000000003"/>
    <n v="2"/>
    <n v="12"/>
    <n v="11.069999999999999"/>
    <n v="240"/>
    <n v="251.07"/>
  </r>
  <r>
    <x v="39"/>
    <d v="2014-03-28T00:00:00"/>
    <n v="5.47"/>
    <n v="0.14000000000000001"/>
    <n v="4"/>
    <n v="18"/>
    <n v="5.6099999999999994"/>
    <n v="720"/>
    <n v="725.61"/>
  </r>
  <r>
    <x v="39"/>
    <d v="2014-03-22T00:00:00"/>
    <n v="5.57"/>
    <n v="0.15"/>
    <n v="2"/>
    <n v="12"/>
    <n v="5.7200000000000006"/>
    <n v="240"/>
    <n v="245.72"/>
  </r>
  <r>
    <x v="40"/>
    <d v="2014-04-07T00:00:00"/>
    <n v="4.66"/>
    <n v="0.12"/>
    <n v="5"/>
    <n v="27"/>
    <n v="4.78"/>
    <n v="1350"/>
    <n v="1354.78"/>
  </r>
  <r>
    <x v="40"/>
    <d v="2014-04-02T00:00:00"/>
    <n v="8.9499999999999993"/>
    <n v="0.24"/>
    <n v="4"/>
    <n v="22"/>
    <n v="9.19"/>
    <n v="880"/>
    <n v="889.19"/>
  </r>
  <r>
    <x v="41"/>
    <d v="2014-03-21T00:00:00"/>
    <n v="3.94"/>
    <n v="0.1"/>
    <n v="3"/>
    <n v="9"/>
    <n v="4.04"/>
    <n v="270"/>
    <n v="274.04000000000002"/>
  </r>
  <r>
    <x v="42"/>
    <d v="2014-03-26T00:00:00"/>
    <n v="5.78"/>
    <n v="0.15"/>
    <n v="6"/>
    <n v="11"/>
    <n v="5.9300000000000006"/>
    <n v="660"/>
    <n v="665.93"/>
  </r>
  <r>
    <x v="42"/>
    <d v="2014-04-06T00:00:00"/>
    <n v="13.81"/>
    <n v="0.36"/>
    <n v="2"/>
    <n v="22"/>
    <n v="14.17"/>
    <n v="440"/>
    <n v="454.17"/>
  </r>
  <r>
    <x v="42"/>
    <d v="2014-04-10T00:00:00"/>
    <n v="5.23"/>
    <n v="0.14000000000000001"/>
    <n v="6"/>
    <n v="26"/>
    <n v="5.37"/>
    <n v="1560"/>
    <n v="1565.37"/>
  </r>
  <r>
    <x v="42"/>
    <d v="2014-03-30T00:00:00"/>
    <n v="10.93"/>
    <n v="0.28999999999999998"/>
    <n v="6"/>
    <n v="15"/>
    <n v="11.219999999999999"/>
    <n v="900"/>
    <n v="911.22"/>
  </r>
  <r>
    <x v="42"/>
    <d v="2014-04-02T00:00:00"/>
    <n v="8.9499999999999993"/>
    <n v="0.24"/>
    <n v="4"/>
    <n v="18"/>
    <n v="9.19"/>
    <n v="720"/>
    <n v="729.19"/>
  </r>
  <r>
    <x v="42"/>
    <d v="2014-04-02T00:00:00"/>
    <n v="16.829999999999998"/>
    <n v="0.44"/>
    <n v="3"/>
    <n v="18"/>
    <n v="17.27"/>
    <n v="540"/>
    <n v="557.27"/>
  </r>
  <r>
    <x v="42"/>
    <d v="2014-03-20T00:00:00"/>
    <n v="14"/>
    <n v="0.37"/>
    <n v="2"/>
    <n v="5"/>
    <n v="14.37"/>
    <n v="100"/>
    <n v="114.37"/>
  </r>
  <r>
    <x v="42"/>
    <d v="2014-04-06T00:00:00"/>
    <n v="5.23"/>
    <n v="0.14000000000000001"/>
    <n v="6"/>
    <n v="22"/>
    <n v="5.37"/>
    <n v="1320"/>
    <n v="1325.37"/>
  </r>
  <r>
    <x v="42"/>
    <d v="2014-03-26T00:00:00"/>
    <n v="16.55"/>
    <n v="0.44"/>
    <n v="6"/>
    <n v="11"/>
    <n v="16.990000000000002"/>
    <n v="660"/>
    <n v="676.99"/>
  </r>
  <r>
    <x v="42"/>
    <d v="2014-03-26T00:00:00"/>
    <n v="12.23"/>
    <n v="0.32"/>
    <n v="3"/>
    <n v="11"/>
    <n v="12.55"/>
    <n v="330"/>
    <n v="342.55"/>
  </r>
  <r>
    <x v="42"/>
    <d v="2014-03-22T00:00:00"/>
    <n v="8.39"/>
    <n v="0.22"/>
    <n v="2"/>
    <n v="7"/>
    <n v="8.6100000000000012"/>
    <n v="140"/>
    <n v="148.61000000000001"/>
  </r>
  <r>
    <x v="42"/>
    <d v="2014-03-23T00:00:00"/>
    <n v="5.67"/>
    <n v="0.15"/>
    <n v="5"/>
    <n v="8"/>
    <n v="5.82"/>
    <n v="400"/>
    <n v="405.82"/>
  </r>
  <r>
    <x v="42"/>
    <d v="2014-03-21T00:00:00"/>
    <n v="14.13"/>
    <n v="0.37"/>
    <n v="4"/>
    <n v="6"/>
    <n v="14.5"/>
    <n v="240"/>
    <n v="254.5"/>
  </r>
  <r>
    <x v="42"/>
    <d v="2014-03-25T00:00:00"/>
    <n v="11.69"/>
    <n v="0.31"/>
    <n v="4"/>
    <n v="10"/>
    <n v="12"/>
    <n v="400"/>
    <n v="412"/>
  </r>
  <r>
    <x v="42"/>
    <d v="2014-03-30T00:00:00"/>
    <n v="16.940000000000001"/>
    <n v="0.45"/>
    <n v="2"/>
    <n v="15"/>
    <n v="17.39"/>
    <n v="300"/>
    <n v="317.39"/>
  </r>
  <r>
    <x v="42"/>
    <d v="2014-04-04T00:00:00"/>
    <n v="14"/>
    <n v="0.37"/>
    <n v="4"/>
    <n v="20"/>
    <n v="14.37"/>
    <n v="800"/>
    <n v="814.37"/>
  </r>
  <r>
    <x v="43"/>
    <d v="2014-04-14T00:00:00"/>
    <n v="8.84"/>
    <n v="0.23"/>
    <n v="2"/>
    <n v="28"/>
    <n v="9.07"/>
    <n v="560"/>
    <n v="569.07000000000005"/>
  </r>
  <r>
    <x v="43"/>
    <d v="2014-04-05T00:00:00"/>
    <n v="6.75"/>
    <n v="0.18"/>
    <n v="4"/>
    <n v="19"/>
    <n v="6.93"/>
    <n v="760"/>
    <n v="766.93"/>
  </r>
  <r>
    <x v="43"/>
    <d v="2014-03-30T00:00:00"/>
    <n v="6.23"/>
    <n v="0.16"/>
    <n v="5"/>
    <n v="13"/>
    <n v="6.3900000000000006"/>
    <n v="650"/>
    <n v="656.39"/>
  </r>
  <r>
    <x v="43"/>
    <d v="2014-04-12T00:00:00"/>
    <n v="8.7200000000000006"/>
    <n v="0.23"/>
    <n v="6"/>
    <n v="26"/>
    <n v="8.9500000000000011"/>
    <n v="1560"/>
    <n v="1568.95"/>
  </r>
  <r>
    <x v="44"/>
    <d v="2014-03-21T00:00:00"/>
    <n v="6.34"/>
    <n v="0.17"/>
    <n v="5"/>
    <n v="3"/>
    <n v="6.51"/>
    <n v="150"/>
    <n v="156.51"/>
  </r>
  <r>
    <x v="44"/>
    <d v="2014-04-05T00:00:00"/>
    <n v="2.29"/>
    <n v="0.06"/>
    <n v="4"/>
    <n v="18"/>
    <n v="2.35"/>
    <n v="720"/>
    <n v="722.35"/>
  </r>
  <r>
    <x v="44"/>
    <d v="2014-04-05T00:00:00"/>
    <n v="4.25"/>
    <n v="0.11"/>
    <n v="4"/>
    <n v="18"/>
    <n v="4.3600000000000003"/>
    <n v="720"/>
    <n v="724.36"/>
  </r>
  <r>
    <x v="45"/>
    <d v="2014-04-13T00:00:00"/>
    <n v="16.55"/>
    <n v="0.44"/>
    <n v="5"/>
    <n v="23"/>
    <n v="16.990000000000002"/>
    <n v="1150"/>
    <n v="1166.99"/>
  </r>
  <r>
    <x v="45"/>
    <d v="2014-04-16T00:00:00"/>
    <n v="7.55"/>
    <n v="0.2"/>
    <n v="3"/>
    <n v="26"/>
    <n v="7.75"/>
    <n v="780"/>
    <n v="787.75"/>
  </r>
  <r>
    <x v="45"/>
    <d v="2014-04-02T00:00:00"/>
    <n v="16.55"/>
    <n v="0.44"/>
    <n v="5"/>
    <n v="12"/>
    <n v="16.990000000000002"/>
    <n v="600"/>
    <n v="616.99"/>
  </r>
  <r>
    <x v="45"/>
    <d v="2014-04-10T00:00:00"/>
    <n v="3.79"/>
    <n v="0.1"/>
    <n v="3"/>
    <n v="20"/>
    <n v="3.89"/>
    <n v="600"/>
    <n v="603.89"/>
  </r>
  <r>
    <x v="45"/>
    <d v="2014-03-27T00:00:00"/>
    <n v="8.51"/>
    <n v="0.22"/>
    <n v="6"/>
    <n v="6"/>
    <n v="8.73"/>
    <n v="360"/>
    <n v="368.73"/>
  </r>
  <r>
    <x v="45"/>
    <d v="2014-03-26T00:00:00"/>
    <n v="7.71"/>
    <n v="0.2"/>
    <n v="2"/>
    <n v="5"/>
    <n v="7.91"/>
    <n v="100"/>
    <n v="107.91"/>
  </r>
  <r>
    <x v="46"/>
    <d v="2014-04-13T00:00:00"/>
    <n v="3.79"/>
    <n v="0.1"/>
    <n v="2"/>
    <n v="17"/>
    <n v="3.89"/>
    <n v="340"/>
    <n v="343.89"/>
  </r>
  <r>
    <x v="46"/>
    <d v="2014-04-18T00:00:00"/>
    <n v="16.55"/>
    <n v="0.44"/>
    <n v="4"/>
    <n v="22"/>
    <n v="16.990000000000002"/>
    <n v="880"/>
    <n v="896.99"/>
  </r>
  <r>
    <x v="46"/>
    <d v="2014-03-30T00:00:00"/>
    <n v="10.19"/>
    <n v="0.27"/>
    <n v="5"/>
    <n v="3"/>
    <n v="10.459999999999999"/>
    <n v="150"/>
    <n v="160.46"/>
  </r>
  <r>
    <x v="46"/>
    <d v="2014-04-02T00:00:00"/>
    <n v="8.39"/>
    <n v="0.22"/>
    <n v="5"/>
    <n v="6"/>
    <n v="8.6100000000000012"/>
    <n v="300"/>
    <n v="308.61"/>
  </r>
  <r>
    <x v="46"/>
    <d v="2014-04-23T00:00:00"/>
    <n v="8.89"/>
    <n v="0.23"/>
    <n v="2"/>
    <n v="27"/>
    <n v="9.120000000000001"/>
    <n v="540"/>
    <n v="549.12"/>
  </r>
  <r>
    <x v="46"/>
    <d v="2014-04-19T00:00:00"/>
    <n v="7.35"/>
    <n v="0.19"/>
    <n v="2"/>
    <n v="23"/>
    <n v="7.54"/>
    <n v="460"/>
    <n v="467.54"/>
  </r>
  <r>
    <x v="47"/>
    <d v="2014-04-11T00:00:00"/>
    <n v="6.88"/>
    <n v="0.18"/>
    <n v="4"/>
    <n v="9"/>
    <n v="7.06"/>
    <n v="360"/>
    <n v="367.06"/>
  </r>
  <r>
    <x v="47"/>
    <d v="2014-04-11T00:00:00"/>
    <n v="13.02"/>
    <n v="0.34"/>
    <n v="3"/>
    <n v="9"/>
    <n v="13.36"/>
    <n v="270"/>
    <n v="283.36"/>
  </r>
  <r>
    <x v="47"/>
    <d v="2014-04-21T00:00:00"/>
    <n v="10.59"/>
    <n v="0.28000000000000003"/>
    <n v="3"/>
    <n v="19"/>
    <n v="10.87"/>
    <n v="570"/>
    <n v="580.87"/>
  </r>
  <r>
    <x v="47"/>
    <d v="2014-04-22T00:00:00"/>
    <n v="16.940000000000001"/>
    <n v="0.45"/>
    <n v="4"/>
    <n v="20"/>
    <n v="17.39"/>
    <n v="800"/>
    <n v="817.39"/>
  </r>
  <r>
    <x v="47"/>
    <d v="2014-04-19T00:00:00"/>
    <n v="11.44"/>
    <n v="0.3"/>
    <n v="4"/>
    <n v="17"/>
    <n v="11.74"/>
    <n v="680"/>
    <n v="691.74"/>
  </r>
  <r>
    <x v="47"/>
    <d v="2014-04-04T00:00:00"/>
    <n v="3.79"/>
    <n v="0.1"/>
    <n v="4"/>
    <n v="2"/>
    <n v="3.89"/>
    <n v="80"/>
    <n v="83.89"/>
  </r>
  <r>
    <x v="48"/>
    <d v="2014-04-29T00:00:00"/>
    <n v="10.19"/>
    <n v="0.27"/>
    <n v="2"/>
    <n v="26"/>
    <n v="10.459999999999999"/>
    <n v="520"/>
    <n v="530.46"/>
  </r>
  <r>
    <x v="49"/>
    <d v="2014-04-18T00:00:00"/>
    <n v="7.35"/>
    <n v="0.19"/>
    <n v="5"/>
    <n v="10"/>
    <n v="7.54"/>
    <n v="500"/>
    <n v="507.54"/>
  </r>
  <r>
    <x v="49"/>
    <d v="2014-04-23T00:00:00"/>
    <n v="9.74"/>
    <n v="0.26"/>
    <n v="6"/>
    <n v="15"/>
    <n v="10"/>
    <n v="900"/>
    <n v="910"/>
  </r>
  <r>
    <x v="49"/>
    <d v="2014-04-29T00:00:00"/>
    <n v="8.65"/>
    <n v="0.23"/>
    <n v="3"/>
    <n v="21"/>
    <n v="8.8800000000000008"/>
    <n v="630"/>
    <n v="638.88"/>
  </r>
  <r>
    <x v="49"/>
    <d v="2014-04-30T00:00:00"/>
    <n v="7.06"/>
    <n v="0.19"/>
    <n v="2"/>
    <n v="22"/>
    <n v="7.25"/>
    <n v="440"/>
    <n v="447.25"/>
  </r>
  <r>
    <x v="49"/>
    <d v="2014-05-03T00:00:00"/>
    <n v="14"/>
    <n v="0.37"/>
    <n v="2"/>
    <n v="25"/>
    <n v="14.37"/>
    <n v="500"/>
    <n v="514.37"/>
  </r>
  <r>
    <x v="49"/>
    <d v="2014-05-05T00:00:00"/>
    <n v="16.940000000000001"/>
    <n v="0.45"/>
    <n v="4"/>
    <n v="27"/>
    <n v="17.39"/>
    <n v="1080"/>
    <n v="1097.3900000000001"/>
  </r>
  <r>
    <x v="50"/>
    <d v="2014-04-30T00:00:00"/>
    <n v="16.55"/>
    <n v="0.44"/>
    <n v="4"/>
    <n v="16"/>
    <n v="16.990000000000002"/>
    <n v="640"/>
    <n v="656.99"/>
  </r>
  <r>
    <x v="50"/>
    <d v="2014-05-07T00:00:00"/>
    <n v="14.13"/>
    <n v="0.37"/>
    <n v="6"/>
    <n v="23"/>
    <n v="14.5"/>
    <n v="1380"/>
    <n v="1394.5"/>
  </r>
  <r>
    <x v="50"/>
    <d v="2014-05-02T00:00:00"/>
    <n v="11.42"/>
    <n v="0.3"/>
    <n v="5"/>
    <n v="18"/>
    <n v="11.72"/>
    <n v="900"/>
    <n v="911.72"/>
  </r>
  <r>
    <x v="50"/>
    <d v="2014-05-03T00:00:00"/>
    <n v="16.829999999999998"/>
    <n v="0.44"/>
    <n v="5"/>
    <n v="19"/>
    <n v="17.27"/>
    <n v="950"/>
    <n v="967.27"/>
  </r>
  <r>
    <x v="50"/>
    <d v="2014-05-09T00:00:00"/>
    <n v="9.06"/>
    <n v="0.24"/>
    <n v="4"/>
    <n v="25"/>
    <n v="9.3000000000000007"/>
    <n v="1000"/>
    <n v="1009.3"/>
  </r>
  <r>
    <x v="50"/>
    <d v="2014-04-26T00:00:00"/>
    <n v="11.69"/>
    <n v="0.31"/>
    <n v="5"/>
    <n v="12"/>
    <n v="12"/>
    <n v="600"/>
    <n v="612"/>
  </r>
  <r>
    <x v="51"/>
    <d v="2014-05-13T00:00:00"/>
    <n v="6.58"/>
    <n v="0.17"/>
    <n v="3"/>
    <n v="25"/>
    <n v="6.75"/>
    <n v="750"/>
    <n v="756.75"/>
  </r>
  <r>
    <x v="52"/>
    <d v="2014-04-26T00:00:00"/>
    <n v="11.44"/>
    <n v="0.3"/>
    <n v="6"/>
    <n v="6"/>
    <n v="11.74"/>
    <n v="360"/>
    <n v="371.74"/>
  </r>
  <r>
    <x v="52"/>
    <d v="2014-05-04T00:00:00"/>
    <n v="6.75"/>
    <n v="0.18"/>
    <n v="6"/>
    <n v="14"/>
    <n v="6.93"/>
    <n v="840"/>
    <n v="846.93"/>
  </r>
  <r>
    <x v="53"/>
    <d v="2014-05-12T00:00:00"/>
    <n v="7.71"/>
    <n v="0.2"/>
    <n v="5"/>
    <n v="19"/>
    <n v="7.91"/>
    <n v="950"/>
    <n v="957.91"/>
  </r>
  <r>
    <x v="53"/>
    <d v="2014-04-25T00:00:00"/>
    <n v="6.75"/>
    <n v="0.18"/>
    <n v="4"/>
    <n v="2"/>
    <n v="6.93"/>
    <n v="80"/>
    <n v="86.93"/>
  </r>
  <r>
    <x v="54"/>
    <d v="2014-04-29T00:00:00"/>
    <n v="3.57"/>
    <n v="0.09"/>
    <n v="2"/>
    <n v="5"/>
    <n v="3.6599999999999997"/>
    <n v="100"/>
    <n v="103.66"/>
  </r>
  <r>
    <x v="55"/>
    <d v="2014-05-23T00:00:00"/>
    <n v="10.19"/>
    <n v="0.27"/>
    <n v="3"/>
    <n v="27"/>
    <n v="10.459999999999999"/>
    <n v="810"/>
    <n v="820.46"/>
  </r>
  <r>
    <x v="55"/>
    <d v="2014-05-20T00:00:00"/>
    <n v="11.78"/>
    <n v="0.31"/>
    <n v="3"/>
    <n v="24"/>
    <n v="12.09"/>
    <n v="720"/>
    <n v="732.09"/>
  </r>
  <r>
    <x v="55"/>
    <d v="2014-05-12T00:00:00"/>
    <n v="3.79"/>
    <n v="0.1"/>
    <n v="3"/>
    <n v="16"/>
    <n v="3.89"/>
    <n v="480"/>
    <n v="483.89"/>
  </r>
  <r>
    <x v="55"/>
    <d v="2014-05-02T00:00:00"/>
    <n v="6.75"/>
    <n v="0.18"/>
    <n v="6"/>
    <n v="6"/>
    <n v="6.93"/>
    <n v="360"/>
    <n v="366.93"/>
  </r>
  <r>
    <x v="55"/>
    <d v="2014-05-08T00:00:00"/>
    <n v="12.01"/>
    <n v="0.32"/>
    <n v="2"/>
    <n v="12"/>
    <n v="12.33"/>
    <n v="240"/>
    <n v="252.33"/>
  </r>
  <r>
    <x v="55"/>
    <d v="2014-05-05T00:00:00"/>
    <n v="2.0099999999999998"/>
    <n v="0.05"/>
    <n v="2"/>
    <n v="9"/>
    <n v="2.0599999999999996"/>
    <n v="180"/>
    <n v="182.06"/>
  </r>
  <r>
    <x v="56"/>
    <d v="2014-05-09T00:00:00"/>
    <n v="9.06"/>
    <n v="0.24"/>
    <n v="5"/>
    <n v="11"/>
    <n v="9.3000000000000007"/>
    <n v="550"/>
    <n v="559.29999999999995"/>
  </r>
  <r>
    <x v="57"/>
    <d v="2014-05-27T00:00:00"/>
    <n v="13.81"/>
    <n v="0.36"/>
    <n v="3"/>
    <n v="25"/>
    <n v="14.17"/>
    <n v="750"/>
    <n v="764.17"/>
  </r>
  <r>
    <x v="57"/>
    <d v="2014-05-23T00:00:00"/>
    <n v="5.47"/>
    <n v="0.14000000000000001"/>
    <n v="3"/>
    <n v="21"/>
    <n v="5.6099999999999994"/>
    <n v="630"/>
    <n v="635.61"/>
  </r>
  <r>
    <x v="57"/>
    <d v="2014-05-18T00:00:00"/>
    <n v="9.06"/>
    <n v="0.24"/>
    <n v="5"/>
    <n v="16"/>
    <n v="9.3000000000000007"/>
    <n v="800"/>
    <n v="809.3"/>
  </r>
  <r>
    <x v="58"/>
    <d v="2014-05-21T00:00:00"/>
    <n v="8.39"/>
    <n v="0.22"/>
    <n v="5"/>
    <n v="16"/>
    <n v="8.6100000000000012"/>
    <n v="800"/>
    <n v="808.61"/>
  </r>
  <r>
    <x v="58"/>
    <d v="2014-05-17T00:00:00"/>
    <n v="3.73"/>
    <n v="0.1"/>
    <n v="5"/>
    <n v="12"/>
    <n v="3.83"/>
    <n v="600"/>
    <n v="603.83000000000004"/>
  </r>
  <r>
    <x v="59"/>
    <d v="2014-05-14T00:00:00"/>
    <n v="7.31"/>
    <n v="0.19"/>
    <n v="4"/>
    <n v="8"/>
    <n v="7.5"/>
    <n v="320"/>
    <n v="327.5"/>
  </r>
  <r>
    <x v="60"/>
    <d v="2014-05-21T00:00:00"/>
    <n v="14.31"/>
    <n v="0.38"/>
    <n v="6"/>
    <n v="13"/>
    <n v="14.690000000000001"/>
    <n v="780"/>
    <n v="794.69"/>
  </r>
  <r>
    <x v="60"/>
    <d v="2014-06-04T00:00:00"/>
    <n v="14.13"/>
    <n v="0.37"/>
    <n v="4"/>
    <n v="27"/>
    <n v="14.5"/>
    <n v="1080"/>
    <n v="1094.5"/>
  </r>
  <r>
    <x v="60"/>
    <d v="2014-05-18T00:00:00"/>
    <n v="3.88"/>
    <n v="0.1"/>
    <n v="5"/>
    <n v="10"/>
    <n v="3.98"/>
    <n v="500"/>
    <n v="503.98"/>
  </r>
  <r>
    <x v="60"/>
    <d v="2014-05-10T00:00:00"/>
    <n v="7.35"/>
    <n v="0.19"/>
    <n v="6"/>
    <n v="2"/>
    <n v="7.54"/>
    <n v="120"/>
    <n v="127.54"/>
  </r>
  <r>
    <x v="60"/>
    <d v="2014-05-17T00:00:00"/>
    <n v="12.01"/>
    <n v="0.32"/>
    <n v="4"/>
    <n v="9"/>
    <n v="12.33"/>
    <n v="360"/>
    <n v="372.33"/>
  </r>
  <r>
    <x v="60"/>
    <d v="2014-05-16T00:00:00"/>
    <n v="13.07"/>
    <n v="0.34"/>
    <n v="3"/>
    <n v="8"/>
    <n v="13.41"/>
    <n v="240"/>
    <n v="253.41"/>
  </r>
  <r>
    <x v="61"/>
    <d v="2014-05-30T00:00:00"/>
    <n v="7.35"/>
    <n v="0.19"/>
    <n v="4"/>
    <n v="16"/>
    <n v="7.54"/>
    <n v="640"/>
    <n v="647.54"/>
  </r>
  <r>
    <x v="61"/>
    <d v="2014-05-17T00:00:00"/>
    <n v="11.37"/>
    <n v="0.3"/>
    <n v="2"/>
    <n v="3"/>
    <n v="11.67"/>
    <n v="60"/>
    <n v="71.67"/>
  </r>
  <r>
    <x v="61"/>
    <d v="2014-05-19T00:00:00"/>
    <n v="13.81"/>
    <n v="0.36"/>
    <n v="3"/>
    <n v="5"/>
    <n v="14.17"/>
    <n v="150"/>
    <n v="164.17"/>
  </r>
  <r>
    <x v="61"/>
    <d v="2014-05-21T00:00:00"/>
    <n v="5.64"/>
    <n v="0.15"/>
    <n v="6"/>
    <n v="7"/>
    <n v="5.79"/>
    <n v="420"/>
    <n v="425.79"/>
  </r>
  <r>
    <x v="61"/>
    <d v="2014-05-23T00:00:00"/>
    <n v="7.55"/>
    <n v="0.2"/>
    <n v="2"/>
    <n v="9"/>
    <n v="7.75"/>
    <n v="180"/>
    <n v="187.75"/>
  </r>
  <r>
    <x v="61"/>
    <d v="2014-05-28T00:00:00"/>
    <n v="5.23"/>
    <n v="0.14000000000000001"/>
    <n v="3"/>
    <n v="14"/>
    <n v="5.37"/>
    <n v="420"/>
    <n v="425.37"/>
  </r>
  <r>
    <x v="61"/>
    <d v="2014-06-01T00:00:00"/>
    <n v="7.55"/>
    <n v="0.2"/>
    <n v="2"/>
    <n v="18"/>
    <n v="7.75"/>
    <n v="360"/>
    <n v="367.75"/>
  </r>
  <r>
    <x v="62"/>
    <d v="2014-06-02T00:00:00"/>
    <n v="8.89"/>
    <n v="0.23"/>
    <n v="3"/>
    <n v="13"/>
    <n v="9.120000000000001"/>
    <n v="390"/>
    <n v="399.12"/>
  </r>
  <r>
    <x v="62"/>
    <d v="2014-06-13T00:00:00"/>
    <n v="8.65"/>
    <n v="0.23"/>
    <n v="3"/>
    <n v="24"/>
    <n v="8.8800000000000008"/>
    <n v="720"/>
    <n v="728.88"/>
  </r>
  <r>
    <x v="62"/>
    <d v="2014-05-29T00:00:00"/>
    <n v="7.3"/>
    <n v="0.19"/>
    <n v="6"/>
    <n v="9"/>
    <n v="7.49"/>
    <n v="540"/>
    <n v="547.49"/>
  </r>
  <r>
    <x v="62"/>
    <d v="2014-06-11T00:00:00"/>
    <n v="10.59"/>
    <n v="0.28000000000000003"/>
    <n v="5"/>
    <n v="22"/>
    <n v="10.87"/>
    <n v="1100"/>
    <n v="1110.8699999999999"/>
  </r>
  <r>
    <x v="62"/>
    <d v="2014-05-30T00:00:00"/>
    <n v="11.37"/>
    <n v="0.3"/>
    <n v="5"/>
    <n v="10"/>
    <n v="11.67"/>
    <n v="500"/>
    <n v="511.67"/>
  </r>
  <r>
    <x v="62"/>
    <d v="2014-06-03T00:00:00"/>
    <n v="10.79"/>
    <n v="0.28000000000000003"/>
    <n v="4"/>
    <n v="14"/>
    <n v="11.069999999999999"/>
    <n v="560"/>
    <n v="571.07000000000005"/>
  </r>
  <r>
    <x v="63"/>
    <d v="2014-06-03T00:00:00"/>
    <n v="11.44"/>
    <n v="0.3"/>
    <n v="4"/>
    <n v="8"/>
    <n v="11.74"/>
    <n v="320"/>
    <n v="331.74"/>
  </r>
  <r>
    <x v="63"/>
    <d v="2014-06-06T00:00:00"/>
    <n v="13.07"/>
    <n v="0.34"/>
    <n v="2"/>
    <n v="11"/>
    <n v="13.41"/>
    <n v="220"/>
    <n v="233.41"/>
  </r>
  <r>
    <x v="63"/>
    <d v="2014-06-11T00:00:00"/>
    <n v="5.57"/>
    <n v="0.15"/>
    <n v="6"/>
    <n v="16"/>
    <n v="5.7200000000000006"/>
    <n v="960"/>
    <n v="965.72"/>
  </r>
  <r>
    <x v="63"/>
    <d v="2014-05-28T00:00:00"/>
    <n v="11.78"/>
    <n v="0.31"/>
    <n v="5"/>
    <n v="2"/>
    <n v="12.09"/>
    <n v="100"/>
    <n v="112.09"/>
  </r>
  <r>
    <x v="63"/>
    <d v="2014-05-29T00:00:00"/>
    <n v="11.78"/>
    <n v="0.31"/>
    <n v="2"/>
    <n v="3"/>
    <n v="12.09"/>
    <n v="60"/>
    <n v="72.09"/>
  </r>
  <r>
    <x v="63"/>
    <d v="2014-06-12T00:00:00"/>
    <n v="9.74"/>
    <n v="0.26"/>
    <n v="3"/>
    <n v="17"/>
    <n v="10"/>
    <n v="510"/>
    <n v="520"/>
  </r>
  <r>
    <x v="64"/>
    <d v="2014-06-28T00:00:00"/>
    <n v="12.01"/>
    <n v="0.32"/>
    <n v="6"/>
    <n v="27"/>
    <n v="12.33"/>
    <n v="1620"/>
    <n v="1632.33"/>
  </r>
  <r>
    <x v="64"/>
    <d v="2014-06-08T00:00:00"/>
    <n v="9.4600000000000009"/>
    <n v="0.25"/>
    <n v="3"/>
    <n v="7"/>
    <n v="9.7100000000000009"/>
    <n v="210"/>
    <n v="219.71"/>
  </r>
  <r>
    <x v="64"/>
    <d v="2014-06-05T00:00:00"/>
    <n v="11.37"/>
    <n v="0.3"/>
    <n v="6"/>
    <n v="4"/>
    <n v="11.67"/>
    <n v="240"/>
    <n v="251.67"/>
  </r>
  <r>
    <x v="64"/>
    <d v="2014-06-17T00:00:00"/>
    <n v="5.78"/>
    <n v="0.15"/>
    <n v="3"/>
    <n v="16"/>
    <n v="5.9300000000000006"/>
    <n v="480"/>
    <n v="485.93"/>
  </r>
  <r>
    <x v="64"/>
    <d v="2014-06-22T00:00:00"/>
    <n v="12.01"/>
    <n v="0.32"/>
    <n v="5"/>
    <n v="21"/>
    <n v="12.33"/>
    <n v="1050"/>
    <n v="1062.33"/>
  </r>
  <r>
    <x v="64"/>
    <d v="2014-06-25T00:00:00"/>
    <n v="7.55"/>
    <n v="0.2"/>
    <n v="5"/>
    <n v="24"/>
    <n v="7.75"/>
    <n v="1200"/>
    <n v="1207.75"/>
  </r>
  <r>
    <x v="64"/>
    <d v="2014-06-04T00:00:00"/>
    <n v="9.74"/>
    <n v="0.26"/>
    <n v="3"/>
    <n v="3"/>
    <n v="10"/>
    <n v="90"/>
    <n v="100"/>
  </r>
  <r>
    <x v="65"/>
    <d v="2014-06-12T00:00:00"/>
    <n v="2.72"/>
    <n v="7.0000000000000007E-2"/>
    <n v="2"/>
    <n v="10"/>
    <n v="2.79"/>
    <n v="200"/>
    <n v="202.79"/>
  </r>
  <r>
    <x v="65"/>
    <d v="2014-06-11T00:00:00"/>
    <n v="3.57"/>
    <n v="0.09"/>
    <n v="3"/>
    <n v="9"/>
    <n v="3.6599999999999997"/>
    <n v="270"/>
    <n v="273.66000000000003"/>
  </r>
  <r>
    <x v="65"/>
    <d v="2014-06-23T00:00:00"/>
    <n v="7.55"/>
    <n v="0.2"/>
    <n v="6"/>
    <n v="21"/>
    <n v="7.75"/>
    <n v="1260"/>
    <n v="1267.75"/>
  </r>
  <r>
    <x v="65"/>
    <d v="2014-06-22T00:00:00"/>
    <n v="3.57"/>
    <n v="0.09"/>
    <n v="2"/>
    <n v="20"/>
    <n v="3.6599999999999997"/>
    <n v="400"/>
    <n v="403.66"/>
  </r>
  <r>
    <x v="66"/>
    <d v="2014-06-13T00:00:00"/>
    <n v="2.29"/>
    <n v="0.06"/>
    <n v="5"/>
    <n v="10"/>
    <n v="2.35"/>
    <n v="500"/>
    <n v="502.35"/>
  </r>
  <r>
    <x v="66"/>
    <d v="2014-06-27T00:00:00"/>
    <n v="9.06"/>
    <n v="0.24"/>
    <n v="4"/>
    <n v="24"/>
    <n v="9.3000000000000007"/>
    <n v="960"/>
    <n v="969.3"/>
  </r>
  <r>
    <x v="67"/>
    <d v="2014-06-08T00:00:00"/>
    <n v="4.25"/>
    <n v="0.11"/>
    <n v="2"/>
    <n v="4"/>
    <n v="4.3600000000000003"/>
    <n v="80"/>
    <n v="84.36"/>
  </r>
  <r>
    <x v="67"/>
    <d v="2014-06-14T00:00:00"/>
    <n v="7.31"/>
    <n v="0.19"/>
    <n v="6"/>
    <n v="10"/>
    <n v="7.5"/>
    <n v="600"/>
    <n v="607.5"/>
  </r>
  <r>
    <x v="67"/>
    <d v="2014-06-10T00:00:00"/>
    <n v="9.06"/>
    <n v="0.24"/>
    <n v="2"/>
    <n v="6"/>
    <n v="9.3000000000000007"/>
    <n v="120"/>
    <n v="129.30000000000001"/>
  </r>
  <r>
    <x v="68"/>
    <d v="2014-06-09T00:00:00"/>
    <n v="6.43"/>
    <n v="0.17"/>
    <n v="3"/>
    <n v="4"/>
    <n v="6.6"/>
    <n v="120"/>
    <n v="126.6"/>
  </r>
  <r>
    <x v="69"/>
    <d v="2014-06-18T00:00:00"/>
    <n v="2.0099999999999998"/>
    <n v="0.05"/>
    <n v="3"/>
    <n v="11"/>
    <n v="2.0599999999999996"/>
    <n v="330"/>
    <n v="332.06"/>
  </r>
  <r>
    <x v="69"/>
    <d v="2014-06-12T00:00:00"/>
    <n v="8.51"/>
    <n v="0.22"/>
    <n v="3"/>
    <n v="5"/>
    <n v="8.73"/>
    <n v="150"/>
    <n v="158.72999999999999"/>
  </r>
  <r>
    <x v="69"/>
    <d v="2014-06-27T00:00:00"/>
    <n v="16.55"/>
    <n v="0.44"/>
    <n v="4"/>
    <n v="20"/>
    <n v="16.990000000000002"/>
    <n v="800"/>
    <n v="816.99"/>
  </r>
  <r>
    <x v="69"/>
    <d v="2014-06-14T00:00:00"/>
    <n v="9.1300000000000008"/>
    <n v="0.24"/>
    <n v="3"/>
    <n v="7"/>
    <n v="9.370000000000001"/>
    <n v="210"/>
    <n v="219.37"/>
  </r>
  <r>
    <x v="69"/>
    <d v="2014-06-26T00:00:00"/>
    <n v="10.199999999999999"/>
    <n v="0.27"/>
    <n v="5"/>
    <n v="19"/>
    <n v="10.469999999999999"/>
    <n v="950"/>
    <n v="960.47"/>
  </r>
  <r>
    <x v="70"/>
    <d v="2014-07-03T00:00:00"/>
    <n v="6.23"/>
    <n v="0.16"/>
    <n v="2"/>
    <n v="24"/>
    <n v="6.3900000000000006"/>
    <n v="480"/>
    <n v="486.39"/>
  </r>
  <r>
    <x v="71"/>
    <d v="2014-07-07T00:00:00"/>
    <n v="8.51"/>
    <n v="0.22"/>
    <n v="3"/>
    <n v="24"/>
    <n v="8.73"/>
    <n v="720"/>
    <n v="728.73"/>
  </r>
  <r>
    <x v="71"/>
    <d v="2014-06-21T00:00:00"/>
    <n v="13.82"/>
    <n v="0.36"/>
    <n v="4"/>
    <n v="8"/>
    <n v="14.18"/>
    <n v="320"/>
    <n v="334.18"/>
  </r>
  <r>
    <x v="71"/>
    <d v="2014-07-05T00:00:00"/>
    <n v="6.34"/>
    <n v="0.17"/>
    <n v="6"/>
    <n v="22"/>
    <n v="6.51"/>
    <n v="1320"/>
    <n v="1326.51"/>
  </r>
  <r>
    <x v="71"/>
    <d v="2014-07-09T00:00:00"/>
    <n v="10.19"/>
    <n v="0.27"/>
    <n v="6"/>
    <n v="26"/>
    <n v="10.459999999999999"/>
    <n v="1560"/>
    <n v="1570.46"/>
  </r>
  <r>
    <x v="71"/>
    <d v="2014-06-15T00:00:00"/>
    <n v="14"/>
    <n v="0.37"/>
    <n v="3"/>
    <n v="2"/>
    <n v="14.37"/>
    <n v="60"/>
    <n v="74.37"/>
  </r>
  <r>
    <x v="71"/>
    <d v="2014-06-24T00:00:00"/>
    <n v="14"/>
    <n v="0.37"/>
    <n v="4"/>
    <n v="11"/>
    <n v="14.37"/>
    <n v="440"/>
    <n v="454.37"/>
  </r>
  <r>
    <x v="71"/>
    <d v="2014-06-26T00:00:00"/>
    <n v="10.19"/>
    <n v="0.27"/>
    <n v="2"/>
    <n v="13"/>
    <n v="10.459999999999999"/>
    <n v="260"/>
    <n v="270.45999999999998"/>
  </r>
  <r>
    <x v="71"/>
    <d v="2014-06-28T00:00:00"/>
    <n v="8.89"/>
    <n v="0.23"/>
    <n v="5"/>
    <n v="15"/>
    <n v="9.120000000000001"/>
    <n v="750"/>
    <n v="759.12"/>
  </r>
  <r>
    <x v="71"/>
    <d v="2014-06-24T00:00:00"/>
    <n v="11.44"/>
    <n v="0.3"/>
    <n v="6"/>
    <n v="11"/>
    <n v="11.74"/>
    <n v="660"/>
    <n v="671.74"/>
  </r>
  <r>
    <x v="71"/>
    <d v="2014-07-07T00:00:00"/>
    <n v="10.93"/>
    <n v="0.28999999999999998"/>
    <n v="2"/>
    <n v="24"/>
    <n v="11.219999999999999"/>
    <n v="480"/>
    <n v="491.22"/>
  </r>
  <r>
    <x v="71"/>
    <d v="2014-07-02T00:00:00"/>
    <n v="6.34"/>
    <n v="0.17"/>
    <n v="4"/>
    <n v="19"/>
    <n v="6.51"/>
    <n v="760"/>
    <n v="766.51"/>
  </r>
  <r>
    <x v="71"/>
    <d v="2014-06-23T00:00:00"/>
    <n v="5.67"/>
    <n v="0.15"/>
    <n v="5"/>
    <n v="10"/>
    <n v="5.82"/>
    <n v="500"/>
    <n v="505.82"/>
  </r>
  <r>
    <x v="71"/>
    <d v="2014-07-01T00:00:00"/>
    <n v="8.51"/>
    <n v="0.22"/>
    <n v="6"/>
    <n v="18"/>
    <n v="8.73"/>
    <n v="1080"/>
    <n v="1088.73"/>
  </r>
  <r>
    <x v="71"/>
    <d v="2014-06-27T00:00:00"/>
    <n v="16.829999999999998"/>
    <n v="0.44"/>
    <n v="5"/>
    <n v="14"/>
    <n v="17.27"/>
    <n v="700"/>
    <n v="717.27"/>
  </r>
  <r>
    <x v="71"/>
    <d v="2014-06-24T00:00:00"/>
    <n v="11.69"/>
    <n v="0.31"/>
    <n v="5"/>
    <n v="11"/>
    <n v="12"/>
    <n v="550"/>
    <n v="562"/>
  </r>
  <r>
    <x v="72"/>
    <d v="2014-06-18T00:00:00"/>
    <n v="7.71"/>
    <n v="0.2"/>
    <n v="3"/>
    <n v="2"/>
    <n v="7.91"/>
    <n v="60"/>
    <n v="67.91"/>
  </r>
  <r>
    <x v="72"/>
    <d v="2014-07-14T00:00:00"/>
    <n v="5.67"/>
    <n v="0.15"/>
    <n v="5"/>
    <n v="28"/>
    <n v="5.82"/>
    <n v="1400"/>
    <n v="1405.82"/>
  </r>
  <r>
    <x v="73"/>
    <d v="2014-07-17T00:00:00"/>
    <n v="7.3"/>
    <n v="0.19"/>
    <n v="6"/>
    <n v="28"/>
    <n v="7.49"/>
    <n v="1680"/>
    <n v="1687.49"/>
  </r>
  <r>
    <x v="73"/>
    <d v="2014-06-23T00:00:00"/>
    <n v="5.64"/>
    <n v="0.15"/>
    <n v="5"/>
    <n v="4"/>
    <n v="5.79"/>
    <n v="200"/>
    <n v="205.79"/>
  </r>
  <r>
    <x v="73"/>
    <d v="2014-06-25T00:00:00"/>
    <n v="10.79"/>
    <n v="0.28000000000000003"/>
    <n v="5"/>
    <n v="6"/>
    <n v="11.069999999999999"/>
    <n v="300"/>
    <n v="311.07"/>
  </r>
  <r>
    <x v="73"/>
    <d v="2014-07-10T00:00:00"/>
    <n v="10.199999999999999"/>
    <n v="0.27"/>
    <n v="6"/>
    <n v="21"/>
    <n v="10.469999999999999"/>
    <n v="1260"/>
    <n v="1270.47"/>
  </r>
  <r>
    <x v="73"/>
    <d v="2014-07-01T00:00:00"/>
    <n v="16.55"/>
    <n v="0.44"/>
    <n v="3"/>
    <n v="12"/>
    <n v="16.990000000000002"/>
    <n v="360"/>
    <n v="376.99"/>
  </r>
  <r>
    <x v="73"/>
    <d v="2014-07-09T00:00:00"/>
    <n v="8.9499999999999993"/>
    <n v="0.24"/>
    <n v="6"/>
    <n v="20"/>
    <n v="9.19"/>
    <n v="1200"/>
    <n v="1209.19"/>
  </r>
  <r>
    <x v="74"/>
    <d v="2014-07-05T00:00:00"/>
    <n v="5.64"/>
    <n v="0.15"/>
    <n v="4"/>
    <n v="10"/>
    <n v="5.79"/>
    <n v="400"/>
    <n v="405.79"/>
  </r>
  <r>
    <x v="74"/>
    <d v="2014-07-20T00:00:00"/>
    <n v="6.34"/>
    <n v="0.17"/>
    <n v="3"/>
    <n v="25"/>
    <n v="6.51"/>
    <n v="750"/>
    <n v="756.51"/>
  </r>
  <r>
    <x v="74"/>
    <d v="2014-07-12T00:00:00"/>
    <n v="11.69"/>
    <n v="0.31"/>
    <n v="6"/>
    <n v="17"/>
    <n v="12"/>
    <n v="1020"/>
    <n v="1032"/>
  </r>
  <r>
    <x v="74"/>
    <d v="2014-07-19T00:00:00"/>
    <n v="11.42"/>
    <n v="0.3"/>
    <n v="5"/>
    <n v="24"/>
    <n v="11.72"/>
    <n v="1200"/>
    <n v="1211.72"/>
  </r>
  <r>
    <x v="74"/>
    <d v="2014-07-02T00:00:00"/>
    <n v="8.5399999999999991"/>
    <n v="0.22"/>
    <n v="6"/>
    <n v="7"/>
    <n v="8.76"/>
    <n v="420"/>
    <n v="428.76"/>
  </r>
  <r>
    <x v="74"/>
    <d v="2014-07-11T00:00:00"/>
    <n v="10.199999999999999"/>
    <n v="0.27"/>
    <n v="3"/>
    <n v="16"/>
    <n v="10.469999999999999"/>
    <n v="480"/>
    <n v="490.47"/>
  </r>
  <r>
    <x v="74"/>
    <d v="2014-07-13T00:00:00"/>
    <n v="8.39"/>
    <n v="0.22"/>
    <n v="6"/>
    <n v="18"/>
    <n v="8.6100000000000012"/>
    <n v="1080"/>
    <n v="1088.6099999999999"/>
  </r>
  <r>
    <x v="74"/>
    <d v="2014-07-06T00:00:00"/>
    <n v="9.4600000000000009"/>
    <n v="0.25"/>
    <n v="4"/>
    <n v="11"/>
    <n v="9.7100000000000009"/>
    <n v="440"/>
    <n v="449.71"/>
  </r>
  <r>
    <x v="74"/>
    <d v="2014-07-23T00:00:00"/>
    <n v="11.37"/>
    <n v="0.3"/>
    <n v="5"/>
    <n v="28"/>
    <n v="11.67"/>
    <n v="1400"/>
    <n v="1411.67"/>
  </r>
  <r>
    <x v="74"/>
    <d v="2014-07-21T00:00:00"/>
    <n v="3.79"/>
    <n v="0.1"/>
    <n v="5"/>
    <n v="26"/>
    <n v="3.89"/>
    <n v="1300"/>
    <n v="1303.8900000000001"/>
  </r>
  <r>
    <x v="74"/>
    <d v="2014-07-15T00:00:00"/>
    <n v="8.84"/>
    <n v="0.23"/>
    <n v="2"/>
    <n v="20"/>
    <n v="9.07"/>
    <n v="400"/>
    <n v="409.07"/>
  </r>
  <r>
    <x v="74"/>
    <d v="2014-07-05T00:00:00"/>
    <n v="19.54"/>
    <n v="0.51"/>
    <n v="4"/>
    <n v="10"/>
    <n v="20.05"/>
    <n v="400"/>
    <n v="420.05"/>
  </r>
  <r>
    <x v="74"/>
    <d v="2014-07-01T00:00:00"/>
    <n v="3.79"/>
    <n v="0.1"/>
    <n v="5"/>
    <n v="6"/>
    <n v="3.89"/>
    <n v="300"/>
    <n v="303.89"/>
  </r>
  <r>
    <x v="74"/>
    <d v="2014-07-08T00:00:00"/>
    <n v="9.74"/>
    <n v="0.26"/>
    <n v="6"/>
    <n v="13"/>
    <n v="10"/>
    <n v="780"/>
    <n v="790"/>
  </r>
  <r>
    <x v="74"/>
    <d v="2014-07-17T00:00:00"/>
    <n v="10.199999999999999"/>
    <n v="0.27"/>
    <n v="2"/>
    <n v="22"/>
    <n v="10.469999999999999"/>
    <n v="440"/>
    <n v="450.47"/>
  </r>
  <r>
    <x v="74"/>
    <d v="2014-07-16T00:00:00"/>
    <n v="3.88"/>
    <n v="0.1"/>
    <n v="4"/>
    <n v="21"/>
    <n v="3.98"/>
    <n v="840"/>
    <n v="843.98"/>
  </r>
  <r>
    <x v="75"/>
    <d v="2014-07-15T00:00:00"/>
    <n v="4.66"/>
    <n v="0.12"/>
    <n v="4"/>
    <n v="17"/>
    <n v="4.78"/>
    <n v="680"/>
    <n v="684.78"/>
  </r>
  <r>
    <x v="76"/>
    <d v="2014-07-20T00:00:00"/>
    <n v="16.55"/>
    <n v="0.44"/>
    <n v="6"/>
    <n v="19"/>
    <n v="16.990000000000002"/>
    <n v="1140"/>
    <n v="1156.99"/>
  </r>
  <r>
    <x v="76"/>
    <d v="2014-07-15T00:00:00"/>
    <n v="13.81"/>
    <n v="0.36"/>
    <n v="3"/>
    <n v="14"/>
    <n v="14.17"/>
    <n v="420"/>
    <n v="434.17"/>
  </r>
  <r>
    <x v="76"/>
    <d v="2014-07-17T00:00:00"/>
    <n v="8.51"/>
    <n v="0.22"/>
    <n v="5"/>
    <n v="16"/>
    <n v="8.73"/>
    <n v="800"/>
    <n v="808.73"/>
  </r>
  <r>
    <x v="76"/>
    <d v="2014-07-07T00:00:00"/>
    <n v="8.65"/>
    <n v="0.23"/>
    <n v="2"/>
    <n v="6"/>
    <n v="8.8800000000000008"/>
    <n v="120"/>
    <n v="128.88"/>
  </r>
  <r>
    <x v="76"/>
    <d v="2014-07-12T00:00:00"/>
    <n v="11.69"/>
    <n v="0.31"/>
    <n v="4"/>
    <n v="11"/>
    <n v="12"/>
    <n v="440"/>
    <n v="452"/>
  </r>
  <r>
    <x v="76"/>
    <d v="2014-07-08T00:00:00"/>
    <n v="7.06"/>
    <n v="0.19"/>
    <n v="3"/>
    <n v="7"/>
    <n v="7.25"/>
    <n v="210"/>
    <n v="217.25"/>
  </r>
  <r>
    <x v="77"/>
    <d v="2014-07-17T00:00:00"/>
    <n v="11.44"/>
    <n v="0.3"/>
    <n v="5"/>
    <n v="10"/>
    <n v="11.74"/>
    <n v="500"/>
    <n v="511.74"/>
  </r>
  <r>
    <x v="77"/>
    <d v="2014-07-11T00:00:00"/>
    <n v="8.9499999999999993"/>
    <n v="0.24"/>
    <n v="4"/>
    <n v="4"/>
    <n v="9.19"/>
    <n v="160"/>
    <n v="169.19"/>
  </r>
  <r>
    <x v="77"/>
    <d v="2014-07-27T00:00:00"/>
    <n v="9.4600000000000009"/>
    <n v="0.25"/>
    <n v="6"/>
    <n v="20"/>
    <n v="9.7100000000000009"/>
    <n v="1200"/>
    <n v="1209.71"/>
  </r>
  <r>
    <x v="77"/>
    <d v="2014-07-21T00:00:00"/>
    <n v="5.23"/>
    <n v="0.14000000000000001"/>
    <n v="3"/>
    <n v="14"/>
    <n v="5.37"/>
    <n v="420"/>
    <n v="425.37"/>
  </r>
  <r>
    <x v="77"/>
    <d v="2014-07-27T00:00:00"/>
    <n v="11.78"/>
    <n v="0.31"/>
    <n v="4"/>
    <n v="20"/>
    <n v="12.09"/>
    <n v="800"/>
    <n v="812.09"/>
  </r>
  <r>
    <x v="77"/>
    <d v="2014-07-16T00:00:00"/>
    <n v="5.64"/>
    <n v="0.15"/>
    <n v="3"/>
    <n v="9"/>
    <n v="5.79"/>
    <n v="270"/>
    <n v="275.79000000000002"/>
  </r>
  <r>
    <x v="77"/>
    <d v="2014-07-19T00:00:00"/>
    <n v="10.199999999999999"/>
    <n v="0.27"/>
    <n v="2"/>
    <n v="12"/>
    <n v="10.469999999999999"/>
    <n v="240"/>
    <n v="250.47"/>
  </r>
  <r>
    <x v="77"/>
    <d v="2014-08-01T00:00:00"/>
    <n v="3.88"/>
    <n v="0.1"/>
    <n v="5"/>
    <n v="25"/>
    <n v="3.98"/>
    <n v="1250"/>
    <n v="1253.98"/>
  </r>
  <r>
    <x v="77"/>
    <d v="2014-07-15T00:00:00"/>
    <n v="4.66"/>
    <n v="0.12"/>
    <n v="4"/>
    <n v="8"/>
    <n v="4.78"/>
    <n v="320"/>
    <n v="324.77999999999997"/>
  </r>
  <r>
    <x v="77"/>
    <d v="2014-07-18T00:00:00"/>
    <n v="10.19"/>
    <n v="0.27"/>
    <n v="6"/>
    <n v="11"/>
    <n v="10.459999999999999"/>
    <n v="660"/>
    <n v="670.46"/>
  </r>
  <r>
    <x v="77"/>
    <d v="2014-07-24T00:00:00"/>
    <n v="10.19"/>
    <n v="0.27"/>
    <n v="6"/>
    <n v="17"/>
    <n v="10.459999999999999"/>
    <n v="1020"/>
    <n v="1030.46"/>
  </r>
  <r>
    <x v="77"/>
    <d v="2014-07-28T00:00:00"/>
    <n v="3.79"/>
    <n v="0.1"/>
    <n v="6"/>
    <n v="21"/>
    <n v="3.89"/>
    <n v="1260"/>
    <n v="1263.8900000000001"/>
  </r>
  <r>
    <x v="77"/>
    <d v="2014-07-27T00:00:00"/>
    <n v="9.06"/>
    <n v="0.24"/>
    <n v="2"/>
    <n v="20"/>
    <n v="9.3000000000000007"/>
    <n v="400"/>
    <n v="409.3"/>
  </r>
  <r>
    <x v="77"/>
    <d v="2014-07-11T00:00:00"/>
    <n v="6.23"/>
    <n v="0.16"/>
    <n v="3"/>
    <n v="4"/>
    <n v="6.3900000000000006"/>
    <n v="120"/>
    <n v="126.39"/>
  </r>
  <r>
    <x v="77"/>
    <d v="2014-08-01T00:00:00"/>
    <n v="10.79"/>
    <n v="0.28000000000000003"/>
    <n v="3"/>
    <n v="25"/>
    <n v="11.069999999999999"/>
    <n v="750"/>
    <n v="761.07"/>
  </r>
  <r>
    <x v="78"/>
    <d v="2014-07-27T00:00:00"/>
    <n v="5.67"/>
    <n v="0.15"/>
    <n v="5"/>
    <n v="17"/>
    <n v="5.82"/>
    <n v="850"/>
    <n v="855.82"/>
  </r>
  <r>
    <x v="79"/>
    <d v="2014-08-04T00:00:00"/>
    <n v="2.29"/>
    <n v="0.06"/>
    <n v="3"/>
    <n v="24"/>
    <n v="2.35"/>
    <n v="720"/>
    <n v="722.35"/>
  </r>
  <r>
    <x v="80"/>
    <d v="2014-08-02T00:00:00"/>
    <n v="10.93"/>
    <n v="0.28999999999999998"/>
    <n v="2"/>
    <n v="20"/>
    <n v="11.219999999999999"/>
    <n v="400"/>
    <n v="411.22"/>
  </r>
  <r>
    <x v="80"/>
    <d v="2014-07-21T00:00:00"/>
    <n v="16.55"/>
    <n v="0.44"/>
    <n v="4"/>
    <n v="8"/>
    <n v="16.990000000000002"/>
    <n v="320"/>
    <n v="336.99"/>
  </r>
  <r>
    <x v="81"/>
    <d v="2014-07-16T00:00:00"/>
    <n v="6.43"/>
    <n v="0.17"/>
    <n v="6"/>
    <n v="2"/>
    <n v="6.6"/>
    <n v="120"/>
    <n v="126.6"/>
  </r>
  <r>
    <x v="82"/>
    <d v="2014-08-12T00:00:00"/>
    <n v="3.94"/>
    <n v="0.1"/>
    <n v="6"/>
    <n v="28"/>
    <n v="4.04"/>
    <n v="1680"/>
    <n v="1684.04"/>
  </r>
  <r>
    <x v="82"/>
    <d v="2014-07-27T00:00:00"/>
    <n v="3.79"/>
    <n v="0.1"/>
    <n v="3"/>
    <n v="12"/>
    <n v="3.89"/>
    <n v="360"/>
    <n v="363.89"/>
  </r>
  <r>
    <x v="82"/>
    <d v="2014-08-05T00:00:00"/>
    <n v="6.58"/>
    <n v="0.17"/>
    <n v="3"/>
    <n v="21"/>
    <n v="6.75"/>
    <n v="630"/>
    <n v="636.75"/>
  </r>
  <r>
    <x v="83"/>
    <d v="2014-08-02T00:00:00"/>
    <n v="5.67"/>
    <n v="0.15"/>
    <n v="2"/>
    <n v="16"/>
    <n v="5.82"/>
    <n v="320"/>
    <n v="325.82"/>
  </r>
  <r>
    <x v="84"/>
    <d v="2014-08-06T00:00:00"/>
    <n v="10.19"/>
    <n v="0.27"/>
    <n v="6"/>
    <n v="18"/>
    <n v="10.459999999999999"/>
    <n v="1080"/>
    <n v="1090.46"/>
  </r>
  <r>
    <x v="84"/>
    <d v="2014-07-28T00:00:00"/>
    <n v="7.06"/>
    <n v="0.19"/>
    <n v="2"/>
    <n v="9"/>
    <n v="7.25"/>
    <n v="180"/>
    <n v="187.25"/>
  </r>
  <r>
    <x v="84"/>
    <d v="2014-08-09T00:00:00"/>
    <n v="6.75"/>
    <n v="0.18"/>
    <n v="5"/>
    <n v="21"/>
    <n v="6.93"/>
    <n v="1050"/>
    <n v="1056.93"/>
  </r>
  <r>
    <x v="84"/>
    <d v="2014-08-10T00:00:00"/>
    <n v="8.83"/>
    <n v="0.23"/>
    <n v="6"/>
    <n v="22"/>
    <n v="9.06"/>
    <n v="1320"/>
    <n v="1329.06"/>
  </r>
  <r>
    <x v="84"/>
    <d v="2014-08-09T00:00:00"/>
    <n v="8.39"/>
    <n v="0.22"/>
    <n v="2"/>
    <n v="21"/>
    <n v="8.6100000000000012"/>
    <n v="420"/>
    <n v="428.61"/>
  </r>
  <r>
    <x v="84"/>
    <d v="2014-08-02T00:00:00"/>
    <n v="6.23"/>
    <n v="0.16"/>
    <n v="3"/>
    <n v="14"/>
    <n v="6.3900000000000006"/>
    <n v="420"/>
    <n v="426.39"/>
  </r>
  <r>
    <x v="84"/>
    <d v="2014-08-08T00:00:00"/>
    <n v="3.79"/>
    <n v="0.1"/>
    <n v="4"/>
    <n v="20"/>
    <n v="3.89"/>
    <n v="800"/>
    <n v="803.89"/>
  </r>
  <r>
    <x v="84"/>
    <d v="2014-08-15T00:00:00"/>
    <n v="11.37"/>
    <n v="0.3"/>
    <n v="5"/>
    <n v="27"/>
    <n v="11.67"/>
    <n v="1350"/>
    <n v="1361.67"/>
  </r>
  <r>
    <x v="84"/>
    <d v="2014-07-27T00:00:00"/>
    <n v="5.64"/>
    <n v="0.15"/>
    <n v="5"/>
    <n v="8"/>
    <n v="5.79"/>
    <n v="400"/>
    <n v="405.79"/>
  </r>
  <r>
    <x v="84"/>
    <d v="2014-08-07T00:00:00"/>
    <n v="7.55"/>
    <n v="0.2"/>
    <n v="2"/>
    <n v="19"/>
    <n v="7.75"/>
    <n v="380"/>
    <n v="387.75"/>
  </r>
  <r>
    <x v="84"/>
    <d v="2014-08-02T00:00:00"/>
    <n v="10.199999999999999"/>
    <n v="0.27"/>
    <n v="4"/>
    <n v="14"/>
    <n v="10.469999999999999"/>
    <n v="560"/>
    <n v="570.47"/>
  </r>
  <r>
    <x v="84"/>
    <d v="2014-08-11T00:00:00"/>
    <n v="2.0099999999999998"/>
    <n v="0.05"/>
    <n v="6"/>
    <n v="23"/>
    <n v="2.0599999999999996"/>
    <n v="1380"/>
    <n v="1382.06"/>
  </r>
  <r>
    <x v="84"/>
    <d v="2014-08-11T00:00:00"/>
    <n v="13.81"/>
    <n v="0.36"/>
    <n v="3"/>
    <n v="23"/>
    <n v="14.17"/>
    <n v="690"/>
    <n v="704.17"/>
  </r>
  <r>
    <x v="85"/>
    <d v="2014-08-17T00:00:00"/>
    <n v="8.7200000000000006"/>
    <n v="0.23"/>
    <n v="2"/>
    <n v="27"/>
    <n v="8.9500000000000011"/>
    <n v="540"/>
    <n v="548.95000000000005"/>
  </r>
  <r>
    <x v="85"/>
    <d v="2014-08-08T00:00:00"/>
    <n v="11.44"/>
    <n v="0.3"/>
    <n v="3"/>
    <n v="18"/>
    <n v="11.74"/>
    <n v="540"/>
    <n v="551.74"/>
  </r>
  <r>
    <x v="85"/>
    <d v="2014-08-03T00:00:00"/>
    <n v="3.94"/>
    <n v="0.1"/>
    <n v="2"/>
    <n v="13"/>
    <n v="4.04"/>
    <n v="260"/>
    <n v="264.04000000000002"/>
  </r>
  <r>
    <x v="86"/>
    <d v="2014-08-20T00:00:00"/>
    <n v="9.4600000000000009"/>
    <n v="0.25"/>
    <n v="3"/>
    <n v="26"/>
    <n v="9.7100000000000009"/>
    <n v="780"/>
    <n v="789.71"/>
  </r>
  <r>
    <x v="86"/>
    <d v="2014-08-02T00:00:00"/>
    <n v="11.69"/>
    <n v="0.31"/>
    <n v="4"/>
    <n v="8"/>
    <n v="12"/>
    <n v="320"/>
    <n v="332"/>
  </r>
  <r>
    <x v="86"/>
    <d v="2014-08-19T00:00:00"/>
    <n v="8.83"/>
    <n v="0.23"/>
    <n v="2"/>
    <n v="25"/>
    <n v="9.06"/>
    <n v="500"/>
    <n v="509.06"/>
  </r>
  <r>
    <x v="86"/>
    <d v="2014-08-15T00:00:00"/>
    <n v="8.83"/>
    <n v="0.23"/>
    <n v="6"/>
    <n v="21"/>
    <n v="9.06"/>
    <n v="1260"/>
    <n v="1269.06"/>
  </r>
  <r>
    <x v="86"/>
    <d v="2014-08-15T00:00:00"/>
    <n v="9.1300000000000008"/>
    <n v="0.24"/>
    <n v="4"/>
    <n v="21"/>
    <n v="9.370000000000001"/>
    <n v="840"/>
    <n v="849.37"/>
  </r>
  <r>
    <x v="86"/>
    <d v="2014-08-22T00:00:00"/>
    <n v="9.06"/>
    <n v="0.24"/>
    <n v="5"/>
    <n v="28"/>
    <n v="9.3000000000000007"/>
    <n v="1400"/>
    <n v="1409.3"/>
  </r>
  <r>
    <x v="87"/>
    <d v="2014-08-22T00:00:00"/>
    <n v="10.19"/>
    <n v="0.27"/>
    <n v="5"/>
    <n v="22"/>
    <n v="10.459999999999999"/>
    <n v="1100"/>
    <n v="1110.46"/>
  </r>
  <r>
    <x v="87"/>
    <d v="2014-08-21T00:00:00"/>
    <n v="14"/>
    <n v="0.37"/>
    <n v="4"/>
    <n v="21"/>
    <n v="14.37"/>
    <n v="840"/>
    <n v="854.37"/>
  </r>
  <r>
    <x v="87"/>
    <d v="2014-08-07T00:00:00"/>
    <n v="11.44"/>
    <n v="0.3"/>
    <n v="5"/>
    <n v="7"/>
    <n v="11.74"/>
    <n v="350"/>
    <n v="361.74"/>
  </r>
  <r>
    <x v="87"/>
    <d v="2014-08-20T00:00:00"/>
    <n v="7.31"/>
    <n v="0.19"/>
    <n v="2"/>
    <n v="20"/>
    <n v="7.5"/>
    <n v="400"/>
    <n v="407.5"/>
  </r>
  <r>
    <x v="87"/>
    <d v="2014-08-12T00:00:00"/>
    <n v="9.4600000000000009"/>
    <n v="0.25"/>
    <n v="2"/>
    <n v="12"/>
    <n v="9.7100000000000009"/>
    <n v="240"/>
    <n v="249.71"/>
  </r>
  <r>
    <x v="87"/>
    <d v="2014-08-05T00:00:00"/>
    <n v="8.83"/>
    <n v="0.23"/>
    <n v="3"/>
    <n v="5"/>
    <n v="9.06"/>
    <n v="150"/>
    <n v="159.06"/>
  </r>
  <r>
    <x v="87"/>
    <d v="2014-08-04T00:00:00"/>
    <n v="6.88"/>
    <n v="0.18"/>
    <n v="2"/>
    <n v="4"/>
    <n v="7.06"/>
    <n v="80"/>
    <n v="87.06"/>
  </r>
  <r>
    <x v="87"/>
    <d v="2014-08-02T00:00:00"/>
    <n v="6.75"/>
    <n v="0.18"/>
    <n v="3"/>
    <n v="2"/>
    <n v="6.93"/>
    <n v="60"/>
    <n v="66.930000000000007"/>
  </r>
  <r>
    <x v="87"/>
    <d v="2014-08-18T00:00:00"/>
    <n v="19.54"/>
    <n v="0.51"/>
    <n v="3"/>
    <n v="18"/>
    <n v="20.05"/>
    <n v="540"/>
    <n v="560.04999999999995"/>
  </r>
  <r>
    <x v="87"/>
    <d v="2014-08-05T00:00:00"/>
    <n v="14.31"/>
    <n v="0.38"/>
    <n v="6"/>
    <n v="5"/>
    <n v="14.690000000000001"/>
    <n v="300"/>
    <n v="314.69"/>
  </r>
  <r>
    <x v="87"/>
    <d v="2014-08-19T00:00:00"/>
    <n v="3.79"/>
    <n v="0.1"/>
    <n v="2"/>
    <n v="19"/>
    <n v="3.89"/>
    <n v="380"/>
    <n v="383.89"/>
  </r>
  <r>
    <x v="87"/>
    <d v="2014-08-17T00:00:00"/>
    <n v="8.89"/>
    <n v="0.23"/>
    <n v="5"/>
    <n v="17"/>
    <n v="9.120000000000001"/>
    <n v="850"/>
    <n v="859.12"/>
  </r>
  <r>
    <x v="87"/>
    <d v="2014-08-16T00:00:00"/>
    <n v="7.71"/>
    <n v="0.2"/>
    <n v="5"/>
    <n v="16"/>
    <n v="7.91"/>
    <n v="800"/>
    <n v="807.91"/>
  </r>
  <r>
    <x v="87"/>
    <d v="2014-08-13T00:00:00"/>
    <n v="16.829999999999998"/>
    <n v="0.44"/>
    <n v="6"/>
    <n v="13"/>
    <n v="17.27"/>
    <n v="780"/>
    <n v="797.27"/>
  </r>
  <r>
    <x v="87"/>
    <d v="2014-08-06T00:00:00"/>
    <n v="5.23"/>
    <n v="0.14000000000000001"/>
    <n v="6"/>
    <n v="6"/>
    <n v="5.37"/>
    <n v="360"/>
    <n v="365.37"/>
  </r>
  <r>
    <x v="87"/>
    <d v="2014-08-02T00:00:00"/>
    <n v="10.79"/>
    <n v="0.28000000000000003"/>
    <n v="5"/>
    <n v="2"/>
    <n v="11.069999999999999"/>
    <n v="100"/>
    <n v="111.07"/>
  </r>
  <r>
    <x v="87"/>
    <d v="2014-08-17T00:00:00"/>
    <n v="12.23"/>
    <n v="0.32"/>
    <n v="2"/>
    <n v="17"/>
    <n v="12.55"/>
    <n v="340"/>
    <n v="352.55"/>
  </r>
  <r>
    <x v="87"/>
    <d v="2014-08-19T00:00:00"/>
    <n v="5.78"/>
    <n v="0.15"/>
    <n v="6"/>
    <n v="19"/>
    <n v="5.9300000000000006"/>
    <n v="1140"/>
    <n v="1145.93"/>
  </r>
  <r>
    <x v="88"/>
    <d v="2014-08-14T00:00:00"/>
    <n v="5.23"/>
    <n v="0.14000000000000001"/>
    <n v="3"/>
    <n v="8"/>
    <n v="5.37"/>
    <n v="240"/>
    <n v="245.37"/>
  </r>
  <r>
    <x v="88"/>
    <d v="2014-08-17T00:00:00"/>
    <n v="9.06"/>
    <n v="0.24"/>
    <n v="2"/>
    <n v="11"/>
    <n v="9.3000000000000007"/>
    <n v="220"/>
    <n v="229.3"/>
  </r>
  <r>
    <x v="88"/>
    <d v="2014-09-03T00:00:00"/>
    <n v="12.23"/>
    <n v="0.32"/>
    <n v="4"/>
    <n v="28"/>
    <n v="12.55"/>
    <n v="1120"/>
    <n v="1132.55"/>
  </r>
  <r>
    <x v="88"/>
    <d v="2014-08-30T00:00:00"/>
    <n v="8.83"/>
    <n v="0.23"/>
    <n v="4"/>
    <n v="24"/>
    <n v="9.06"/>
    <n v="960"/>
    <n v="969.06"/>
  </r>
  <r>
    <x v="88"/>
    <d v="2014-08-25T00:00:00"/>
    <n v="10.93"/>
    <n v="0.28999999999999998"/>
    <n v="5"/>
    <n v="19"/>
    <n v="11.219999999999999"/>
    <n v="950"/>
    <n v="961.22"/>
  </r>
  <r>
    <x v="89"/>
    <d v="2014-08-23T00:00:00"/>
    <n v="3.94"/>
    <n v="0.1"/>
    <n v="2"/>
    <n v="14"/>
    <n v="4.04"/>
    <n v="280"/>
    <n v="284.04000000000002"/>
  </r>
  <r>
    <x v="90"/>
    <d v="2014-09-03T00:00:00"/>
    <n v="19.54"/>
    <n v="0.51"/>
    <n v="6"/>
    <n v="22"/>
    <n v="20.05"/>
    <n v="1320"/>
    <n v="1340.05"/>
  </r>
  <r>
    <x v="90"/>
    <d v="2014-08-21T00:00:00"/>
    <n v="6.75"/>
    <n v="0.18"/>
    <n v="2"/>
    <n v="9"/>
    <n v="6.93"/>
    <n v="180"/>
    <n v="186.93"/>
  </r>
  <r>
    <x v="90"/>
    <d v="2014-09-06T00:00:00"/>
    <n v="7.55"/>
    <n v="0.2"/>
    <n v="5"/>
    <n v="25"/>
    <n v="7.75"/>
    <n v="1250"/>
    <n v="1257.75"/>
  </r>
  <r>
    <x v="90"/>
    <d v="2014-09-04T00:00:00"/>
    <n v="3.73"/>
    <n v="0.1"/>
    <n v="5"/>
    <n v="23"/>
    <n v="3.83"/>
    <n v="1150"/>
    <n v="1153.83"/>
  </r>
  <r>
    <x v="90"/>
    <d v="2014-08-23T00:00:00"/>
    <n v="8.51"/>
    <n v="0.22"/>
    <n v="2"/>
    <n v="11"/>
    <n v="8.73"/>
    <n v="220"/>
    <n v="228.73"/>
  </r>
  <r>
    <x v="90"/>
    <d v="2014-08-27T00:00:00"/>
    <n v="6.88"/>
    <n v="0.18"/>
    <n v="3"/>
    <n v="15"/>
    <n v="7.06"/>
    <n v="450"/>
    <n v="457.06"/>
  </r>
  <r>
    <x v="90"/>
    <d v="2014-08-23T00:00:00"/>
    <n v="6.75"/>
    <n v="0.18"/>
    <n v="4"/>
    <n v="11"/>
    <n v="6.93"/>
    <n v="440"/>
    <n v="446.93"/>
  </r>
  <r>
    <x v="90"/>
    <d v="2014-08-24T00:00:00"/>
    <n v="11.42"/>
    <n v="0.3"/>
    <n v="5"/>
    <n v="12"/>
    <n v="11.72"/>
    <n v="600"/>
    <n v="611.72"/>
  </r>
  <r>
    <x v="90"/>
    <d v="2014-08-15T00:00:00"/>
    <n v="16.940000000000001"/>
    <n v="0.45"/>
    <n v="3"/>
    <n v="3"/>
    <n v="17.39"/>
    <n v="90"/>
    <n v="107.39"/>
  </r>
  <r>
    <x v="90"/>
    <d v="2014-08-16T00:00:00"/>
    <n v="6.34"/>
    <n v="0.17"/>
    <n v="6"/>
    <n v="4"/>
    <n v="6.51"/>
    <n v="240"/>
    <n v="246.51"/>
  </r>
  <r>
    <x v="90"/>
    <d v="2014-08-19T00:00:00"/>
    <n v="8.83"/>
    <n v="0.23"/>
    <n v="4"/>
    <n v="7"/>
    <n v="9.06"/>
    <n v="280"/>
    <n v="289.06"/>
  </r>
  <r>
    <x v="90"/>
    <d v="2014-08-25T00:00:00"/>
    <n v="6.34"/>
    <n v="0.17"/>
    <n v="3"/>
    <n v="13"/>
    <n v="6.51"/>
    <n v="390"/>
    <n v="396.51"/>
  </r>
  <r>
    <x v="90"/>
    <d v="2014-08-29T00:00:00"/>
    <n v="8.84"/>
    <n v="0.23"/>
    <n v="3"/>
    <n v="17"/>
    <n v="9.07"/>
    <n v="510"/>
    <n v="519.07000000000005"/>
  </r>
  <r>
    <x v="90"/>
    <d v="2014-08-18T00:00:00"/>
    <n v="8.65"/>
    <n v="0.23"/>
    <n v="2"/>
    <n v="6"/>
    <n v="8.8800000000000008"/>
    <n v="120"/>
    <n v="128.88"/>
  </r>
  <r>
    <x v="90"/>
    <d v="2014-09-05T00:00:00"/>
    <n v="8.51"/>
    <n v="0.22"/>
    <n v="4"/>
    <n v="24"/>
    <n v="8.73"/>
    <n v="960"/>
    <n v="968.73"/>
  </r>
  <r>
    <x v="90"/>
    <d v="2014-09-08T00:00:00"/>
    <n v="9.74"/>
    <n v="0.26"/>
    <n v="5"/>
    <n v="27"/>
    <n v="10"/>
    <n v="1350"/>
    <n v="1360"/>
  </r>
  <r>
    <x v="90"/>
    <d v="2014-09-05T00:00:00"/>
    <n v="13.02"/>
    <n v="0.34"/>
    <n v="2"/>
    <n v="24"/>
    <n v="13.36"/>
    <n v="480"/>
    <n v="493.36"/>
  </r>
  <r>
    <x v="91"/>
    <d v="2014-08-18T00:00:00"/>
    <n v="4.66"/>
    <n v="0.12"/>
    <n v="3"/>
    <n v="4"/>
    <n v="4.78"/>
    <n v="120"/>
    <n v="124.78"/>
  </r>
  <r>
    <x v="92"/>
    <d v="2014-09-02T00:00:00"/>
    <n v="14.13"/>
    <n v="0.37"/>
    <n v="4"/>
    <n v="15"/>
    <n v="14.5"/>
    <n v="600"/>
    <n v="614.5"/>
  </r>
  <r>
    <x v="92"/>
    <d v="2014-09-10T00:00:00"/>
    <n v="11.37"/>
    <n v="0.3"/>
    <n v="2"/>
    <n v="23"/>
    <n v="11.67"/>
    <n v="460"/>
    <n v="471.67"/>
  </r>
  <r>
    <x v="92"/>
    <d v="2014-09-08T00:00:00"/>
    <n v="3.79"/>
    <n v="0.1"/>
    <n v="3"/>
    <n v="21"/>
    <n v="3.89"/>
    <n v="630"/>
    <n v="633.89"/>
  </r>
  <r>
    <x v="92"/>
    <d v="2014-08-24T00:00:00"/>
    <n v="11.42"/>
    <n v="0.3"/>
    <n v="6"/>
    <n v="6"/>
    <n v="11.72"/>
    <n v="360"/>
    <n v="371.72"/>
  </r>
  <r>
    <x v="92"/>
    <d v="2014-09-10T00:00:00"/>
    <n v="8.84"/>
    <n v="0.23"/>
    <n v="3"/>
    <n v="23"/>
    <n v="9.07"/>
    <n v="690"/>
    <n v="699.07"/>
  </r>
  <r>
    <x v="92"/>
    <d v="2014-08-24T00:00:00"/>
    <n v="11.69"/>
    <n v="0.31"/>
    <n v="6"/>
    <n v="6"/>
    <n v="12"/>
    <n v="360"/>
    <n v="372"/>
  </r>
  <r>
    <x v="93"/>
    <d v="2014-08-28T00:00:00"/>
    <n v="5.78"/>
    <n v="0.15"/>
    <n v="4"/>
    <n v="4"/>
    <n v="5.9300000000000006"/>
    <n v="160"/>
    <n v="165.93"/>
  </r>
  <r>
    <x v="93"/>
    <d v="2014-08-26T00:00:00"/>
    <n v="19.54"/>
    <n v="0.51"/>
    <n v="5"/>
    <n v="2"/>
    <n v="20.05"/>
    <n v="100"/>
    <n v="120.05"/>
  </r>
  <r>
    <x v="93"/>
    <d v="2014-09-09T00:00:00"/>
    <n v="9.06"/>
    <n v="0.24"/>
    <n v="2"/>
    <n v="16"/>
    <n v="9.3000000000000007"/>
    <n v="320"/>
    <n v="329.3"/>
  </r>
  <r>
    <x v="93"/>
    <d v="2014-09-08T00:00:00"/>
    <n v="13.81"/>
    <n v="0.36"/>
    <n v="6"/>
    <n v="15"/>
    <n v="14.17"/>
    <n v="900"/>
    <n v="914.17"/>
  </r>
  <r>
    <x v="93"/>
    <d v="2014-09-04T00:00:00"/>
    <n v="11.42"/>
    <n v="0.3"/>
    <n v="5"/>
    <n v="11"/>
    <n v="11.72"/>
    <n v="550"/>
    <n v="561.72"/>
  </r>
  <r>
    <x v="93"/>
    <d v="2014-08-30T00:00:00"/>
    <n v="14.31"/>
    <n v="0.38"/>
    <n v="2"/>
    <n v="6"/>
    <n v="14.690000000000001"/>
    <n v="120"/>
    <n v="134.69"/>
  </r>
  <r>
    <x v="93"/>
    <d v="2014-09-12T00:00:00"/>
    <n v="8.83"/>
    <n v="0.23"/>
    <n v="3"/>
    <n v="19"/>
    <n v="9.06"/>
    <n v="570"/>
    <n v="579.05999999999995"/>
  </r>
  <r>
    <x v="93"/>
    <d v="2014-09-03T00:00:00"/>
    <n v="14.31"/>
    <n v="0.38"/>
    <n v="3"/>
    <n v="10"/>
    <n v="14.690000000000001"/>
    <n v="300"/>
    <n v="314.69"/>
  </r>
  <r>
    <x v="93"/>
    <d v="2014-09-13T00:00:00"/>
    <n v="11.37"/>
    <n v="0.3"/>
    <n v="2"/>
    <n v="20"/>
    <n v="11.67"/>
    <n v="400"/>
    <n v="411.67"/>
  </r>
  <r>
    <x v="93"/>
    <d v="2014-09-12T00:00:00"/>
    <n v="11.44"/>
    <n v="0.3"/>
    <n v="2"/>
    <n v="19"/>
    <n v="11.74"/>
    <n v="380"/>
    <n v="391.74"/>
  </r>
  <r>
    <x v="93"/>
    <d v="2014-09-20T00:00:00"/>
    <n v="8.65"/>
    <n v="0.23"/>
    <n v="4"/>
    <n v="27"/>
    <n v="8.8800000000000008"/>
    <n v="1080"/>
    <n v="1088.8800000000001"/>
  </r>
  <r>
    <x v="94"/>
    <d v="2014-09-04T00:00:00"/>
    <n v="11.42"/>
    <n v="0.3"/>
    <n v="5"/>
    <n v="10"/>
    <n v="11.72"/>
    <n v="500"/>
    <n v="511.72"/>
  </r>
  <r>
    <x v="94"/>
    <d v="2014-09-04T00:00:00"/>
    <n v="8.39"/>
    <n v="0.22"/>
    <n v="2"/>
    <n v="10"/>
    <n v="8.6100000000000012"/>
    <n v="200"/>
    <n v="208.61"/>
  </r>
  <r>
    <x v="94"/>
    <d v="2014-09-05T00:00:00"/>
    <n v="9.74"/>
    <n v="0.26"/>
    <n v="4"/>
    <n v="11"/>
    <n v="10"/>
    <n v="440"/>
    <n v="450"/>
  </r>
  <r>
    <x v="94"/>
    <d v="2014-09-21T00:00:00"/>
    <n v="5.23"/>
    <n v="0.14000000000000001"/>
    <n v="6"/>
    <n v="27"/>
    <n v="5.37"/>
    <n v="1620"/>
    <n v="1625.37"/>
  </r>
  <r>
    <x v="94"/>
    <d v="2014-09-12T00:00:00"/>
    <n v="8.39"/>
    <n v="0.22"/>
    <n v="3"/>
    <n v="18"/>
    <n v="8.6100000000000012"/>
    <n v="540"/>
    <n v="548.61"/>
  </r>
  <r>
    <x v="95"/>
    <d v="2014-09-14T00:00:00"/>
    <n v="5.23"/>
    <n v="0.14000000000000001"/>
    <n v="4"/>
    <n v="19"/>
    <n v="5.37"/>
    <n v="760"/>
    <n v="765.37"/>
  </r>
  <r>
    <x v="96"/>
    <d v="2014-09-02T00:00:00"/>
    <n v="6.34"/>
    <n v="0.17"/>
    <n v="4"/>
    <n v="6"/>
    <n v="6.51"/>
    <n v="240"/>
    <n v="246.51"/>
  </r>
  <r>
    <x v="97"/>
    <d v="2014-09-26T00:00:00"/>
    <n v="10.93"/>
    <n v="0.28999999999999998"/>
    <n v="4"/>
    <n v="27"/>
    <n v="11.219999999999999"/>
    <n v="1080"/>
    <n v="1091.22"/>
  </r>
  <r>
    <x v="97"/>
    <d v="2014-09-12T00:00:00"/>
    <n v="8.89"/>
    <n v="0.23"/>
    <n v="2"/>
    <n v="13"/>
    <n v="9.120000000000001"/>
    <n v="260"/>
    <n v="269.12"/>
  </r>
  <r>
    <x v="97"/>
    <d v="2014-09-01T00:00:00"/>
    <n v="5.57"/>
    <n v="0.15"/>
    <n v="2"/>
    <n v="2"/>
    <n v="5.7200000000000006"/>
    <n v="40"/>
    <n v="45.72"/>
  </r>
  <r>
    <x v="97"/>
    <d v="2014-09-25T00:00:00"/>
    <n v="6.23"/>
    <n v="0.16"/>
    <n v="3"/>
    <n v="26"/>
    <n v="6.3900000000000006"/>
    <n v="780"/>
    <n v="786.39"/>
  </r>
  <r>
    <x v="97"/>
    <d v="2014-09-14T00:00:00"/>
    <n v="11.42"/>
    <n v="0.3"/>
    <n v="4"/>
    <n v="15"/>
    <n v="11.72"/>
    <n v="600"/>
    <n v="611.72"/>
  </r>
  <r>
    <x v="97"/>
    <d v="2014-09-21T00:00:00"/>
    <n v="16.940000000000001"/>
    <n v="0.45"/>
    <n v="3"/>
    <n v="22"/>
    <n v="17.39"/>
    <n v="660"/>
    <n v="677.39"/>
  </r>
  <r>
    <x v="98"/>
    <d v="2014-09-19T00:00:00"/>
    <n v="7.06"/>
    <n v="0.19"/>
    <n v="4"/>
    <n v="16"/>
    <n v="7.25"/>
    <n v="640"/>
    <n v="647.25"/>
  </r>
  <r>
    <x v="99"/>
    <d v="2014-09-17T00:00:00"/>
    <n v="5.64"/>
    <n v="0.15"/>
    <n v="4"/>
    <n v="13"/>
    <n v="5.79"/>
    <n v="520"/>
    <n v="525.79"/>
  </r>
  <r>
    <x v="99"/>
    <d v="2014-09-16T00:00:00"/>
    <n v="7.3"/>
    <n v="0.19"/>
    <n v="3"/>
    <n v="12"/>
    <n v="7.49"/>
    <n v="360"/>
    <n v="367.49"/>
  </r>
  <r>
    <x v="99"/>
    <d v="2014-09-14T00:00:00"/>
    <n v="7.06"/>
    <n v="0.19"/>
    <n v="3"/>
    <n v="10"/>
    <n v="7.25"/>
    <n v="300"/>
    <n v="307.25"/>
  </r>
  <r>
    <x v="99"/>
    <d v="2014-09-14T00:00:00"/>
    <n v="5.64"/>
    <n v="0.15"/>
    <n v="5"/>
    <n v="10"/>
    <n v="5.79"/>
    <n v="500"/>
    <n v="505.79"/>
  </r>
  <r>
    <x v="99"/>
    <d v="2014-09-07T00:00:00"/>
    <n v="3.73"/>
    <n v="0.1"/>
    <n v="6"/>
    <n v="3"/>
    <n v="3.83"/>
    <n v="180"/>
    <n v="183.83"/>
  </r>
  <r>
    <x v="99"/>
    <d v="2014-09-26T00:00:00"/>
    <n v="13.81"/>
    <n v="0.36"/>
    <n v="6"/>
    <n v="22"/>
    <n v="14.17"/>
    <n v="1320"/>
    <n v="1334.17"/>
  </r>
  <r>
    <x v="99"/>
    <d v="2014-09-14T00:00:00"/>
    <n v="5.47"/>
    <n v="0.14000000000000001"/>
    <n v="2"/>
    <n v="10"/>
    <n v="5.6099999999999994"/>
    <n v="200"/>
    <n v="205.61"/>
  </r>
  <r>
    <x v="99"/>
    <d v="2014-10-02T00:00:00"/>
    <n v="7.31"/>
    <n v="0.19"/>
    <n v="6"/>
    <n v="28"/>
    <n v="7.5"/>
    <n v="1680"/>
    <n v="1687.5"/>
  </r>
  <r>
    <x v="99"/>
    <d v="2014-09-06T00:00:00"/>
    <n v="3.73"/>
    <n v="0.1"/>
    <n v="3"/>
    <n v="2"/>
    <n v="3.83"/>
    <n v="60"/>
    <n v="63.83"/>
  </r>
  <r>
    <x v="99"/>
    <d v="2014-09-25T00:00:00"/>
    <n v="8.39"/>
    <n v="0.22"/>
    <n v="4"/>
    <n v="21"/>
    <n v="8.6100000000000012"/>
    <n v="840"/>
    <n v="848.61"/>
  </r>
  <r>
    <x v="99"/>
    <d v="2014-09-15T00:00:00"/>
    <n v="13.07"/>
    <n v="0.34"/>
    <n v="2"/>
    <n v="11"/>
    <n v="13.41"/>
    <n v="220"/>
    <n v="233.41"/>
  </r>
  <r>
    <x v="99"/>
    <d v="2014-09-09T00:00:00"/>
    <n v="7.35"/>
    <n v="0.19"/>
    <n v="3"/>
    <n v="5"/>
    <n v="7.54"/>
    <n v="150"/>
    <n v="157.54"/>
  </r>
  <r>
    <x v="99"/>
    <d v="2014-09-14T00:00:00"/>
    <n v="14.31"/>
    <n v="0.38"/>
    <n v="5"/>
    <n v="10"/>
    <n v="14.690000000000001"/>
    <n v="500"/>
    <n v="514.69000000000005"/>
  </r>
  <r>
    <x v="99"/>
    <d v="2014-10-02T00:00:00"/>
    <n v="5.57"/>
    <n v="0.15"/>
    <n v="4"/>
    <n v="28"/>
    <n v="5.7200000000000006"/>
    <n v="1120"/>
    <n v="1125.72"/>
  </r>
  <r>
    <x v="99"/>
    <d v="2014-09-06T00:00:00"/>
    <n v="5.23"/>
    <n v="0.14000000000000001"/>
    <n v="2"/>
    <n v="2"/>
    <n v="5.37"/>
    <n v="40"/>
    <n v="45.37"/>
  </r>
  <r>
    <x v="99"/>
    <d v="2014-09-18T00:00:00"/>
    <n v="10.79"/>
    <n v="0.28000000000000003"/>
    <n v="4"/>
    <n v="14"/>
    <n v="11.069999999999999"/>
    <n v="560"/>
    <n v="571.07000000000005"/>
  </r>
  <r>
    <x v="99"/>
    <d v="2014-09-10T00:00:00"/>
    <n v="2.72"/>
    <n v="7.0000000000000007E-2"/>
    <n v="2"/>
    <n v="6"/>
    <n v="2.79"/>
    <n v="120"/>
    <n v="122.79"/>
  </r>
  <r>
    <x v="100"/>
    <d v="2014-10-01T00:00:00"/>
    <n v="7.55"/>
    <n v="0.2"/>
    <n v="3"/>
    <n v="26"/>
    <n v="7.75"/>
    <n v="780"/>
    <n v="787.75"/>
  </r>
  <r>
    <x v="100"/>
    <d v="2014-09-24T00:00:00"/>
    <n v="6.43"/>
    <n v="0.17"/>
    <n v="2"/>
    <n v="19"/>
    <n v="6.6"/>
    <n v="380"/>
    <n v="386.6"/>
  </r>
  <r>
    <x v="100"/>
    <d v="2014-09-23T00:00:00"/>
    <n v="3.88"/>
    <n v="0.1"/>
    <n v="6"/>
    <n v="18"/>
    <n v="3.98"/>
    <n v="1080"/>
    <n v="1083.98"/>
  </r>
  <r>
    <x v="100"/>
    <d v="2014-09-07T00:00:00"/>
    <n v="5.67"/>
    <n v="0.15"/>
    <n v="4"/>
    <n v="2"/>
    <n v="5.82"/>
    <n v="80"/>
    <n v="85.82"/>
  </r>
  <r>
    <x v="100"/>
    <d v="2014-09-07T00:00:00"/>
    <n v="12.01"/>
    <n v="0.32"/>
    <n v="4"/>
    <n v="2"/>
    <n v="12.33"/>
    <n v="80"/>
    <n v="92.33"/>
  </r>
  <r>
    <x v="100"/>
    <d v="2014-09-26T00:00:00"/>
    <n v="6.58"/>
    <n v="0.17"/>
    <n v="6"/>
    <n v="21"/>
    <n v="6.75"/>
    <n v="1260"/>
    <n v="1266.75"/>
  </r>
  <r>
    <x v="100"/>
    <d v="2014-10-02T00:00:00"/>
    <n v="3.79"/>
    <n v="0.1"/>
    <n v="3"/>
    <n v="27"/>
    <n v="3.89"/>
    <n v="810"/>
    <n v="813.89"/>
  </r>
  <r>
    <x v="100"/>
    <d v="2014-09-09T00:00:00"/>
    <n v="8.83"/>
    <n v="0.23"/>
    <n v="2"/>
    <n v="4"/>
    <n v="9.06"/>
    <n v="80"/>
    <n v="89.06"/>
  </r>
  <r>
    <x v="100"/>
    <d v="2014-09-09T00:00:00"/>
    <n v="14.31"/>
    <n v="0.38"/>
    <n v="3"/>
    <n v="4"/>
    <n v="14.690000000000001"/>
    <n v="120"/>
    <n v="134.69"/>
  </r>
  <r>
    <x v="100"/>
    <d v="2014-09-18T00:00:00"/>
    <n v="5.47"/>
    <n v="0.14000000000000001"/>
    <n v="3"/>
    <n v="13"/>
    <n v="5.6099999999999994"/>
    <n v="390"/>
    <n v="395.61"/>
  </r>
  <r>
    <x v="100"/>
    <d v="2014-09-25T00:00:00"/>
    <n v="8.9499999999999993"/>
    <n v="0.24"/>
    <n v="4"/>
    <n v="20"/>
    <n v="9.19"/>
    <n v="800"/>
    <n v="809.19"/>
  </r>
  <r>
    <x v="100"/>
    <d v="2014-09-30T00:00:00"/>
    <n v="4.25"/>
    <n v="0.11"/>
    <n v="5"/>
    <n v="25"/>
    <n v="4.3600000000000003"/>
    <n v="1250"/>
    <n v="1254.3599999999999"/>
  </r>
  <r>
    <x v="100"/>
    <d v="2014-09-12T00:00:00"/>
    <n v="6.88"/>
    <n v="0.18"/>
    <n v="5"/>
    <n v="7"/>
    <n v="7.06"/>
    <n v="350"/>
    <n v="357.06"/>
  </r>
  <r>
    <x v="100"/>
    <d v="2014-09-29T00:00:00"/>
    <n v="8.89"/>
    <n v="0.23"/>
    <n v="3"/>
    <n v="24"/>
    <n v="9.120000000000001"/>
    <n v="720"/>
    <n v="729.12"/>
  </r>
  <r>
    <x v="101"/>
    <d v="2014-10-04T00:00:00"/>
    <n v="6.43"/>
    <n v="0.17"/>
    <n v="5"/>
    <n v="27"/>
    <n v="6.6"/>
    <n v="1350"/>
    <n v="1356.6"/>
  </r>
  <r>
    <x v="102"/>
    <d v="2014-10-06T00:00:00"/>
    <n v="6.58"/>
    <n v="0.17"/>
    <n v="5"/>
    <n v="28"/>
    <n v="6.75"/>
    <n v="1400"/>
    <n v="1406.75"/>
  </r>
  <r>
    <x v="102"/>
    <d v="2014-09-16T00:00:00"/>
    <n v="5.67"/>
    <n v="0.15"/>
    <n v="2"/>
    <n v="8"/>
    <n v="5.82"/>
    <n v="160"/>
    <n v="165.82"/>
  </r>
  <r>
    <x v="102"/>
    <d v="2014-09-30T00:00:00"/>
    <n v="3.57"/>
    <n v="0.09"/>
    <n v="3"/>
    <n v="22"/>
    <n v="3.6599999999999997"/>
    <n v="660"/>
    <n v="663.66"/>
  </r>
  <r>
    <x v="102"/>
    <d v="2014-09-13T00:00:00"/>
    <n v="3.73"/>
    <n v="0.1"/>
    <n v="3"/>
    <n v="5"/>
    <n v="3.83"/>
    <n v="150"/>
    <n v="153.83000000000001"/>
  </r>
  <r>
    <x v="103"/>
    <d v="2014-09-18T00:00:00"/>
    <n v="8.5399999999999991"/>
    <n v="0.22"/>
    <n v="4"/>
    <n v="7"/>
    <n v="8.76"/>
    <n v="280"/>
    <n v="288.76"/>
  </r>
  <r>
    <x v="103"/>
    <d v="2014-09-16T00:00:00"/>
    <n v="16.829999999999998"/>
    <n v="0.44"/>
    <n v="3"/>
    <n v="5"/>
    <n v="17.27"/>
    <n v="150"/>
    <n v="167.27"/>
  </r>
  <r>
    <x v="103"/>
    <d v="2014-10-06T00:00:00"/>
    <n v="11.42"/>
    <n v="0.3"/>
    <n v="6"/>
    <n v="25"/>
    <n v="11.72"/>
    <n v="1500"/>
    <n v="1511.72"/>
  </r>
  <r>
    <x v="103"/>
    <d v="2014-09-17T00:00:00"/>
    <n v="8.84"/>
    <n v="0.23"/>
    <n v="2"/>
    <n v="6"/>
    <n v="9.07"/>
    <n v="120"/>
    <n v="129.07"/>
  </r>
  <r>
    <x v="103"/>
    <d v="2014-09-24T00:00:00"/>
    <n v="6.75"/>
    <n v="0.18"/>
    <n v="6"/>
    <n v="13"/>
    <n v="6.93"/>
    <n v="780"/>
    <n v="786.93"/>
  </r>
  <r>
    <x v="103"/>
    <d v="2014-10-07T00:00:00"/>
    <n v="7.35"/>
    <n v="0.19"/>
    <n v="5"/>
    <n v="26"/>
    <n v="7.54"/>
    <n v="1300"/>
    <n v="1307.54"/>
  </r>
  <r>
    <x v="104"/>
    <d v="2014-10-09T00:00:00"/>
    <n v="3.57"/>
    <n v="0.09"/>
    <n v="4"/>
    <n v="24"/>
    <n v="3.6599999999999997"/>
    <n v="960"/>
    <n v="963.66"/>
  </r>
  <r>
    <x v="104"/>
    <d v="2014-09-23T00:00:00"/>
    <n v="9.06"/>
    <n v="0.24"/>
    <n v="5"/>
    <n v="8"/>
    <n v="9.3000000000000007"/>
    <n v="400"/>
    <n v="409.3"/>
  </r>
  <r>
    <x v="105"/>
    <d v="2014-09-24T00:00:00"/>
    <n v="9.4600000000000009"/>
    <n v="0.25"/>
    <n v="4"/>
    <n v="8"/>
    <n v="9.7100000000000009"/>
    <n v="320"/>
    <n v="329.71"/>
  </r>
  <r>
    <x v="105"/>
    <d v="2014-10-12T00:00:00"/>
    <n v="8.9499999999999993"/>
    <n v="0.24"/>
    <n v="5"/>
    <n v="26"/>
    <n v="9.19"/>
    <n v="1300"/>
    <n v="1309.19"/>
  </r>
  <r>
    <x v="105"/>
    <d v="2014-10-11T00:00:00"/>
    <n v="9.06"/>
    <n v="0.24"/>
    <n v="2"/>
    <n v="25"/>
    <n v="9.3000000000000007"/>
    <n v="500"/>
    <n v="509.3"/>
  </r>
  <r>
    <x v="105"/>
    <d v="2014-09-22T00:00:00"/>
    <n v="6.88"/>
    <n v="0.18"/>
    <n v="3"/>
    <n v="6"/>
    <n v="7.06"/>
    <n v="180"/>
    <n v="187.06"/>
  </r>
  <r>
    <x v="105"/>
    <d v="2014-10-05T00:00:00"/>
    <n v="9.1300000000000008"/>
    <n v="0.24"/>
    <n v="4"/>
    <n v="19"/>
    <n v="9.370000000000001"/>
    <n v="760"/>
    <n v="769.37"/>
  </r>
  <r>
    <x v="105"/>
    <d v="2014-10-12T00:00:00"/>
    <n v="12.01"/>
    <n v="0.32"/>
    <n v="3"/>
    <n v="26"/>
    <n v="12.33"/>
    <n v="780"/>
    <n v="792.33"/>
  </r>
  <r>
    <x v="105"/>
    <d v="2014-10-08T00:00:00"/>
    <n v="19.54"/>
    <n v="0.51"/>
    <n v="5"/>
    <n v="22"/>
    <n v="20.05"/>
    <n v="1100"/>
    <n v="1120.05"/>
  </r>
  <r>
    <x v="105"/>
    <d v="2014-10-06T00:00:00"/>
    <n v="10.199999999999999"/>
    <n v="0.27"/>
    <n v="5"/>
    <n v="20"/>
    <n v="10.469999999999999"/>
    <n v="1000"/>
    <n v="1010.47"/>
  </r>
  <r>
    <x v="105"/>
    <d v="2014-09-28T00:00:00"/>
    <n v="14.31"/>
    <n v="0.38"/>
    <n v="6"/>
    <n v="12"/>
    <n v="14.690000000000001"/>
    <n v="720"/>
    <n v="734.69"/>
  </r>
  <r>
    <x v="105"/>
    <d v="2014-10-12T00:00:00"/>
    <n v="8.89"/>
    <n v="0.23"/>
    <n v="6"/>
    <n v="26"/>
    <n v="9.120000000000001"/>
    <n v="1560"/>
    <n v="1569.12"/>
  </r>
  <r>
    <x v="105"/>
    <d v="2014-10-13T00:00:00"/>
    <n v="11.44"/>
    <n v="0.3"/>
    <n v="2"/>
    <n v="27"/>
    <n v="11.74"/>
    <n v="540"/>
    <n v="551.74"/>
  </r>
  <r>
    <x v="105"/>
    <d v="2014-09-29T00:00:00"/>
    <n v="6.43"/>
    <n v="0.17"/>
    <n v="5"/>
    <n v="13"/>
    <n v="6.6"/>
    <n v="650"/>
    <n v="656.6"/>
  </r>
  <r>
    <x v="105"/>
    <d v="2014-09-25T00:00:00"/>
    <n v="7.31"/>
    <n v="0.19"/>
    <n v="5"/>
    <n v="9"/>
    <n v="7.5"/>
    <n v="450"/>
    <n v="457.5"/>
  </r>
  <r>
    <x v="105"/>
    <d v="2014-10-12T00:00:00"/>
    <n v="8.5399999999999991"/>
    <n v="0.22"/>
    <n v="4"/>
    <n v="26"/>
    <n v="8.76"/>
    <n v="1040"/>
    <n v="1048.76"/>
  </r>
  <r>
    <x v="105"/>
    <d v="2014-09-19T00:00:00"/>
    <n v="4.25"/>
    <n v="0.11"/>
    <n v="6"/>
    <n v="3"/>
    <n v="4.3600000000000003"/>
    <n v="180"/>
    <n v="184.36"/>
  </r>
  <r>
    <x v="105"/>
    <d v="2014-10-10T00:00:00"/>
    <n v="7.3"/>
    <n v="0.19"/>
    <n v="2"/>
    <n v="24"/>
    <n v="7.49"/>
    <n v="480"/>
    <n v="487.49"/>
  </r>
  <r>
    <x v="105"/>
    <d v="2014-10-07T00:00:00"/>
    <n v="11.37"/>
    <n v="0.3"/>
    <n v="6"/>
    <n v="21"/>
    <n v="11.67"/>
    <n v="1260"/>
    <n v="1271.67"/>
  </r>
  <r>
    <x v="105"/>
    <d v="2014-09-21T00:00:00"/>
    <n v="14.13"/>
    <n v="0.37"/>
    <n v="2"/>
    <n v="5"/>
    <n v="14.5"/>
    <n v="100"/>
    <n v="114.5"/>
  </r>
  <r>
    <x v="105"/>
    <d v="2014-10-13T00:00:00"/>
    <n v="11.44"/>
    <n v="0.3"/>
    <n v="2"/>
    <n v="27"/>
    <n v="11.74"/>
    <n v="540"/>
    <n v="551.74"/>
  </r>
  <r>
    <x v="106"/>
    <d v="2014-10-15T00:00:00"/>
    <n v="9.4600000000000009"/>
    <n v="0.25"/>
    <n v="6"/>
    <n v="28"/>
    <n v="9.7100000000000009"/>
    <n v="1680"/>
    <n v="1689.71"/>
  </r>
  <r>
    <x v="106"/>
    <d v="2014-09-20T00:00:00"/>
    <n v="4.25"/>
    <n v="0.11"/>
    <n v="2"/>
    <n v="3"/>
    <n v="4.3600000000000003"/>
    <n v="60"/>
    <n v="64.36"/>
  </r>
  <r>
    <x v="106"/>
    <d v="2014-09-29T00:00:00"/>
    <n v="7.31"/>
    <n v="0.19"/>
    <n v="4"/>
    <n v="12"/>
    <n v="7.5"/>
    <n v="480"/>
    <n v="487.5"/>
  </r>
  <r>
    <x v="106"/>
    <d v="2014-10-01T00:00:00"/>
    <n v="14"/>
    <n v="0.37"/>
    <n v="6"/>
    <n v="14"/>
    <n v="14.37"/>
    <n v="840"/>
    <n v="854.37"/>
  </r>
  <r>
    <x v="106"/>
    <d v="2014-09-25T00:00:00"/>
    <n v="6.23"/>
    <n v="0.16"/>
    <n v="2"/>
    <n v="8"/>
    <n v="6.3900000000000006"/>
    <n v="160"/>
    <n v="166.39"/>
  </r>
  <r>
    <x v="106"/>
    <d v="2014-09-22T00:00:00"/>
    <n v="9.1300000000000008"/>
    <n v="0.24"/>
    <n v="3"/>
    <n v="5"/>
    <n v="9.370000000000001"/>
    <n v="150"/>
    <n v="159.37"/>
  </r>
  <r>
    <x v="106"/>
    <d v="2014-10-07T00:00:00"/>
    <n v="10.59"/>
    <n v="0.28000000000000003"/>
    <n v="5"/>
    <n v="20"/>
    <n v="10.87"/>
    <n v="1000"/>
    <n v="1010.87"/>
  </r>
  <r>
    <x v="106"/>
    <d v="2014-09-20T00:00:00"/>
    <n v="9.06"/>
    <n v="0.24"/>
    <n v="2"/>
    <n v="3"/>
    <n v="9.3000000000000007"/>
    <n v="60"/>
    <n v="69.3"/>
  </r>
  <r>
    <x v="106"/>
    <d v="2014-09-19T00:00:00"/>
    <n v="7.06"/>
    <n v="0.19"/>
    <n v="2"/>
    <n v="2"/>
    <n v="7.25"/>
    <n v="40"/>
    <n v="47.25"/>
  </r>
  <r>
    <x v="106"/>
    <d v="2014-10-04T00:00:00"/>
    <n v="6.75"/>
    <n v="0.18"/>
    <n v="5"/>
    <n v="17"/>
    <n v="6.93"/>
    <n v="850"/>
    <n v="856.93"/>
  </r>
  <r>
    <x v="106"/>
    <d v="2014-09-29T00:00:00"/>
    <n v="7.3"/>
    <n v="0.19"/>
    <n v="4"/>
    <n v="12"/>
    <n v="7.49"/>
    <n v="480"/>
    <n v="487.49"/>
  </r>
  <r>
    <x v="106"/>
    <d v="2014-09-20T00:00:00"/>
    <n v="13.02"/>
    <n v="0.34"/>
    <n v="5"/>
    <n v="3"/>
    <n v="13.36"/>
    <n v="150"/>
    <n v="163.36000000000001"/>
  </r>
  <r>
    <x v="106"/>
    <d v="2014-09-23T00:00:00"/>
    <n v="14.13"/>
    <n v="0.37"/>
    <n v="3"/>
    <n v="6"/>
    <n v="14.5"/>
    <n v="180"/>
    <n v="194.5"/>
  </r>
  <r>
    <x v="106"/>
    <d v="2014-09-24T00:00:00"/>
    <n v="10.59"/>
    <n v="0.28000000000000003"/>
    <n v="3"/>
    <n v="7"/>
    <n v="10.87"/>
    <n v="210"/>
    <n v="220.87"/>
  </r>
  <r>
    <x v="106"/>
    <d v="2014-10-05T00:00:00"/>
    <n v="5.57"/>
    <n v="0.15"/>
    <n v="6"/>
    <n v="18"/>
    <n v="5.7200000000000006"/>
    <n v="1080"/>
    <n v="1085.72"/>
  </r>
  <r>
    <x v="107"/>
    <d v="2014-09-24T00:00:00"/>
    <n v="5.57"/>
    <n v="0.15"/>
    <n v="2"/>
    <n v="6"/>
    <n v="5.7200000000000006"/>
    <n v="120"/>
    <n v="125.72"/>
  </r>
  <r>
    <x v="108"/>
    <d v="2014-10-07T00:00:00"/>
    <n v="8.7200000000000006"/>
    <n v="0.23"/>
    <n v="2"/>
    <n v="18"/>
    <n v="8.9500000000000011"/>
    <n v="360"/>
    <n v="368.95"/>
  </r>
  <r>
    <x v="109"/>
    <d v="2014-09-22T00:00:00"/>
    <n v="6.43"/>
    <n v="0.17"/>
    <n v="4"/>
    <n v="2"/>
    <n v="6.6"/>
    <n v="80"/>
    <n v="86.6"/>
  </r>
  <r>
    <x v="110"/>
    <d v="2014-10-17T00:00:00"/>
    <n v="3.57"/>
    <n v="0.09"/>
    <n v="2"/>
    <n v="25"/>
    <n v="3.6599999999999997"/>
    <n v="500"/>
    <n v="503.66"/>
  </r>
  <r>
    <x v="111"/>
    <d v="2014-10-12T00:00:00"/>
    <n v="13.82"/>
    <n v="0.36"/>
    <n v="4"/>
    <n v="19"/>
    <n v="14.18"/>
    <n v="760"/>
    <n v="774.18"/>
  </r>
  <r>
    <x v="111"/>
    <d v="2014-09-28T00:00:00"/>
    <n v="11.37"/>
    <n v="0.3"/>
    <n v="5"/>
    <n v="5"/>
    <n v="11.67"/>
    <n v="250"/>
    <n v="261.67"/>
  </r>
  <r>
    <x v="111"/>
    <d v="2014-10-13T00:00:00"/>
    <n v="6.58"/>
    <n v="0.17"/>
    <n v="4"/>
    <n v="20"/>
    <n v="6.75"/>
    <n v="800"/>
    <n v="806.75"/>
  </r>
  <r>
    <x v="111"/>
    <d v="2014-10-15T00:00:00"/>
    <n v="11.69"/>
    <n v="0.31"/>
    <n v="5"/>
    <n v="22"/>
    <n v="12"/>
    <n v="1100"/>
    <n v="1112"/>
  </r>
  <r>
    <x v="111"/>
    <d v="2014-09-25T00:00:00"/>
    <n v="12.01"/>
    <n v="0.32"/>
    <n v="3"/>
    <n v="2"/>
    <n v="12.33"/>
    <n v="60"/>
    <n v="72.33"/>
  </r>
  <r>
    <x v="111"/>
    <d v="2014-10-12T00:00:00"/>
    <n v="6.43"/>
    <n v="0.17"/>
    <n v="2"/>
    <n v="19"/>
    <n v="6.6"/>
    <n v="380"/>
    <n v="386.6"/>
  </r>
  <r>
    <x v="112"/>
    <d v="2014-10-09T00:00:00"/>
    <n v="14.13"/>
    <n v="0.37"/>
    <n v="2"/>
    <n v="15"/>
    <n v="14.5"/>
    <n v="300"/>
    <n v="314.5"/>
  </r>
  <r>
    <x v="113"/>
    <d v="2014-10-16T00:00:00"/>
    <n v="3.73"/>
    <n v="0.1"/>
    <n v="2"/>
    <n v="20"/>
    <n v="3.83"/>
    <n v="400"/>
    <n v="403.83"/>
  </r>
  <r>
    <x v="114"/>
    <d v="2014-10-24T00:00:00"/>
    <n v="2.29"/>
    <n v="0.06"/>
    <n v="6"/>
    <n v="26"/>
    <n v="2.35"/>
    <n v="1560"/>
    <n v="1562.35"/>
  </r>
  <r>
    <x v="114"/>
    <d v="2014-10-14T00:00:00"/>
    <n v="14.13"/>
    <n v="0.37"/>
    <n v="3"/>
    <n v="16"/>
    <n v="14.5"/>
    <n v="480"/>
    <n v="494.5"/>
  </r>
  <r>
    <x v="114"/>
    <d v="2014-10-13T00:00:00"/>
    <n v="11.37"/>
    <n v="0.3"/>
    <n v="4"/>
    <n v="15"/>
    <n v="11.67"/>
    <n v="600"/>
    <n v="611.66999999999996"/>
  </r>
  <r>
    <x v="114"/>
    <d v="2014-10-05T00:00:00"/>
    <n v="16.940000000000001"/>
    <n v="0.45"/>
    <n v="2"/>
    <n v="7"/>
    <n v="17.39"/>
    <n v="140"/>
    <n v="157.38999999999999"/>
  </r>
  <r>
    <x v="114"/>
    <d v="2014-10-01T00:00:00"/>
    <n v="11.42"/>
    <n v="0.3"/>
    <n v="3"/>
    <n v="3"/>
    <n v="11.72"/>
    <n v="90"/>
    <n v="101.72"/>
  </r>
  <r>
    <x v="114"/>
    <d v="2014-10-01T00:00:00"/>
    <n v="4.25"/>
    <n v="0.11"/>
    <n v="4"/>
    <n v="3"/>
    <n v="4.3600000000000003"/>
    <n v="120"/>
    <n v="124.36"/>
  </r>
  <r>
    <x v="114"/>
    <d v="2014-10-18T00:00:00"/>
    <n v="5.78"/>
    <n v="0.15"/>
    <n v="2"/>
    <n v="20"/>
    <n v="5.9300000000000006"/>
    <n v="400"/>
    <n v="405.93"/>
  </r>
  <r>
    <x v="114"/>
    <d v="2014-10-06T00:00:00"/>
    <n v="5.23"/>
    <n v="0.14000000000000001"/>
    <n v="5"/>
    <n v="8"/>
    <n v="5.37"/>
    <n v="400"/>
    <n v="405.37"/>
  </r>
  <r>
    <x v="114"/>
    <d v="2014-10-21T00:00:00"/>
    <n v="10.79"/>
    <n v="0.28000000000000003"/>
    <n v="3"/>
    <n v="23"/>
    <n v="11.069999999999999"/>
    <n v="690"/>
    <n v="701.07"/>
  </r>
  <r>
    <x v="114"/>
    <d v="2014-10-11T00:00:00"/>
    <n v="5.78"/>
    <n v="0.15"/>
    <n v="6"/>
    <n v="13"/>
    <n v="5.9300000000000006"/>
    <n v="780"/>
    <n v="785.93"/>
  </r>
  <r>
    <x v="115"/>
    <d v="2014-10-07T00:00:00"/>
    <n v="11.37"/>
    <n v="0.3"/>
    <n v="4"/>
    <n v="8"/>
    <n v="11.67"/>
    <n v="320"/>
    <n v="331.67"/>
  </r>
  <r>
    <x v="115"/>
    <d v="2014-10-15T00:00:00"/>
    <n v="8.9499999999999993"/>
    <n v="0.24"/>
    <n v="3"/>
    <n v="16"/>
    <n v="9.19"/>
    <n v="480"/>
    <n v="489.19"/>
  </r>
  <r>
    <x v="115"/>
    <d v="2014-10-17T00:00:00"/>
    <n v="10.199999999999999"/>
    <n v="0.27"/>
    <n v="3"/>
    <n v="18"/>
    <n v="10.469999999999999"/>
    <n v="540"/>
    <n v="550.47"/>
  </r>
  <r>
    <x v="115"/>
    <d v="2014-10-09T00:00:00"/>
    <n v="9.1300000000000008"/>
    <n v="0.24"/>
    <n v="4"/>
    <n v="10"/>
    <n v="9.370000000000001"/>
    <n v="400"/>
    <n v="409.37"/>
  </r>
  <r>
    <x v="115"/>
    <d v="2014-10-20T00:00:00"/>
    <n v="6.23"/>
    <n v="0.16"/>
    <n v="6"/>
    <n v="21"/>
    <n v="6.3900000000000006"/>
    <n v="1260"/>
    <n v="1266.3900000000001"/>
  </r>
  <r>
    <x v="115"/>
    <d v="2014-10-20T00:00:00"/>
    <n v="8.84"/>
    <n v="0.23"/>
    <n v="4"/>
    <n v="21"/>
    <n v="9.07"/>
    <n v="840"/>
    <n v="849.07"/>
  </r>
  <r>
    <x v="115"/>
    <d v="2014-10-07T00:00:00"/>
    <n v="6.88"/>
    <n v="0.18"/>
    <n v="6"/>
    <n v="8"/>
    <n v="7.06"/>
    <n v="480"/>
    <n v="487.06"/>
  </r>
  <r>
    <x v="115"/>
    <d v="2014-10-09T00:00:00"/>
    <n v="8.84"/>
    <n v="0.23"/>
    <n v="2"/>
    <n v="10"/>
    <n v="9.07"/>
    <n v="200"/>
    <n v="209.07"/>
  </r>
  <r>
    <x v="115"/>
    <d v="2014-10-05T00:00:00"/>
    <n v="3.57"/>
    <n v="0.09"/>
    <n v="5"/>
    <n v="6"/>
    <n v="3.6599999999999997"/>
    <n v="300"/>
    <n v="303.66000000000003"/>
  </r>
  <r>
    <x v="115"/>
    <d v="2014-10-14T00:00:00"/>
    <n v="5.64"/>
    <n v="0.15"/>
    <n v="5"/>
    <n v="15"/>
    <n v="5.79"/>
    <n v="750"/>
    <n v="755.79"/>
  </r>
  <r>
    <x v="115"/>
    <d v="2014-10-26T00:00:00"/>
    <n v="9.06"/>
    <n v="0.24"/>
    <n v="6"/>
    <n v="27"/>
    <n v="9.3000000000000007"/>
    <n v="1620"/>
    <n v="1629.3"/>
  </r>
  <r>
    <x v="115"/>
    <d v="2014-10-04T00:00:00"/>
    <n v="7.55"/>
    <n v="0.2"/>
    <n v="2"/>
    <n v="5"/>
    <n v="7.75"/>
    <n v="100"/>
    <n v="107.75"/>
  </r>
  <r>
    <x v="115"/>
    <d v="2014-10-17T00:00:00"/>
    <n v="13.02"/>
    <n v="0.34"/>
    <n v="5"/>
    <n v="18"/>
    <n v="13.36"/>
    <n v="900"/>
    <n v="913.36"/>
  </r>
  <r>
    <x v="115"/>
    <d v="2014-10-01T00:00:00"/>
    <n v="8.9499999999999993"/>
    <n v="0.24"/>
    <n v="4"/>
    <n v="2"/>
    <n v="9.19"/>
    <n v="80"/>
    <n v="89.19"/>
  </r>
  <r>
    <x v="115"/>
    <d v="2014-10-06T00:00:00"/>
    <n v="10.93"/>
    <n v="0.28999999999999998"/>
    <n v="3"/>
    <n v="7"/>
    <n v="11.219999999999999"/>
    <n v="210"/>
    <n v="221.22"/>
  </r>
  <r>
    <x v="115"/>
    <d v="2014-10-19T00:00:00"/>
    <n v="7.3"/>
    <n v="0.19"/>
    <n v="5"/>
    <n v="20"/>
    <n v="7.49"/>
    <n v="1000"/>
    <n v="1007.49"/>
  </r>
  <r>
    <x v="115"/>
    <d v="2014-10-27T00:00:00"/>
    <n v="7.31"/>
    <n v="0.19"/>
    <n v="6"/>
    <n v="28"/>
    <n v="7.5"/>
    <n v="1680"/>
    <n v="1687.5"/>
  </r>
  <r>
    <x v="115"/>
    <d v="2014-10-06T00:00:00"/>
    <n v="13.07"/>
    <n v="0.34"/>
    <n v="5"/>
    <n v="7"/>
    <n v="13.41"/>
    <n v="350"/>
    <n v="363.41"/>
  </r>
  <r>
    <x v="115"/>
    <d v="2014-10-11T00:00:00"/>
    <n v="5.67"/>
    <n v="0.15"/>
    <n v="4"/>
    <n v="12"/>
    <n v="5.82"/>
    <n v="480"/>
    <n v="485.82"/>
  </r>
  <r>
    <x v="116"/>
    <d v="2014-10-13T00:00:00"/>
    <n v="2.72"/>
    <n v="7.0000000000000007E-2"/>
    <n v="6"/>
    <n v="13"/>
    <n v="2.79"/>
    <n v="780"/>
    <n v="782.79"/>
  </r>
  <r>
    <x v="117"/>
    <d v="2014-10-07T00:00:00"/>
    <n v="5.67"/>
    <n v="0.15"/>
    <n v="4"/>
    <n v="6"/>
    <n v="5.82"/>
    <n v="240"/>
    <n v="245.82"/>
  </r>
  <r>
    <x v="117"/>
    <d v="2014-10-16T00:00:00"/>
    <n v="5.67"/>
    <n v="0.15"/>
    <n v="5"/>
    <n v="15"/>
    <n v="5.82"/>
    <n v="750"/>
    <n v="755.82"/>
  </r>
  <r>
    <x v="118"/>
    <d v="2014-10-05T00:00:00"/>
    <n v="3.94"/>
    <n v="0.1"/>
    <n v="5"/>
    <n v="3"/>
    <n v="4.04"/>
    <n v="150"/>
    <n v="154.04"/>
  </r>
  <r>
    <x v="118"/>
    <d v="2014-10-30T00:00:00"/>
    <n v="5.64"/>
    <n v="0.15"/>
    <n v="3"/>
    <n v="28"/>
    <n v="5.79"/>
    <n v="840"/>
    <n v="845.79"/>
  </r>
  <r>
    <x v="119"/>
    <d v="2014-10-20T00:00:00"/>
    <n v="2.0099999999999998"/>
    <n v="0.05"/>
    <n v="6"/>
    <n v="17"/>
    <n v="2.0599999999999996"/>
    <n v="1020"/>
    <n v="1022.06"/>
  </r>
  <r>
    <x v="119"/>
    <d v="2014-10-26T00:00:00"/>
    <n v="3.73"/>
    <n v="0.1"/>
    <n v="4"/>
    <n v="23"/>
    <n v="3.83"/>
    <n v="920"/>
    <n v="923.83"/>
  </r>
  <r>
    <x v="119"/>
    <d v="2014-10-09T00:00:00"/>
    <n v="3.73"/>
    <n v="0.1"/>
    <n v="2"/>
    <n v="6"/>
    <n v="3.83"/>
    <n v="120"/>
    <n v="123.83"/>
  </r>
  <r>
    <x v="120"/>
    <d v="2014-10-25T00:00:00"/>
    <n v="4.25"/>
    <n v="0.11"/>
    <n v="5"/>
    <n v="20"/>
    <n v="4.3600000000000003"/>
    <n v="1000"/>
    <n v="1004.36"/>
  </r>
  <r>
    <x v="120"/>
    <d v="2014-10-16T00:00:00"/>
    <n v="11.42"/>
    <n v="0.3"/>
    <n v="4"/>
    <n v="11"/>
    <n v="11.72"/>
    <n v="440"/>
    <n v="451.72"/>
  </r>
  <r>
    <x v="120"/>
    <d v="2014-10-27T00:00:00"/>
    <n v="13.07"/>
    <n v="0.34"/>
    <n v="3"/>
    <n v="22"/>
    <n v="13.41"/>
    <n v="660"/>
    <n v="673.41"/>
  </r>
  <r>
    <x v="121"/>
    <d v="2014-10-27T00:00:00"/>
    <n v="5.67"/>
    <n v="0.15"/>
    <n v="2"/>
    <n v="21"/>
    <n v="5.82"/>
    <n v="420"/>
    <n v="425.82"/>
  </r>
  <r>
    <x v="121"/>
    <d v="2014-10-10T00:00:00"/>
    <n v="6.23"/>
    <n v="0.16"/>
    <n v="4"/>
    <n v="4"/>
    <n v="6.3900000000000006"/>
    <n v="160"/>
    <n v="166.39"/>
  </r>
  <r>
    <x v="121"/>
    <d v="2014-10-28T00:00:00"/>
    <n v="19.940000000000001"/>
    <n v="0.52"/>
    <n v="4"/>
    <n v="22"/>
    <n v="20.46"/>
    <n v="880"/>
    <n v="900.46"/>
  </r>
  <r>
    <x v="121"/>
    <d v="2014-10-13T00:00:00"/>
    <n v="6.88"/>
    <n v="0.18"/>
    <n v="3"/>
    <n v="7"/>
    <n v="7.06"/>
    <n v="210"/>
    <n v="217.06"/>
  </r>
  <r>
    <x v="121"/>
    <d v="2014-10-17T00:00:00"/>
    <n v="8.39"/>
    <n v="0.22"/>
    <n v="6"/>
    <n v="11"/>
    <n v="8.6100000000000012"/>
    <n v="660"/>
    <n v="668.61"/>
  </r>
  <r>
    <x v="122"/>
    <d v="2014-10-24T00:00:00"/>
    <n v="11.44"/>
    <n v="0.3"/>
    <n v="4"/>
    <n v="14"/>
    <n v="11.74"/>
    <n v="560"/>
    <n v="571.74"/>
  </r>
  <r>
    <x v="122"/>
    <d v="2014-10-25T00:00:00"/>
    <n v="9.4600000000000009"/>
    <n v="0.25"/>
    <n v="5"/>
    <n v="15"/>
    <n v="9.7100000000000009"/>
    <n v="750"/>
    <n v="759.71"/>
  </r>
  <r>
    <x v="122"/>
    <d v="2014-10-14T00:00:00"/>
    <n v="5.67"/>
    <n v="0.15"/>
    <n v="4"/>
    <n v="4"/>
    <n v="5.82"/>
    <n v="160"/>
    <n v="165.82"/>
  </r>
  <r>
    <x v="122"/>
    <d v="2014-11-04T00:00:00"/>
    <n v="13.82"/>
    <n v="0.36"/>
    <n v="2"/>
    <n v="25"/>
    <n v="14.18"/>
    <n v="500"/>
    <n v="514.17999999999995"/>
  </r>
  <r>
    <x v="122"/>
    <d v="2014-10-17T00:00:00"/>
    <n v="6.43"/>
    <n v="0.17"/>
    <n v="5"/>
    <n v="7"/>
    <n v="6.6"/>
    <n v="350"/>
    <n v="356.6"/>
  </r>
  <r>
    <x v="122"/>
    <d v="2014-10-16T00:00:00"/>
    <n v="2.0099999999999998"/>
    <n v="0.05"/>
    <n v="2"/>
    <n v="6"/>
    <n v="2.0599999999999996"/>
    <n v="120"/>
    <n v="122.06"/>
  </r>
  <r>
    <x v="122"/>
    <d v="2014-11-07T00:00:00"/>
    <n v="6.43"/>
    <n v="0.17"/>
    <n v="5"/>
    <n v="28"/>
    <n v="6.6"/>
    <n v="1400"/>
    <n v="1406.6"/>
  </r>
  <r>
    <x v="122"/>
    <d v="2014-11-01T00:00:00"/>
    <n v="7.35"/>
    <n v="0.19"/>
    <n v="6"/>
    <n v="22"/>
    <n v="7.54"/>
    <n v="1320"/>
    <n v="1327.54"/>
  </r>
  <r>
    <x v="122"/>
    <d v="2014-11-04T00:00:00"/>
    <n v="16.55"/>
    <n v="0.44"/>
    <n v="6"/>
    <n v="25"/>
    <n v="16.990000000000002"/>
    <n v="1500"/>
    <n v="1516.99"/>
  </r>
  <r>
    <x v="122"/>
    <d v="2014-10-16T00:00:00"/>
    <n v="9.06"/>
    <n v="0.24"/>
    <n v="6"/>
    <n v="6"/>
    <n v="9.3000000000000007"/>
    <n v="360"/>
    <n v="369.3"/>
  </r>
  <r>
    <x v="122"/>
    <d v="2014-11-02T00:00:00"/>
    <n v="10.59"/>
    <n v="0.28000000000000003"/>
    <n v="4"/>
    <n v="23"/>
    <n v="10.87"/>
    <n v="920"/>
    <n v="930.87"/>
  </r>
  <r>
    <x v="122"/>
    <d v="2014-10-18T00:00:00"/>
    <n v="7.71"/>
    <n v="0.2"/>
    <n v="3"/>
    <n v="8"/>
    <n v="7.91"/>
    <n v="240"/>
    <n v="247.91"/>
  </r>
  <r>
    <x v="122"/>
    <d v="2014-11-06T00:00:00"/>
    <n v="10.19"/>
    <n v="0.27"/>
    <n v="4"/>
    <n v="27"/>
    <n v="10.459999999999999"/>
    <n v="1080"/>
    <n v="1090.46"/>
  </r>
  <r>
    <x v="122"/>
    <d v="2014-10-16T00:00:00"/>
    <n v="4.25"/>
    <n v="0.11"/>
    <n v="4"/>
    <n v="6"/>
    <n v="4.3600000000000003"/>
    <n v="240"/>
    <n v="244.36"/>
  </r>
  <r>
    <x v="122"/>
    <d v="2014-10-14T00:00:00"/>
    <n v="9.06"/>
    <n v="0.24"/>
    <n v="3"/>
    <n v="4"/>
    <n v="9.3000000000000007"/>
    <n v="120"/>
    <n v="129.30000000000001"/>
  </r>
  <r>
    <x v="123"/>
    <d v="2014-10-20T00:00:00"/>
    <n v="8.65"/>
    <n v="0.23"/>
    <n v="4"/>
    <n v="9"/>
    <n v="8.8800000000000008"/>
    <n v="360"/>
    <n v="368.88"/>
  </r>
  <r>
    <x v="123"/>
    <d v="2014-10-23T00:00:00"/>
    <n v="8.84"/>
    <n v="0.23"/>
    <n v="4"/>
    <n v="12"/>
    <n v="9.07"/>
    <n v="480"/>
    <n v="489.07"/>
  </r>
  <r>
    <x v="123"/>
    <d v="2014-10-20T00:00:00"/>
    <n v="4.25"/>
    <n v="0.11"/>
    <n v="5"/>
    <n v="9"/>
    <n v="4.3600000000000003"/>
    <n v="450"/>
    <n v="454.36"/>
  </r>
  <r>
    <x v="123"/>
    <d v="2014-10-15T00:00:00"/>
    <n v="5.47"/>
    <n v="0.14000000000000001"/>
    <n v="5"/>
    <n v="4"/>
    <n v="5.6099999999999994"/>
    <n v="200"/>
    <n v="205.61"/>
  </r>
  <r>
    <x v="123"/>
    <d v="2014-10-25T00:00:00"/>
    <n v="14.31"/>
    <n v="0.38"/>
    <n v="3"/>
    <n v="14"/>
    <n v="14.690000000000001"/>
    <n v="420"/>
    <n v="434.69"/>
  </r>
  <r>
    <x v="123"/>
    <d v="2014-11-06T00:00:00"/>
    <n v="13.81"/>
    <n v="0.36"/>
    <n v="6"/>
    <n v="26"/>
    <n v="14.17"/>
    <n v="1560"/>
    <n v="1574.17"/>
  </r>
  <r>
    <x v="123"/>
    <d v="2014-10-31T00:00:00"/>
    <n v="9.74"/>
    <n v="0.26"/>
    <n v="3"/>
    <n v="20"/>
    <n v="10"/>
    <n v="600"/>
    <n v="610"/>
  </r>
  <r>
    <x v="123"/>
    <d v="2014-11-08T00:00:00"/>
    <n v="9.4600000000000009"/>
    <n v="0.25"/>
    <n v="5"/>
    <n v="28"/>
    <n v="9.7100000000000009"/>
    <n v="1400"/>
    <n v="1409.71"/>
  </r>
  <r>
    <x v="123"/>
    <d v="2014-10-28T00:00:00"/>
    <n v="7.31"/>
    <n v="0.19"/>
    <n v="2"/>
    <n v="17"/>
    <n v="7.5"/>
    <n v="340"/>
    <n v="347.5"/>
  </r>
  <r>
    <x v="123"/>
    <d v="2014-11-02T00:00:00"/>
    <n v="11.78"/>
    <n v="0.31"/>
    <n v="4"/>
    <n v="22"/>
    <n v="12.09"/>
    <n v="880"/>
    <n v="892.09"/>
  </r>
  <r>
    <x v="123"/>
    <d v="2014-10-28T00:00:00"/>
    <n v="13.82"/>
    <n v="0.36"/>
    <n v="4"/>
    <n v="17"/>
    <n v="14.18"/>
    <n v="680"/>
    <n v="694.18"/>
  </r>
  <r>
    <x v="124"/>
    <d v="2014-11-07T00:00:00"/>
    <n v="3.94"/>
    <n v="0.1"/>
    <n v="5"/>
    <n v="25"/>
    <n v="4.04"/>
    <n v="1250"/>
    <n v="1254.04"/>
  </r>
  <r>
    <x v="124"/>
    <d v="2014-10-22T00:00:00"/>
    <n v="6.58"/>
    <n v="0.17"/>
    <n v="5"/>
    <n v="9"/>
    <n v="6.75"/>
    <n v="450"/>
    <n v="456.75"/>
  </r>
  <r>
    <x v="124"/>
    <d v="2014-10-19T00:00:00"/>
    <n v="6.34"/>
    <n v="0.17"/>
    <n v="4"/>
    <n v="6"/>
    <n v="6.51"/>
    <n v="240"/>
    <n v="246.51"/>
  </r>
  <r>
    <x v="124"/>
    <d v="2014-10-31T00:00:00"/>
    <n v="6.58"/>
    <n v="0.17"/>
    <n v="4"/>
    <n v="18"/>
    <n v="6.75"/>
    <n v="720"/>
    <n v="726.75"/>
  </r>
  <r>
    <x v="124"/>
    <d v="2014-11-06T00:00:00"/>
    <n v="6.34"/>
    <n v="0.17"/>
    <n v="3"/>
    <n v="24"/>
    <n v="6.51"/>
    <n v="720"/>
    <n v="726.51"/>
  </r>
  <r>
    <x v="125"/>
    <d v="2014-10-29T00:00:00"/>
    <n v="6.43"/>
    <n v="0.17"/>
    <n v="6"/>
    <n v="15"/>
    <n v="6.6"/>
    <n v="900"/>
    <n v="906.6"/>
  </r>
  <r>
    <x v="126"/>
    <d v="2014-11-11T00:00:00"/>
    <n v="2.0099999999999998"/>
    <n v="0.05"/>
    <n v="6"/>
    <n v="27"/>
    <n v="2.0599999999999996"/>
    <n v="1620"/>
    <n v="1622.06"/>
  </r>
  <r>
    <x v="126"/>
    <d v="2014-11-10T00:00:00"/>
    <n v="2.72"/>
    <n v="7.0000000000000007E-2"/>
    <n v="4"/>
    <n v="26"/>
    <n v="2.79"/>
    <n v="1040"/>
    <n v="1042.79"/>
  </r>
  <r>
    <x v="127"/>
    <d v="2014-10-22T00:00:00"/>
    <n v="3.73"/>
    <n v="0.1"/>
    <n v="5"/>
    <n v="6"/>
    <n v="3.83"/>
    <n v="300"/>
    <n v="303.83"/>
  </r>
  <r>
    <x v="128"/>
    <d v="2014-10-25T00:00:00"/>
    <n v="5.64"/>
    <n v="0.15"/>
    <n v="6"/>
    <n v="8"/>
    <n v="5.79"/>
    <n v="480"/>
    <n v="485.79"/>
  </r>
  <r>
    <x v="128"/>
    <d v="2014-10-30T00:00:00"/>
    <n v="11.78"/>
    <n v="0.31"/>
    <n v="5"/>
    <n v="13"/>
    <n v="12.09"/>
    <n v="650"/>
    <n v="662.09"/>
  </r>
  <r>
    <x v="128"/>
    <d v="2014-10-19T00:00:00"/>
    <n v="9.4600000000000009"/>
    <n v="0.25"/>
    <n v="5"/>
    <n v="2"/>
    <n v="9.7100000000000009"/>
    <n v="100"/>
    <n v="109.71000000000001"/>
  </r>
  <r>
    <x v="128"/>
    <d v="2014-11-02T00:00:00"/>
    <n v="4.25"/>
    <n v="0.11"/>
    <n v="3"/>
    <n v="16"/>
    <n v="4.3600000000000003"/>
    <n v="480"/>
    <n v="484.36"/>
  </r>
  <r>
    <x v="128"/>
    <d v="2014-11-12T00:00:00"/>
    <n v="11.42"/>
    <n v="0.3"/>
    <n v="4"/>
    <n v="26"/>
    <n v="11.72"/>
    <n v="1040"/>
    <n v="1051.72"/>
  </r>
  <r>
    <x v="128"/>
    <d v="2014-11-12T00:00:00"/>
    <n v="8.5399999999999991"/>
    <n v="0.22"/>
    <n v="3"/>
    <n v="26"/>
    <n v="8.76"/>
    <n v="780"/>
    <n v="788.76"/>
  </r>
  <r>
    <x v="129"/>
    <d v="2014-10-24T00:00:00"/>
    <n v="2.72"/>
    <n v="7.0000000000000007E-2"/>
    <n v="2"/>
    <n v="6"/>
    <n v="2.79"/>
    <n v="120"/>
    <n v="122.79"/>
  </r>
  <r>
    <x v="130"/>
    <d v="2014-10-29T00:00:00"/>
    <n v="11.78"/>
    <n v="0.31"/>
    <n v="3"/>
    <n v="7"/>
    <n v="12.09"/>
    <n v="210"/>
    <n v="222.09"/>
  </r>
  <r>
    <x v="130"/>
    <d v="2014-11-16T00:00:00"/>
    <n v="8.89"/>
    <n v="0.23"/>
    <n v="4"/>
    <n v="25"/>
    <n v="9.120000000000001"/>
    <n v="1000"/>
    <n v="1009.12"/>
  </r>
  <r>
    <x v="130"/>
    <d v="2014-10-25T00:00:00"/>
    <n v="3.94"/>
    <n v="0.1"/>
    <n v="5"/>
    <n v="3"/>
    <n v="4.04"/>
    <n v="150"/>
    <n v="154.04"/>
  </r>
  <r>
    <x v="130"/>
    <d v="2014-11-17T00:00:00"/>
    <n v="6.23"/>
    <n v="0.16"/>
    <n v="5"/>
    <n v="26"/>
    <n v="6.3900000000000006"/>
    <n v="1300"/>
    <n v="1306.3900000000001"/>
  </r>
  <r>
    <x v="130"/>
    <d v="2014-11-18T00:00:00"/>
    <n v="9.4600000000000009"/>
    <n v="0.25"/>
    <n v="6"/>
    <n v="27"/>
    <n v="9.7100000000000009"/>
    <n v="1620"/>
    <n v="1629.71"/>
  </r>
  <r>
    <x v="130"/>
    <d v="2014-10-30T00:00:00"/>
    <n v="11.42"/>
    <n v="0.3"/>
    <n v="6"/>
    <n v="8"/>
    <n v="11.72"/>
    <n v="480"/>
    <n v="491.72"/>
  </r>
  <r>
    <x v="130"/>
    <d v="2014-11-06T00:00:00"/>
    <n v="8.84"/>
    <n v="0.23"/>
    <n v="3"/>
    <n v="15"/>
    <n v="9.07"/>
    <n v="450"/>
    <n v="459.07"/>
  </r>
  <r>
    <x v="130"/>
    <d v="2014-11-06T00:00:00"/>
    <n v="6.34"/>
    <n v="0.17"/>
    <n v="2"/>
    <n v="15"/>
    <n v="6.51"/>
    <n v="300"/>
    <n v="306.51"/>
  </r>
  <r>
    <x v="130"/>
    <d v="2014-10-31T00:00:00"/>
    <n v="5.67"/>
    <n v="0.15"/>
    <n v="2"/>
    <n v="9"/>
    <n v="5.82"/>
    <n v="180"/>
    <n v="185.82"/>
  </r>
  <r>
    <x v="130"/>
    <d v="2014-11-11T00:00:00"/>
    <n v="11.78"/>
    <n v="0.31"/>
    <n v="5"/>
    <n v="20"/>
    <n v="12.09"/>
    <n v="1000"/>
    <n v="1012.09"/>
  </r>
  <r>
    <x v="130"/>
    <d v="2014-11-01T00:00:00"/>
    <n v="13.82"/>
    <n v="0.36"/>
    <n v="3"/>
    <n v="10"/>
    <n v="14.18"/>
    <n v="300"/>
    <n v="314.18"/>
  </r>
  <r>
    <x v="130"/>
    <d v="2014-11-15T00:00:00"/>
    <n v="3.57"/>
    <n v="0.09"/>
    <n v="3"/>
    <n v="24"/>
    <n v="3.6599999999999997"/>
    <n v="720"/>
    <n v="723.66"/>
  </r>
  <r>
    <x v="130"/>
    <d v="2014-11-11T00:00:00"/>
    <n v="6.88"/>
    <n v="0.18"/>
    <n v="3"/>
    <n v="20"/>
    <n v="7.06"/>
    <n v="600"/>
    <n v="607.05999999999995"/>
  </r>
  <r>
    <x v="130"/>
    <d v="2014-11-15T00:00:00"/>
    <n v="7.3"/>
    <n v="0.19"/>
    <n v="5"/>
    <n v="24"/>
    <n v="7.49"/>
    <n v="1200"/>
    <n v="1207.49"/>
  </r>
  <r>
    <x v="130"/>
    <d v="2014-11-12T00:00:00"/>
    <n v="9.74"/>
    <n v="0.26"/>
    <n v="2"/>
    <n v="21"/>
    <n v="10"/>
    <n v="420"/>
    <n v="430"/>
  </r>
  <r>
    <x v="130"/>
    <d v="2014-11-02T00:00:00"/>
    <n v="8.65"/>
    <n v="0.23"/>
    <n v="2"/>
    <n v="11"/>
    <n v="8.8800000000000008"/>
    <n v="220"/>
    <n v="228.88"/>
  </r>
  <r>
    <x v="130"/>
    <d v="2014-11-11T00:00:00"/>
    <n v="3.57"/>
    <n v="0.09"/>
    <n v="5"/>
    <n v="20"/>
    <n v="3.6599999999999997"/>
    <n v="1000"/>
    <n v="1003.66"/>
  </r>
  <r>
    <x v="130"/>
    <d v="2014-11-08T00:00:00"/>
    <n v="4.25"/>
    <n v="0.11"/>
    <n v="6"/>
    <n v="17"/>
    <n v="4.3600000000000003"/>
    <n v="1020"/>
    <n v="1024.3599999999999"/>
  </r>
  <r>
    <x v="130"/>
    <d v="2014-10-26T00:00:00"/>
    <n v="13.02"/>
    <n v="0.34"/>
    <n v="2"/>
    <n v="4"/>
    <n v="13.36"/>
    <n v="80"/>
    <n v="93.36"/>
  </r>
  <r>
    <x v="131"/>
    <d v="2014-11-02T00:00:00"/>
    <n v="11.44"/>
    <n v="0.3"/>
    <n v="6"/>
    <n v="10"/>
    <n v="11.74"/>
    <n v="600"/>
    <n v="611.74"/>
  </r>
  <r>
    <x v="131"/>
    <d v="2014-11-11T00:00:00"/>
    <n v="11.78"/>
    <n v="0.31"/>
    <n v="5"/>
    <n v="19"/>
    <n v="12.09"/>
    <n v="950"/>
    <n v="962.09"/>
  </r>
  <r>
    <x v="131"/>
    <d v="2014-11-01T00:00:00"/>
    <n v="7.31"/>
    <n v="0.19"/>
    <n v="2"/>
    <n v="9"/>
    <n v="7.5"/>
    <n v="180"/>
    <n v="187.5"/>
  </r>
  <r>
    <x v="131"/>
    <d v="2014-10-28T00:00:00"/>
    <n v="3.79"/>
    <n v="0.1"/>
    <n v="4"/>
    <n v="5"/>
    <n v="3.89"/>
    <n v="200"/>
    <n v="203.89"/>
  </r>
  <r>
    <x v="131"/>
    <d v="2014-11-04T00:00:00"/>
    <n v="11.42"/>
    <n v="0.3"/>
    <n v="3"/>
    <n v="12"/>
    <n v="11.72"/>
    <n v="360"/>
    <n v="371.72"/>
  </r>
  <r>
    <x v="131"/>
    <d v="2014-11-12T00:00:00"/>
    <n v="7.31"/>
    <n v="0.19"/>
    <n v="6"/>
    <n v="20"/>
    <n v="7.5"/>
    <n v="1200"/>
    <n v="1207.5"/>
  </r>
  <r>
    <x v="131"/>
    <d v="2014-10-28T00:00:00"/>
    <n v="3.73"/>
    <n v="0.1"/>
    <n v="2"/>
    <n v="5"/>
    <n v="3.83"/>
    <n v="100"/>
    <n v="103.83"/>
  </r>
  <r>
    <x v="131"/>
    <d v="2014-11-14T00:00:00"/>
    <n v="9.06"/>
    <n v="0.24"/>
    <n v="2"/>
    <n v="22"/>
    <n v="9.3000000000000007"/>
    <n v="440"/>
    <n v="449.3"/>
  </r>
  <r>
    <x v="131"/>
    <d v="2014-11-13T00:00:00"/>
    <n v="11.69"/>
    <n v="0.31"/>
    <n v="2"/>
    <n v="21"/>
    <n v="12"/>
    <n v="420"/>
    <n v="432"/>
  </r>
  <r>
    <x v="131"/>
    <d v="2014-11-17T00:00:00"/>
    <n v="10.79"/>
    <n v="0.28000000000000003"/>
    <n v="3"/>
    <n v="25"/>
    <n v="11.069999999999999"/>
    <n v="750"/>
    <n v="761.07"/>
  </r>
  <r>
    <x v="131"/>
    <d v="2014-11-03T00:00:00"/>
    <n v="14.13"/>
    <n v="0.37"/>
    <n v="6"/>
    <n v="11"/>
    <n v="14.5"/>
    <n v="660"/>
    <n v="674.5"/>
  </r>
  <r>
    <x v="131"/>
    <d v="2014-11-16T00:00:00"/>
    <n v="8.7200000000000006"/>
    <n v="0.23"/>
    <n v="2"/>
    <n v="24"/>
    <n v="8.9500000000000011"/>
    <n v="480"/>
    <n v="488.95"/>
  </r>
  <r>
    <x v="132"/>
    <d v="2014-11-08T00:00:00"/>
    <n v="3.94"/>
    <n v="0.1"/>
    <n v="5"/>
    <n v="15"/>
    <n v="4.04"/>
    <n v="750"/>
    <n v="754.04"/>
  </r>
  <r>
    <x v="132"/>
    <d v="2014-11-21T00:00:00"/>
    <n v="3.73"/>
    <n v="0.1"/>
    <n v="3"/>
    <n v="28"/>
    <n v="3.83"/>
    <n v="840"/>
    <n v="843.83"/>
  </r>
  <r>
    <x v="133"/>
    <d v="2014-11-20T00:00:00"/>
    <n v="3.94"/>
    <n v="0.1"/>
    <n v="4"/>
    <n v="26"/>
    <n v="4.04"/>
    <n v="1040"/>
    <n v="1044.04"/>
  </r>
  <r>
    <x v="133"/>
    <d v="2014-11-21T00:00:00"/>
    <n v="3.57"/>
    <n v="0.09"/>
    <n v="2"/>
    <n v="27"/>
    <n v="3.6599999999999997"/>
    <n v="540"/>
    <n v="543.66"/>
  </r>
  <r>
    <x v="133"/>
    <d v="2014-10-31T00:00:00"/>
    <n v="7.31"/>
    <n v="0.19"/>
    <n v="3"/>
    <n v="6"/>
    <n v="7.5"/>
    <n v="180"/>
    <n v="187.5"/>
  </r>
  <r>
    <x v="134"/>
    <d v="2014-11-21T00:00:00"/>
    <n v="6.58"/>
    <n v="0.17"/>
    <n v="5"/>
    <n v="26"/>
    <n v="6.75"/>
    <n v="1300"/>
    <n v="1306.75"/>
  </r>
  <r>
    <x v="135"/>
    <d v="2014-11-21T00:00:00"/>
    <n v="3.94"/>
    <n v="0.1"/>
    <n v="5"/>
    <n v="25"/>
    <n v="4.04"/>
    <n v="1250"/>
    <n v="1254.04"/>
  </r>
  <r>
    <x v="136"/>
    <d v="2014-11-03T00:00:00"/>
    <n v="5.47"/>
    <n v="0.14000000000000001"/>
    <n v="5"/>
    <n v="6"/>
    <n v="5.6099999999999994"/>
    <n v="300"/>
    <n v="305.61"/>
  </r>
  <r>
    <x v="137"/>
    <d v="2014-11-15T00:00:00"/>
    <n v="5.23"/>
    <n v="0.14000000000000001"/>
    <n v="3"/>
    <n v="17"/>
    <n v="5.37"/>
    <n v="510"/>
    <n v="515.37"/>
  </r>
  <r>
    <x v="137"/>
    <d v="2014-11-19T00:00:00"/>
    <n v="6.58"/>
    <n v="0.17"/>
    <n v="5"/>
    <n v="21"/>
    <n v="6.75"/>
    <n v="1050"/>
    <n v="1056.75"/>
  </r>
  <r>
    <x v="137"/>
    <d v="2014-11-14T00:00:00"/>
    <n v="3.79"/>
    <n v="0.1"/>
    <n v="4"/>
    <n v="16"/>
    <n v="3.89"/>
    <n v="640"/>
    <n v="643.89"/>
  </r>
  <r>
    <x v="137"/>
    <d v="2014-11-10T00:00:00"/>
    <n v="5.64"/>
    <n v="0.15"/>
    <n v="6"/>
    <n v="12"/>
    <n v="5.79"/>
    <n v="720"/>
    <n v="725.79"/>
  </r>
  <r>
    <x v="137"/>
    <d v="2014-11-01T00:00:00"/>
    <n v="11.37"/>
    <n v="0.3"/>
    <n v="2"/>
    <n v="3"/>
    <n v="11.67"/>
    <n v="60"/>
    <n v="71.67"/>
  </r>
  <r>
    <x v="137"/>
    <d v="2014-11-26T00:00:00"/>
    <n v="8.9499999999999993"/>
    <n v="0.24"/>
    <n v="2"/>
    <n v="28"/>
    <n v="9.19"/>
    <n v="560"/>
    <n v="569.19000000000005"/>
  </r>
  <r>
    <x v="137"/>
    <d v="2014-11-18T00:00:00"/>
    <n v="3.94"/>
    <n v="0.1"/>
    <n v="5"/>
    <n v="20"/>
    <n v="4.04"/>
    <n v="1000"/>
    <n v="1004.04"/>
  </r>
  <r>
    <x v="138"/>
    <d v="2014-11-19T00:00:00"/>
    <n v="3.79"/>
    <n v="0.1"/>
    <n v="5"/>
    <n v="16"/>
    <n v="3.89"/>
    <n v="800"/>
    <n v="803.89"/>
  </r>
  <r>
    <x v="138"/>
    <d v="2014-11-28T00:00:00"/>
    <n v="6.43"/>
    <n v="0.17"/>
    <n v="2"/>
    <n v="25"/>
    <n v="6.6"/>
    <n v="500"/>
    <n v="506.6"/>
  </r>
  <r>
    <x v="138"/>
    <d v="2014-11-05T00:00:00"/>
    <n v="8.5399999999999991"/>
    <n v="0.22"/>
    <n v="6"/>
    <n v="2"/>
    <n v="8.76"/>
    <n v="120"/>
    <n v="128.76"/>
  </r>
  <r>
    <x v="138"/>
    <d v="2014-11-13T00:00:00"/>
    <n v="13.02"/>
    <n v="0.34"/>
    <n v="3"/>
    <n v="10"/>
    <n v="13.36"/>
    <n v="300"/>
    <n v="313.36"/>
  </r>
  <r>
    <x v="138"/>
    <d v="2014-11-17T00:00:00"/>
    <n v="5.64"/>
    <n v="0.15"/>
    <n v="4"/>
    <n v="14"/>
    <n v="5.79"/>
    <n v="560"/>
    <n v="565.79"/>
  </r>
  <r>
    <x v="138"/>
    <d v="2014-11-23T00:00:00"/>
    <n v="4.66"/>
    <n v="0.12"/>
    <n v="6"/>
    <n v="20"/>
    <n v="4.78"/>
    <n v="1200"/>
    <n v="1204.78"/>
  </r>
  <r>
    <x v="138"/>
    <d v="2014-11-25T00:00:00"/>
    <n v="7.71"/>
    <n v="0.2"/>
    <n v="5"/>
    <n v="22"/>
    <n v="7.91"/>
    <n v="1100"/>
    <n v="1107.9100000000001"/>
  </r>
  <r>
    <x v="138"/>
    <d v="2014-11-08T00:00:00"/>
    <n v="7.71"/>
    <n v="0.2"/>
    <n v="6"/>
    <n v="5"/>
    <n v="7.91"/>
    <n v="300"/>
    <n v="307.91000000000003"/>
  </r>
  <r>
    <x v="138"/>
    <d v="2014-11-14T00:00:00"/>
    <n v="6.34"/>
    <n v="0.17"/>
    <n v="3"/>
    <n v="11"/>
    <n v="6.51"/>
    <n v="330"/>
    <n v="336.51"/>
  </r>
  <r>
    <x v="138"/>
    <d v="2014-11-11T00:00:00"/>
    <n v="11.37"/>
    <n v="0.3"/>
    <n v="2"/>
    <n v="8"/>
    <n v="11.67"/>
    <n v="160"/>
    <n v="171.67"/>
  </r>
  <r>
    <x v="138"/>
    <d v="2014-11-10T00:00:00"/>
    <n v="6.34"/>
    <n v="0.17"/>
    <n v="2"/>
    <n v="7"/>
    <n v="6.51"/>
    <n v="140"/>
    <n v="146.51"/>
  </r>
  <r>
    <x v="138"/>
    <d v="2014-11-12T00:00:00"/>
    <n v="3.57"/>
    <n v="0.09"/>
    <n v="6"/>
    <n v="9"/>
    <n v="3.6599999999999997"/>
    <n v="540"/>
    <n v="543.66"/>
  </r>
  <r>
    <x v="138"/>
    <d v="2014-11-21T00:00:00"/>
    <n v="7.31"/>
    <n v="0.19"/>
    <n v="3"/>
    <n v="18"/>
    <n v="7.5"/>
    <n v="540"/>
    <n v="547.5"/>
  </r>
  <r>
    <x v="138"/>
    <d v="2014-11-23T00:00:00"/>
    <n v="5.64"/>
    <n v="0.15"/>
    <n v="6"/>
    <n v="20"/>
    <n v="5.79"/>
    <n v="1200"/>
    <n v="1205.79"/>
  </r>
  <r>
    <x v="138"/>
    <d v="2014-11-21T00:00:00"/>
    <n v="4.25"/>
    <n v="0.11"/>
    <n v="6"/>
    <n v="18"/>
    <n v="4.3600000000000003"/>
    <n v="1080"/>
    <n v="1084.3599999999999"/>
  </r>
  <r>
    <x v="138"/>
    <d v="2014-11-10T00:00:00"/>
    <n v="9.1300000000000008"/>
    <n v="0.24"/>
    <n v="5"/>
    <n v="7"/>
    <n v="9.370000000000001"/>
    <n v="350"/>
    <n v="359.37"/>
  </r>
  <r>
    <x v="138"/>
    <d v="2014-11-13T00:00:00"/>
    <n v="3.79"/>
    <n v="0.1"/>
    <n v="6"/>
    <n v="10"/>
    <n v="3.89"/>
    <n v="600"/>
    <n v="603.89"/>
  </r>
  <r>
    <x v="138"/>
    <d v="2014-11-05T00:00:00"/>
    <n v="9.1300000000000008"/>
    <n v="0.24"/>
    <n v="4"/>
    <n v="2"/>
    <n v="9.370000000000001"/>
    <n v="80"/>
    <n v="89.37"/>
  </r>
  <r>
    <x v="139"/>
    <d v="2014-11-17T00:00:00"/>
    <n v="11.44"/>
    <n v="0.3"/>
    <n v="6"/>
    <n v="13"/>
    <n v="11.74"/>
    <n v="780"/>
    <n v="791.74"/>
  </r>
  <r>
    <x v="139"/>
    <d v="2014-11-29T00:00:00"/>
    <n v="5.47"/>
    <n v="0.14000000000000001"/>
    <n v="6"/>
    <n v="25"/>
    <n v="5.6099999999999994"/>
    <n v="1500"/>
    <n v="1505.61"/>
  </r>
  <r>
    <x v="139"/>
    <d v="2014-11-25T00:00:00"/>
    <n v="14.13"/>
    <n v="0.37"/>
    <n v="2"/>
    <n v="21"/>
    <n v="14.5"/>
    <n v="420"/>
    <n v="434.5"/>
  </r>
  <r>
    <x v="139"/>
    <d v="2014-11-13T00:00:00"/>
    <n v="11.69"/>
    <n v="0.31"/>
    <n v="3"/>
    <n v="9"/>
    <n v="12"/>
    <n v="270"/>
    <n v="282"/>
  </r>
  <r>
    <x v="139"/>
    <d v="2014-11-27T00:00:00"/>
    <n v="6.75"/>
    <n v="0.18"/>
    <n v="2"/>
    <n v="23"/>
    <n v="6.93"/>
    <n v="460"/>
    <n v="466.93"/>
  </r>
  <r>
    <x v="139"/>
    <d v="2014-11-19T00:00:00"/>
    <n v="8.65"/>
    <n v="0.23"/>
    <n v="6"/>
    <n v="15"/>
    <n v="8.8800000000000008"/>
    <n v="900"/>
    <n v="908.88"/>
  </r>
  <r>
    <x v="139"/>
    <d v="2014-12-02T00:00:00"/>
    <n v="10.93"/>
    <n v="0.28999999999999998"/>
    <n v="5"/>
    <n v="28"/>
    <n v="11.219999999999999"/>
    <n v="1400"/>
    <n v="1411.22"/>
  </r>
  <r>
    <x v="139"/>
    <d v="2014-11-19T00:00:00"/>
    <n v="16.55"/>
    <n v="0.44"/>
    <n v="6"/>
    <n v="15"/>
    <n v="16.990000000000002"/>
    <n v="900"/>
    <n v="916.99"/>
  </r>
  <r>
    <x v="139"/>
    <d v="2014-11-17T00:00:00"/>
    <n v="9.06"/>
    <n v="0.24"/>
    <n v="4"/>
    <n v="13"/>
    <n v="9.3000000000000007"/>
    <n v="520"/>
    <n v="529.29999999999995"/>
  </r>
  <r>
    <x v="139"/>
    <d v="2014-12-01T00:00:00"/>
    <n v="9.06"/>
    <n v="0.24"/>
    <n v="4"/>
    <n v="27"/>
    <n v="9.3000000000000007"/>
    <n v="1080"/>
    <n v="1089.3"/>
  </r>
  <r>
    <x v="139"/>
    <d v="2014-11-26T00:00:00"/>
    <n v="6.43"/>
    <n v="0.17"/>
    <n v="2"/>
    <n v="22"/>
    <n v="6.6"/>
    <n v="440"/>
    <n v="446.6"/>
  </r>
  <r>
    <x v="139"/>
    <d v="2014-11-11T00:00:00"/>
    <n v="6.23"/>
    <n v="0.16"/>
    <n v="3"/>
    <n v="7"/>
    <n v="6.3900000000000006"/>
    <n v="210"/>
    <n v="216.39"/>
  </r>
  <r>
    <x v="139"/>
    <d v="2014-11-09T00:00:00"/>
    <n v="6.75"/>
    <n v="0.18"/>
    <n v="3"/>
    <n v="5"/>
    <n v="6.93"/>
    <n v="150"/>
    <n v="156.93"/>
  </r>
  <r>
    <x v="139"/>
    <d v="2014-11-10T00:00:00"/>
    <n v="10.79"/>
    <n v="0.28000000000000003"/>
    <n v="6"/>
    <n v="6"/>
    <n v="11.069999999999999"/>
    <n v="360"/>
    <n v="371.07"/>
  </r>
  <r>
    <x v="140"/>
    <d v="2014-11-13T00:00:00"/>
    <n v="5.67"/>
    <n v="0.15"/>
    <n v="4"/>
    <n v="7"/>
    <n v="5.82"/>
    <n v="280"/>
    <n v="285.82"/>
  </r>
  <r>
    <x v="140"/>
    <d v="2014-11-16T00:00:00"/>
    <n v="11.44"/>
    <n v="0.3"/>
    <n v="4"/>
    <n v="10"/>
    <n v="11.74"/>
    <n v="400"/>
    <n v="411.74"/>
  </r>
  <r>
    <x v="141"/>
    <d v="2014-12-04T00:00:00"/>
    <n v="4.25"/>
    <n v="0.11"/>
    <n v="5"/>
    <n v="27"/>
    <n v="4.3600000000000003"/>
    <n v="1350"/>
    <n v="1354.36"/>
  </r>
  <r>
    <x v="141"/>
    <d v="2014-11-10T00:00:00"/>
    <n v="3.94"/>
    <n v="0.1"/>
    <n v="2"/>
    <n v="3"/>
    <n v="4.04"/>
    <n v="60"/>
    <n v="64.040000000000006"/>
  </r>
  <r>
    <x v="141"/>
    <d v="2014-11-29T00:00:00"/>
    <n v="3.57"/>
    <n v="0.09"/>
    <n v="4"/>
    <n v="22"/>
    <n v="3.6599999999999997"/>
    <n v="880"/>
    <n v="883.66"/>
  </r>
  <r>
    <x v="141"/>
    <d v="2014-11-09T00:00:00"/>
    <n v="5.67"/>
    <n v="0.15"/>
    <n v="6"/>
    <n v="2"/>
    <n v="5.82"/>
    <n v="120"/>
    <n v="125.82"/>
  </r>
  <r>
    <x v="141"/>
    <d v="2014-11-24T00:00:00"/>
    <n v="5.67"/>
    <n v="0.15"/>
    <n v="4"/>
    <n v="17"/>
    <n v="5.82"/>
    <n v="680"/>
    <n v="685.82"/>
  </r>
  <r>
    <x v="142"/>
    <d v="2014-12-05T00:00:00"/>
    <n v="16.829999999999998"/>
    <n v="0.44"/>
    <n v="6"/>
    <n v="25"/>
    <n v="17.27"/>
    <n v="1500"/>
    <n v="1517.27"/>
  </r>
  <r>
    <x v="143"/>
    <d v="2014-11-15T00:00:00"/>
    <n v="5.23"/>
    <n v="0.14000000000000001"/>
    <n v="4"/>
    <n v="2"/>
    <n v="5.37"/>
    <n v="80"/>
    <n v="85.37"/>
  </r>
  <r>
    <x v="144"/>
    <d v="2014-11-23T00:00:00"/>
    <n v="3.73"/>
    <n v="0.1"/>
    <n v="3"/>
    <n v="9"/>
    <n v="3.83"/>
    <n v="270"/>
    <n v="273.83"/>
  </r>
  <r>
    <x v="145"/>
    <d v="2014-12-12T00:00:00"/>
    <n v="8.7200000000000006"/>
    <n v="0.23"/>
    <n v="6"/>
    <n v="27"/>
    <n v="8.9500000000000011"/>
    <n v="1620"/>
    <n v="1628.95"/>
  </r>
  <r>
    <x v="145"/>
    <d v="2014-12-02T00:00:00"/>
    <n v="19.54"/>
    <n v="0.51"/>
    <n v="2"/>
    <n v="17"/>
    <n v="20.05"/>
    <n v="340"/>
    <n v="360.05"/>
  </r>
  <r>
    <x v="145"/>
    <d v="2014-12-07T00:00:00"/>
    <n v="2.29"/>
    <n v="0.06"/>
    <n v="4"/>
    <n v="22"/>
    <n v="2.35"/>
    <n v="880"/>
    <n v="882.35"/>
  </r>
  <r>
    <x v="145"/>
    <d v="2014-12-13T00:00:00"/>
    <n v="8.9499999999999993"/>
    <n v="0.24"/>
    <n v="6"/>
    <n v="28"/>
    <n v="9.19"/>
    <n v="1680"/>
    <n v="1689.19"/>
  </r>
  <r>
    <x v="145"/>
    <d v="2014-11-26T00:00:00"/>
    <n v="5.67"/>
    <n v="0.15"/>
    <n v="6"/>
    <n v="11"/>
    <n v="5.82"/>
    <n v="660"/>
    <n v="665.82"/>
  </r>
  <r>
    <x v="145"/>
    <d v="2014-12-09T00:00:00"/>
    <n v="8.83"/>
    <n v="0.23"/>
    <n v="4"/>
    <n v="24"/>
    <n v="9.06"/>
    <n v="960"/>
    <n v="969.06"/>
  </r>
  <r>
    <x v="145"/>
    <d v="2014-11-20T00:00:00"/>
    <n v="10.79"/>
    <n v="0.28000000000000003"/>
    <n v="4"/>
    <n v="5"/>
    <n v="11.069999999999999"/>
    <n v="200"/>
    <n v="211.07"/>
  </r>
  <r>
    <x v="145"/>
    <d v="2014-11-18T00:00:00"/>
    <n v="5.67"/>
    <n v="0.15"/>
    <n v="6"/>
    <n v="3"/>
    <n v="5.82"/>
    <n v="180"/>
    <n v="185.82"/>
  </r>
  <r>
    <x v="145"/>
    <d v="2014-11-29T00:00:00"/>
    <n v="14.31"/>
    <n v="0.38"/>
    <n v="5"/>
    <n v="14"/>
    <n v="14.690000000000001"/>
    <n v="700"/>
    <n v="714.69"/>
  </r>
  <r>
    <x v="145"/>
    <d v="2014-12-03T00:00:00"/>
    <n v="5.67"/>
    <n v="0.15"/>
    <n v="6"/>
    <n v="18"/>
    <n v="5.82"/>
    <n v="1080"/>
    <n v="1085.82"/>
  </r>
  <r>
    <x v="145"/>
    <d v="2014-11-18T00:00:00"/>
    <n v="6.75"/>
    <n v="0.18"/>
    <n v="6"/>
    <n v="3"/>
    <n v="6.93"/>
    <n v="180"/>
    <n v="186.93"/>
  </r>
  <r>
    <x v="145"/>
    <d v="2014-11-21T00:00:00"/>
    <n v="12.01"/>
    <n v="0.32"/>
    <n v="4"/>
    <n v="6"/>
    <n v="12.33"/>
    <n v="240"/>
    <n v="252.33"/>
  </r>
  <r>
    <x v="145"/>
    <d v="2014-11-30T00:00:00"/>
    <n v="5.23"/>
    <n v="0.14000000000000001"/>
    <n v="6"/>
    <n v="15"/>
    <n v="5.37"/>
    <n v="900"/>
    <n v="905.37"/>
  </r>
  <r>
    <x v="145"/>
    <d v="2014-12-05T00:00:00"/>
    <n v="13.81"/>
    <n v="0.36"/>
    <n v="4"/>
    <n v="20"/>
    <n v="14.17"/>
    <n v="800"/>
    <n v="814.17"/>
  </r>
  <r>
    <x v="145"/>
    <d v="2014-11-27T00:00:00"/>
    <n v="5.23"/>
    <n v="0.14000000000000001"/>
    <n v="3"/>
    <n v="12"/>
    <n v="5.37"/>
    <n v="360"/>
    <n v="365.37"/>
  </r>
  <r>
    <x v="146"/>
    <d v="2014-11-25T00:00:00"/>
    <n v="4.25"/>
    <n v="0.11"/>
    <n v="6"/>
    <n v="9"/>
    <n v="4.3600000000000003"/>
    <n v="540"/>
    <n v="544.36"/>
  </r>
  <r>
    <x v="146"/>
    <d v="2014-12-11T00:00:00"/>
    <n v="5.23"/>
    <n v="0.14000000000000001"/>
    <n v="4"/>
    <n v="25"/>
    <n v="5.37"/>
    <n v="1000"/>
    <n v="1005.37"/>
  </r>
  <r>
    <x v="146"/>
    <d v="2014-12-10T00:00:00"/>
    <n v="6.23"/>
    <n v="0.16"/>
    <n v="2"/>
    <n v="24"/>
    <n v="6.3900000000000006"/>
    <n v="480"/>
    <n v="486.39"/>
  </r>
  <r>
    <x v="146"/>
    <d v="2014-11-28T00:00:00"/>
    <n v="16.55"/>
    <n v="0.44"/>
    <n v="5"/>
    <n v="12"/>
    <n v="16.990000000000002"/>
    <n v="600"/>
    <n v="616.99"/>
  </r>
  <r>
    <x v="146"/>
    <d v="2014-11-23T00:00:00"/>
    <n v="5.78"/>
    <n v="0.15"/>
    <n v="6"/>
    <n v="7"/>
    <n v="5.9300000000000006"/>
    <n v="420"/>
    <n v="425.93"/>
  </r>
  <r>
    <x v="146"/>
    <d v="2014-12-05T00:00:00"/>
    <n v="11.69"/>
    <n v="0.31"/>
    <n v="5"/>
    <n v="19"/>
    <n v="12"/>
    <n v="950"/>
    <n v="962"/>
  </r>
  <r>
    <x v="146"/>
    <d v="2014-12-12T00:00:00"/>
    <n v="11.78"/>
    <n v="0.31"/>
    <n v="2"/>
    <n v="26"/>
    <n v="12.09"/>
    <n v="520"/>
    <n v="532.09"/>
  </r>
  <r>
    <x v="146"/>
    <d v="2014-12-01T00:00:00"/>
    <n v="8.39"/>
    <n v="0.22"/>
    <n v="6"/>
    <n v="15"/>
    <n v="8.6100000000000012"/>
    <n v="900"/>
    <n v="908.61"/>
  </r>
  <r>
    <x v="146"/>
    <d v="2014-12-03T00:00:00"/>
    <n v="6.75"/>
    <n v="0.18"/>
    <n v="6"/>
    <n v="17"/>
    <n v="6.93"/>
    <n v="1020"/>
    <n v="1026.93"/>
  </r>
  <r>
    <x v="147"/>
    <d v="2014-11-21T00:00:00"/>
    <n v="3.94"/>
    <n v="0.1"/>
    <n v="6"/>
    <n v="4"/>
    <n v="4.04"/>
    <n v="240"/>
    <n v="244.04"/>
  </r>
  <r>
    <x v="147"/>
    <d v="2014-12-07T00:00:00"/>
    <n v="3.57"/>
    <n v="0.09"/>
    <n v="6"/>
    <n v="20"/>
    <n v="3.6599999999999997"/>
    <n v="1200"/>
    <n v="1203.6600000000001"/>
  </r>
  <r>
    <x v="147"/>
    <d v="2014-12-07T00:00:00"/>
    <n v="14.13"/>
    <n v="0.37"/>
    <n v="5"/>
    <n v="20"/>
    <n v="14.5"/>
    <n v="1000"/>
    <n v="1014.5"/>
  </r>
  <r>
    <x v="147"/>
    <d v="2014-11-24T00:00:00"/>
    <n v="5.57"/>
    <n v="0.15"/>
    <n v="2"/>
    <n v="7"/>
    <n v="5.7200000000000006"/>
    <n v="140"/>
    <n v="145.72"/>
  </r>
  <r>
    <x v="147"/>
    <d v="2014-12-06T00:00:00"/>
    <n v="8.7200000000000006"/>
    <n v="0.23"/>
    <n v="2"/>
    <n v="19"/>
    <n v="8.9500000000000011"/>
    <n v="380"/>
    <n v="388.95"/>
  </r>
  <r>
    <x v="148"/>
    <d v="2014-12-14T00:00:00"/>
    <n v="5.67"/>
    <n v="0.15"/>
    <n v="3"/>
    <n v="26"/>
    <n v="5.82"/>
    <n v="780"/>
    <n v="785.82"/>
  </r>
  <r>
    <x v="148"/>
    <d v="2014-11-29T00:00:00"/>
    <n v="3.94"/>
    <n v="0.1"/>
    <n v="4"/>
    <n v="11"/>
    <n v="4.04"/>
    <n v="440"/>
    <n v="444.04"/>
  </r>
  <r>
    <x v="148"/>
    <d v="2014-11-23T00:00:00"/>
    <n v="5.67"/>
    <n v="0.15"/>
    <n v="3"/>
    <n v="5"/>
    <n v="5.82"/>
    <n v="150"/>
    <n v="155.82"/>
  </r>
  <r>
    <x v="149"/>
    <d v="2014-12-11T00:00:00"/>
    <n v="6.34"/>
    <n v="0.17"/>
    <n v="6"/>
    <n v="22"/>
    <n v="6.51"/>
    <n v="1320"/>
    <n v="1326.51"/>
  </r>
  <r>
    <x v="149"/>
    <d v="2014-11-27T00:00:00"/>
    <n v="2.0099999999999998"/>
    <n v="0.05"/>
    <n v="4"/>
    <n v="8"/>
    <n v="2.0599999999999996"/>
    <n v="320"/>
    <n v="322.06"/>
  </r>
  <r>
    <x v="149"/>
    <d v="2014-11-29T00:00:00"/>
    <n v="5.67"/>
    <n v="0.15"/>
    <n v="3"/>
    <n v="10"/>
    <n v="5.82"/>
    <n v="300"/>
    <n v="305.82"/>
  </r>
  <r>
    <x v="149"/>
    <d v="2014-11-26T00:00:00"/>
    <n v="6.43"/>
    <n v="0.17"/>
    <n v="5"/>
    <n v="7"/>
    <n v="6.6"/>
    <n v="350"/>
    <n v="356.6"/>
  </r>
  <r>
    <x v="150"/>
    <d v="2014-11-28T00:00:00"/>
    <n v="8.39"/>
    <n v="0.22"/>
    <n v="6"/>
    <n v="8"/>
    <n v="8.6100000000000012"/>
    <n v="480"/>
    <n v="488.61"/>
  </r>
  <r>
    <x v="150"/>
    <d v="2014-11-25T00:00:00"/>
    <n v="5.67"/>
    <n v="0.15"/>
    <n v="5"/>
    <n v="5"/>
    <n v="5.82"/>
    <n v="250"/>
    <n v="255.82"/>
  </r>
  <r>
    <x v="150"/>
    <d v="2014-11-22T00:00:00"/>
    <n v="2.72"/>
    <n v="7.0000000000000007E-2"/>
    <n v="2"/>
    <n v="2"/>
    <n v="2.79"/>
    <n v="40"/>
    <n v="42.79"/>
  </r>
  <r>
    <x v="151"/>
    <d v="2014-12-07T00:00:00"/>
    <n v="7.31"/>
    <n v="0.19"/>
    <n v="4"/>
    <n v="16"/>
    <n v="7.5"/>
    <n v="640"/>
    <n v="647.5"/>
  </r>
  <r>
    <x v="151"/>
    <d v="2014-12-17T00:00:00"/>
    <n v="5.23"/>
    <n v="0.14000000000000001"/>
    <n v="6"/>
    <n v="26"/>
    <n v="5.37"/>
    <n v="1560"/>
    <n v="1565.37"/>
  </r>
  <r>
    <x v="152"/>
    <d v="2014-11-25T00:00:00"/>
    <n v="8.83"/>
    <n v="0.23"/>
    <n v="6"/>
    <n v="3"/>
    <n v="9.06"/>
    <n v="180"/>
    <n v="189.06"/>
  </r>
  <r>
    <x v="152"/>
    <d v="2014-11-28T00:00:00"/>
    <n v="2.0099999999999998"/>
    <n v="0.05"/>
    <n v="5"/>
    <n v="6"/>
    <n v="2.0599999999999996"/>
    <n v="300"/>
    <n v="302.06"/>
  </r>
  <r>
    <x v="152"/>
    <d v="2014-12-10T00:00:00"/>
    <n v="8.89"/>
    <n v="0.23"/>
    <n v="6"/>
    <n v="18"/>
    <n v="9.120000000000001"/>
    <n v="1080"/>
    <n v="1089.1199999999999"/>
  </r>
  <r>
    <x v="152"/>
    <d v="2014-12-11T00:00:00"/>
    <n v="6.34"/>
    <n v="0.17"/>
    <n v="6"/>
    <n v="19"/>
    <n v="6.51"/>
    <n v="1140"/>
    <n v="1146.51"/>
  </r>
  <r>
    <x v="152"/>
    <d v="2014-11-25T00:00:00"/>
    <n v="14.31"/>
    <n v="0.38"/>
    <n v="3"/>
    <n v="3"/>
    <n v="14.690000000000001"/>
    <n v="90"/>
    <n v="104.69"/>
  </r>
  <r>
    <x v="152"/>
    <d v="2014-11-30T00:00:00"/>
    <n v="11.42"/>
    <n v="0.3"/>
    <n v="6"/>
    <n v="8"/>
    <n v="11.72"/>
    <n v="480"/>
    <n v="491.72"/>
  </r>
  <r>
    <x v="152"/>
    <d v="2014-11-26T00:00:00"/>
    <n v="9.4600000000000009"/>
    <n v="0.25"/>
    <n v="4"/>
    <n v="4"/>
    <n v="9.7100000000000009"/>
    <n v="160"/>
    <n v="169.71"/>
  </r>
  <r>
    <x v="153"/>
    <d v="2014-12-11T00:00:00"/>
    <n v="6.58"/>
    <n v="0.17"/>
    <n v="5"/>
    <n v="18"/>
    <n v="6.75"/>
    <n v="900"/>
    <n v="906.75"/>
  </r>
  <r>
    <x v="154"/>
    <d v="2014-12-18T00:00:00"/>
    <n v="11.42"/>
    <n v="0.3"/>
    <n v="4"/>
    <n v="24"/>
    <n v="11.72"/>
    <n v="960"/>
    <n v="971.72"/>
  </r>
  <r>
    <x v="154"/>
    <d v="2014-12-15T00:00:00"/>
    <n v="2.29"/>
    <n v="0.06"/>
    <n v="6"/>
    <n v="21"/>
    <n v="2.35"/>
    <n v="1260"/>
    <n v="1262.3499999999999"/>
  </r>
  <r>
    <x v="155"/>
    <d v="2014-12-20T00:00:00"/>
    <n v="8.7200000000000006"/>
    <n v="0.23"/>
    <n v="3"/>
    <n v="25"/>
    <n v="8.9500000000000011"/>
    <n v="750"/>
    <n v="758.95"/>
  </r>
  <r>
    <x v="155"/>
    <d v="2014-12-01T00:00:00"/>
    <n v="2.29"/>
    <n v="0.06"/>
    <n v="3"/>
    <n v="6"/>
    <n v="2.35"/>
    <n v="180"/>
    <n v="182.35"/>
  </r>
  <r>
    <x v="155"/>
    <d v="2014-12-02T00:00:00"/>
    <n v="6.58"/>
    <n v="0.17"/>
    <n v="3"/>
    <n v="7"/>
    <n v="6.75"/>
    <n v="210"/>
    <n v="216.75"/>
  </r>
  <r>
    <x v="156"/>
    <d v="2014-11-29T00:00:00"/>
    <n v="7.35"/>
    <n v="0.19"/>
    <n v="6"/>
    <n v="2"/>
    <n v="7.54"/>
    <n v="120"/>
    <n v="127.54"/>
  </r>
  <r>
    <x v="156"/>
    <d v="2014-12-09T00:00:00"/>
    <n v="6.43"/>
    <n v="0.17"/>
    <n v="4"/>
    <n v="12"/>
    <n v="6.6"/>
    <n v="480"/>
    <n v="486.6"/>
  </r>
  <r>
    <x v="156"/>
    <d v="2014-12-14T00:00:00"/>
    <n v="8.65"/>
    <n v="0.23"/>
    <n v="3"/>
    <n v="17"/>
    <n v="8.8800000000000008"/>
    <n v="510"/>
    <n v="518.88"/>
  </r>
  <r>
    <x v="156"/>
    <d v="2014-12-21T00:00:00"/>
    <n v="13.82"/>
    <n v="0.36"/>
    <n v="3"/>
    <n v="24"/>
    <n v="14.18"/>
    <n v="720"/>
    <n v="734.18"/>
  </r>
  <r>
    <x v="156"/>
    <d v="2014-12-19T00:00:00"/>
    <n v="5.67"/>
    <n v="0.15"/>
    <n v="4"/>
    <n v="22"/>
    <n v="5.82"/>
    <n v="880"/>
    <n v="885.82"/>
  </r>
  <r>
    <x v="156"/>
    <d v="2014-12-13T00:00:00"/>
    <n v="6.75"/>
    <n v="0.18"/>
    <n v="2"/>
    <n v="16"/>
    <n v="6.93"/>
    <n v="320"/>
    <n v="326.93"/>
  </r>
  <r>
    <x v="156"/>
    <d v="2014-12-19T00:00:00"/>
    <n v="5.67"/>
    <n v="0.15"/>
    <n v="5"/>
    <n v="22"/>
    <n v="5.82"/>
    <n v="1100"/>
    <n v="1105.82"/>
  </r>
  <r>
    <x v="156"/>
    <d v="2014-12-14T00:00:00"/>
    <n v="14.31"/>
    <n v="0.38"/>
    <n v="3"/>
    <n v="17"/>
    <n v="14.690000000000001"/>
    <n v="510"/>
    <n v="524.69000000000005"/>
  </r>
  <r>
    <x v="156"/>
    <d v="2014-12-06T00:00:00"/>
    <n v="16.55"/>
    <n v="0.44"/>
    <n v="4"/>
    <n v="9"/>
    <n v="16.990000000000002"/>
    <n v="360"/>
    <n v="376.99"/>
  </r>
  <r>
    <x v="156"/>
    <d v="2014-12-01T00:00:00"/>
    <n v="11.44"/>
    <n v="0.3"/>
    <n v="4"/>
    <n v="4"/>
    <n v="11.74"/>
    <n v="160"/>
    <n v="171.74"/>
  </r>
  <r>
    <x v="156"/>
    <d v="2014-12-19T00:00:00"/>
    <n v="4.66"/>
    <n v="0.12"/>
    <n v="4"/>
    <n v="22"/>
    <n v="4.78"/>
    <n v="880"/>
    <n v="884.78"/>
  </r>
  <r>
    <x v="156"/>
    <d v="2014-12-22T00:00:00"/>
    <n v="3.73"/>
    <n v="0.1"/>
    <n v="6"/>
    <n v="25"/>
    <n v="3.83"/>
    <n v="1500"/>
    <n v="1503.83"/>
  </r>
  <r>
    <x v="156"/>
    <d v="2014-12-09T00:00:00"/>
    <n v="6.75"/>
    <n v="0.18"/>
    <n v="3"/>
    <n v="12"/>
    <n v="6.93"/>
    <n v="360"/>
    <n v="366.93"/>
  </r>
  <r>
    <x v="156"/>
    <d v="2014-12-08T00:00:00"/>
    <n v="2.72"/>
    <n v="7.0000000000000007E-2"/>
    <n v="6"/>
    <n v="11"/>
    <n v="2.79"/>
    <n v="660"/>
    <n v="662.79"/>
  </r>
  <r>
    <x v="156"/>
    <d v="2014-12-17T00:00:00"/>
    <n v="7.71"/>
    <n v="0.2"/>
    <n v="6"/>
    <n v="20"/>
    <n v="7.91"/>
    <n v="1200"/>
    <n v="1207.9100000000001"/>
  </r>
  <r>
    <x v="156"/>
    <d v="2014-11-29T00:00:00"/>
    <n v="6.58"/>
    <n v="0.17"/>
    <n v="6"/>
    <n v="2"/>
    <n v="6.75"/>
    <n v="120"/>
    <n v="126.75"/>
  </r>
  <r>
    <x v="156"/>
    <d v="2014-12-13T00:00:00"/>
    <n v="8.89"/>
    <n v="0.23"/>
    <n v="2"/>
    <n v="16"/>
    <n v="9.120000000000001"/>
    <n v="320"/>
    <n v="329.12"/>
  </r>
  <r>
    <x v="156"/>
    <d v="2014-12-13T00:00:00"/>
    <n v="5.47"/>
    <n v="0.14000000000000001"/>
    <n v="4"/>
    <n v="16"/>
    <n v="5.6099999999999994"/>
    <n v="640"/>
    <n v="645.61"/>
  </r>
  <r>
    <x v="157"/>
    <d v="2014-12-14T00:00:00"/>
    <n v="12.01"/>
    <n v="0.32"/>
    <n v="2"/>
    <n v="16"/>
    <n v="12.33"/>
    <n v="320"/>
    <n v="332.33"/>
  </r>
  <r>
    <x v="157"/>
    <d v="2014-12-03T00:00:00"/>
    <n v="11.44"/>
    <n v="0.3"/>
    <n v="3"/>
    <n v="5"/>
    <n v="11.74"/>
    <n v="150"/>
    <n v="161.74"/>
  </r>
  <r>
    <x v="157"/>
    <d v="2014-12-13T00:00:00"/>
    <n v="14.13"/>
    <n v="0.37"/>
    <n v="3"/>
    <n v="15"/>
    <n v="14.5"/>
    <n v="450"/>
    <n v="464.5"/>
  </r>
  <r>
    <x v="157"/>
    <d v="2014-12-10T00:00:00"/>
    <n v="8.9499999999999993"/>
    <n v="0.24"/>
    <n v="6"/>
    <n v="12"/>
    <n v="9.19"/>
    <n v="720"/>
    <n v="729.19"/>
  </r>
  <r>
    <x v="157"/>
    <d v="2014-11-30T00:00:00"/>
    <n v="8.89"/>
    <n v="0.23"/>
    <n v="2"/>
    <n v="2"/>
    <n v="9.120000000000001"/>
    <n v="40"/>
    <n v="49.120000000000005"/>
  </r>
  <r>
    <x v="157"/>
    <d v="2014-12-02T00:00:00"/>
    <n v="6.43"/>
    <n v="0.17"/>
    <n v="5"/>
    <n v="4"/>
    <n v="6.6"/>
    <n v="200"/>
    <n v="206.6"/>
  </r>
  <r>
    <x v="157"/>
    <d v="2014-12-01T00:00:00"/>
    <n v="3.94"/>
    <n v="0.1"/>
    <n v="3"/>
    <n v="3"/>
    <n v="4.04"/>
    <n v="90"/>
    <n v="94.04"/>
  </r>
  <r>
    <x v="157"/>
    <d v="2014-11-30T00:00:00"/>
    <n v="6.23"/>
    <n v="0.16"/>
    <n v="3"/>
    <n v="2"/>
    <n v="6.3900000000000006"/>
    <n v="60"/>
    <n v="66.39"/>
  </r>
  <r>
    <x v="157"/>
    <d v="2014-12-26T00:00:00"/>
    <n v="13.82"/>
    <n v="0.36"/>
    <n v="3"/>
    <n v="28"/>
    <n v="14.18"/>
    <n v="840"/>
    <n v="854.18"/>
  </r>
  <r>
    <x v="157"/>
    <d v="2014-12-14T00:00:00"/>
    <n v="4.66"/>
    <n v="0.12"/>
    <n v="4"/>
    <n v="16"/>
    <n v="4.78"/>
    <n v="640"/>
    <n v="644.78"/>
  </r>
  <r>
    <x v="157"/>
    <d v="2014-12-25T00:00:00"/>
    <n v="6.58"/>
    <n v="0.17"/>
    <n v="6"/>
    <n v="27"/>
    <n v="6.75"/>
    <n v="1620"/>
    <n v="1626.75"/>
  </r>
  <r>
    <x v="157"/>
    <d v="2014-12-14T00:00:00"/>
    <n v="5.23"/>
    <n v="0.14000000000000001"/>
    <n v="2"/>
    <n v="16"/>
    <n v="5.37"/>
    <n v="320"/>
    <n v="325.37"/>
  </r>
  <r>
    <x v="157"/>
    <d v="2014-12-26T00:00:00"/>
    <n v="14"/>
    <n v="0.37"/>
    <n v="6"/>
    <n v="28"/>
    <n v="14.37"/>
    <n v="1680"/>
    <n v="1694.37"/>
  </r>
  <r>
    <x v="157"/>
    <d v="2014-12-20T00:00:00"/>
    <n v="8.65"/>
    <n v="0.23"/>
    <n v="2"/>
    <n v="22"/>
    <n v="8.8800000000000008"/>
    <n v="440"/>
    <n v="448.88"/>
  </r>
  <r>
    <x v="157"/>
    <d v="2014-12-15T00:00:00"/>
    <n v="19.54"/>
    <n v="0.51"/>
    <n v="6"/>
    <n v="17"/>
    <n v="20.05"/>
    <n v="1020"/>
    <n v="1040.05"/>
  </r>
  <r>
    <x v="157"/>
    <d v="2014-12-21T00:00:00"/>
    <n v="8.83"/>
    <n v="0.23"/>
    <n v="2"/>
    <n v="23"/>
    <n v="9.06"/>
    <n v="460"/>
    <n v="469.06"/>
  </r>
  <r>
    <x v="157"/>
    <d v="2014-12-21T00:00:00"/>
    <n v="5.64"/>
    <n v="0.15"/>
    <n v="3"/>
    <n v="23"/>
    <n v="5.79"/>
    <n v="690"/>
    <n v="695.79"/>
  </r>
  <r>
    <x v="157"/>
    <d v="2014-12-22T00:00:00"/>
    <n v="8.89"/>
    <n v="0.23"/>
    <n v="4"/>
    <n v="24"/>
    <n v="9.120000000000001"/>
    <n v="960"/>
    <n v="969.12"/>
  </r>
  <r>
    <x v="157"/>
    <d v="2014-12-08T00:00:00"/>
    <n v="16.829999999999998"/>
    <n v="0.44"/>
    <n v="2"/>
    <n v="10"/>
    <n v="17.27"/>
    <n v="200"/>
    <n v="217.27"/>
  </r>
  <r>
    <x v="157"/>
    <d v="2014-12-09T00:00:00"/>
    <n v="11.42"/>
    <n v="0.3"/>
    <n v="2"/>
    <n v="11"/>
    <n v="11.72"/>
    <n v="220"/>
    <n v="231.72"/>
  </r>
  <r>
    <x v="158"/>
    <d v="2014-12-06T00:00:00"/>
    <n v="5.64"/>
    <n v="0.15"/>
    <n v="3"/>
    <n v="7"/>
    <n v="5.79"/>
    <n v="210"/>
    <n v="215.79"/>
  </r>
  <r>
    <x v="159"/>
    <d v="2014-12-12T00:00:00"/>
    <n v="8.7200000000000006"/>
    <n v="0.23"/>
    <n v="6"/>
    <n v="11"/>
    <n v="8.9500000000000011"/>
    <n v="660"/>
    <n v="668.95"/>
  </r>
  <r>
    <x v="159"/>
    <d v="2014-12-21T00:00:00"/>
    <n v="5.67"/>
    <n v="0.15"/>
    <n v="5"/>
    <n v="20"/>
    <n v="5.82"/>
    <n v="1000"/>
    <n v="1005.82"/>
  </r>
  <r>
    <x v="159"/>
    <d v="2014-12-22T00:00:00"/>
    <n v="3.88"/>
    <n v="0.1"/>
    <n v="5"/>
    <n v="21"/>
    <n v="3.98"/>
    <n v="1050"/>
    <n v="1053.98"/>
  </r>
  <r>
    <x v="159"/>
    <d v="2014-12-16T00:00:00"/>
    <n v="6.58"/>
    <n v="0.17"/>
    <n v="5"/>
    <n v="15"/>
    <n v="6.75"/>
    <n v="750"/>
    <n v="756.75"/>
  </r>
  <r>
    <x v="159"/>
    <d v="2014-12-21T00:00:00"/>
    <n v="5.67"/>
    <n v="0.15"/>
    <n v="2"/>
    <n v="20"/>
    <n v="5.82"/>
    <n v="400"/>
    <n v="405.82"/>
  </r>
  <r>
    <x v="159"/>
    <d v="2014-12-21T00:00:00"/>
    <n v="6.34"/>
    <n v="0.17"/>
    <n v="6"/>
    <n v="20"/>
    <n v="6.51"/>
    <n v="1200"/>
    <n v="1206.51"/>
  </r>
  <r>
    <x v="159"/>
    <d v="2014-12-12T00:00:00"/>
    <n v="6.58"/>
    <n v="0.17"/>
    <n v="6"/>
    <n v="11"/>
    <n v="6.75"/>
    <n v="660"/>
    <n v="666.75"/>
  </r>
  <r>
    <x v="160"/>
    <d v="2014-12-04T00:00:00"/>
    <n v="5.67"/>
    <n v="0.15"/>
    <n v="3"/>
    <n v="2"/>
    <n v="5.82"/>
    <n v="60"/>
    <n v="65.819999999999993"/>
  </r>
  <r>
    <x v="160"/>
    <d v="2014-12-08T00:00:00"/>
    <n v="4.25"/>
    <n v="0.11"/>
    <n v="3"/>
    <n v="6"/>
    <n v="4.3600000000000003"/>
    <n v="180"/>
    <n v="184.36"/>
  </r>
  <r>
    <x v="160"/>
    <d v="2014-12-19T00:00:00"/>
    <n v="8.84"/>
    <n v="0.23"/>
    <n v="3"/>
    <n v="17"/>
    <n v="9.07"/>
    <n v="510"/>
    <n v="519.07000000000005"/>
  </r>
  <r>
    <x v="160"/>
    <d v="2014-12-17T00:00:00"/>
    <n v="3.57"/>
    <n v="0.09"/>
    <n v="5"/>
    <n v="15"/>
    <n v="3.6599999999999997"/>
    <n v="750"/>
    <n v="753.66"/>
  </r>
  <r>
    <x v="160"/>
    <d v="2014-12-17T00:00:00"/>
    <n v="2.0099999999999998"/>
    <n v="0.05"/>
    <n v="2"/>
    <n v="15"/>
    <n v="2.0599999999999996"/>
    <n v="300"/>
    <n v="302.06"/>
  </r>
  <r>
    <x v="160"/>
    <d v="2014-12-19T00:00:00"/>
    <n v="3.73"/>
    <n v="0.1"/>
    <n v="3"/>
    <n v="17"/>
    <n v="3.83"/>
    <n v="510"/>
    <n v="513.83000000000004"/>
  </r>
  <r>
    <x v="161"/>
    <d v="2014-12-05T00:00:00"/>
    <n v="3.57"/>
    <n v="0.09"/>
    <n v="5"/>
    <n v="2"/>
    <n v="3.6599999999999997"/>
    <n v="100"/>
    <n v="103.66"/>
  </r>
  <r>
    <x v="162"/>
    <d v="2014-12-20T00:00:00"/>
    <n v="6.58"/>
    <n v="0.17"/>
    <n v="4"/>
    <n v="16"/>
    <n v="6.75"/>
    <n v="640"/>
    <n v="646.75"/>
  </r>
  <r>
    <x v="162"/>
    <d v="2015-01-01T00:00:00"/>
    <n v="5.64"/>
    <n v="0.15"/>
    <n v="6"/>
    <n v="28"/>
    <n v="5.79"/>
    <n v="1680"/>
    <n v="1685.79"/>
  </r>
  <r>
    <x v="162"/>
    <d v="2014-12-16T00:00:00"/>
    <n v="3.88"/>
    <n v="0.1"/>
    <n v="2"/>
    <n v="12"/>
    <n v="3.98"/>
    <n v="240"/>
    <n v="243.98"/>
  </r>
  <r>
    <x v="162"/>
    <d v="2014-12-27T00:00:00"/>
    <n v="3.79"/>
    <n v="0.1"/>
    <n v="6"/>
    <n v="23"/>
    <n v="3.89"/>
    <n v="1380"/>
    <n v="1383.89"/>
  </r>
  <r>
    <x v="162"/>
    <d v="2014-12-11T00:00:00"/>
    <n v="11.37"/>
    <n v="0.3"/>
    <n v="2"/>
    <n v="7"/>
    <n v="11.67"/>
    <n v="140"/>
    <n v="151.66999999999999"/>
  </r>
  <r>
    <x v="162"/>
    <d v="2014-12-21T00:00:00"/>
    <n v="16.55"/>
    <n v="0.44"/>
    <n v="6"/>
    <n v="17"/>
    <n v="16.990000000000002"/>
    <n v="1020"/>
    <n v="1036.99"/>
  </r>
  <r>
    <x v="162"/>
    <d v="2014-12-28T00:00:00"/>
    <n v="6.88"/>
    <n v="0.18"/>
    <n v="4"/>
    <n v="24"/>
    <n v="7.06"/>
    <n v="960"/>
    <n v="967.06"/>
  </r>
  <r>
    <x v="163"/>
    <d v="2014-12-28T00:00:00"/>
    <n v="5.64"/>
    <n v="0.15"/>
    <n v="4"/>
    <n v="19"/>
    <n v="5.79"/>
    <n v="760"/>
    <n v="765.79"/>
  </r>
  <r>
    <x v="163"/>
    <d v="2014-12-31T00:00:00"/>
    <n v="3.57"/>
    <n v="0.09"/>
    <n v="4"/>
    <n v="22"/>
    <n v="3.6599999999999997"/>
    <n v="880"/>
    <n v="883.66"/>
  </r>
  <r>
    <x v="163"/>
    <d v="2015-01-03T00:00:00"/>
    <n v="9.4600000000000009"/>
    <n v="0.25"/>
    <n v="6"/>
    <n v="25"/>
    <n v="9.7100000000000009"/>
    <n v="1500"/>
    <n v="1509.71"/>
  </r>
  <r>
    <x v="163"/>
    <d v="2014-12-19T00:00:00"/>
    <n v="4.25"/>
    <n v="0.11"/>
    <n v="5"/>
    <n v="10"/>
    <n v="4.3600000000000003"/>
    <n v="500"/>
    <n v="504.36"/>
  </r>
  <r>
    <x v="163"/>
    <d v="2014-12-15T00:00:00"/>
    <n v="5.67"/>
    <n v="0.15"/>
    <n v="5"/>
    <n v="6"/>
    <n v="5.82"/>
    <n v="300"/>
    <n v="305.82"/>
  </r>
  <r>
    <x v="163"/>
    <d v="2014-12-26T00:00:00"/>
    <n v="6.34"/>
    <n v="0.17"/>
    <n v="2"/>
    <n v="17"/>
    <n v="6.51"/>
    <n v="340"/>
    <n v="346.51"/>
  </r>
  <r>
    <x v="163"/>
    <d v="2014-12-18T00:00:00"/>
    <n v="14.13"/>
    <n v="0.37"/>
    <n v="6"/>
    <n v="9"/>
    <n v="14.5"/>
    <n v="540"/>
    <n v="554.5"/>
  </r>
  <r>
    <x v="163"/>
    <d v="2015-01-03T00:00:00"/>
    <n v="8.83"/>
    <n v="0.23"/>
    <n v="5"/>
    <n v="25"/>
    <n v="9.06"/>
    <n v="1250"/>
    <n v="1259.06"/>
  </r>
  <r>
    <x v="163"/>
    <d v="2014-12-30T00:00:00"/>
    <n v="7.31"/>
    <n v="0.19"/>
    <n v="2"/>
    <n v="21"/>
    <n v="7.5"/>
    <n v="420"/>
    <n v="427.5"/>
  </r>
  <r>
    <x v="163"/>
    <d v="2014-12-24T00:00:00"/>
    <n v="9.74"/>
    <n v="0.26"/>
    <n v="6"/>
    <n v="15"/>
    <n v="10"/>
    <n v="900"/>
    <n v="910"/>
  </r>
  <r>
    <x v="163"/>
    <d v="2015-01-02T00:00:00"/>
    <n v="11.42"/>
    <n v="0.3"/>
    <n v="4"/>
    <n v="24"/>
    <n v="11.72"/>
    <n v="960"/>
    <n v="971.72"/>
  </r>
  <r>
    <x v="163"/>
    <d v="2014-12-22T00:00:00"/>
    <n v="11.44"/>
    <n v="0.3"/>
    <n v="4"/>
    <n v="13"/>
    <n v="11.74"/>
    <n v="520"/>
    <n v="531.74"/>
  </r>
  <r>
    <x v="163"/>
    <d v="2014-12-15T00:00:00"/>
    <n v="7.35"/>
    <n v="0.19"/>
    <n v="3"/>
    <n v="6"/>
    <n v="7.54"/>
    <n v="180"/>
    <n v="187.54"/>
  </r>
  <r>
    <x v="163"/>
    <d v="2014-12-20T00:00:00"/>
    <n v="7.3"/>
    <n v="0.19"/>
    <n v="2"/>
    <n v="11"/>
    <n v="7.49"/>
    <n v="220"/>
    <n v="227.49"/>
  </r>
  <r>
    <x v="163"/>
    <d v="2014-12-16T00:00:00"/>
    <n v="8.65"/>
    <n v="0.23"/>
    <n v="4"/>
    <n v="7"/>
    <n v="8.8800000000000008"/>
    <n v="280"/>
    <n v="288.88"/>
  </r>
  <r>
    <x v="163"/>
    <d v="2014-12-18T00:00:00"/>
    <n v="8.39"/>
    <n v="0.22"/>
    <n v="2"/>
    <n v="9"/>
    <n v="8.6100000000000012"/>
    <n v="180"/>
    <n v="188.61"/>
  </r>
  <r>
    <x v="163"/>
    <d v="2014-12-20T00:00:00"/>
    <n v="11.42"/>
    <n v="0.3"/>
    <n v="3"/>
    <n v="11"/>
    <n v="11.72"/>
    <n v="330"/>
    <n v="341.72"/>
  </r>
  <r>
    <x v="163"/>
    <d v="2014-12-21T00:00:00"/>
    <n v="9.74"/>
    <n v="0.26"/>
    <n v="2"/>
    <n v="12"/>
    <n v="10"/>
    <n v="240"/>
    <n v="250"/>
  </r>
  <r>
    <x v="163"/>
    <d v="2014-12-29T00:00:00"/>
    <n v="13.07"/>
    <n v="0.34"/>
    <n v="2"/>
    <n v="20"/>
    <n v="13.41"/>
    <n v="400"/>
    <n v="413.41"/>
  </r>
  <r>
    <x v="163"/>
    <d v="2015-01-02T00:00:00"/>
    <n v="6.75"/>
    <n v="0.18"/>
    <n v="4"/>
    <n v="24"/>
    <n v="6.93"/>
    <n v="960"/>
    <n v="966.93"/>
  </r>
  <r>
    <x v="163"/>
    <d v="2015-01-06T00:00:00"/>
    <n v="6.75"/>
    <n v="0.18"/>
    <n v="2"/>
    <n v="28"/>
    <n v="6.93"/>
    <n v="560"/>
    <n v="566.92999999999995"/>
  </r>
  <r>
    <x v="164"/>
    <d v="2014-12-17T00:00:00"/>
    <n v="9.06"/>
    <n v="0.24"/>
    <n v="4"/>
    <n v="7"/>
    <n v="9.3000000000000007"/>
    <n v="280"/>
    <n v="289.3"/>
  </r>
  <r>
    <x v="164"/>
    <d v="2014-12-31T00:00:00"/>
    <n v="4.25"/>
    <n v="0.11"/>
    <n v="5"/>
    <n v="21"/>
    <n v="4.3600000000000003"/>
    <n v="1050"/>
    <n v="1054.3599999999999"/>
  </r>
  <r>
    <x v="164"/>
    <d v="2014-12-20T00:00:00"/>
    <n v="7.06"/>
    <n v="0.19"/>
    <n v="2"/>
    <n v="10"/>
    <n v="7.25"/>
    <n v="200"/>
    <n v="207.25"/>
  </r>
  <r>
    <x v="164"/>
    <d v="2014-12-19T00:00:00"/>
    <n v="14.31"/>
    <n v="0.38"/>
    <n v="4"/>
    <n v="9"/>
    <n v="14.690000000000001"/>
    <n v="360"/>
    <n v="374.69"/>
  </r>
  <r>
    <x v="164"/>
    <d v="2015-01-07T00:00:00"/>
    <n v="5.64"/>
    <n v="0.15"/>
    <n v="5"/>
    <n v="28"/>
    <n v="5.79"/>
    <n v="1400"/>
    <n v="1405.79"/>
  </r>
  <r>
    <x v="164"/>
    <d v="2014-12-23T00:00:00"/>
    <n v="5.67"/>
    <n v="0.15"/>
    <n v="3"/>
    <n v="13"/>
    <n v="5.82"/>
    <n v="390"/>
    <n v="395.82"/>
  </r>
  <r>
    <x v="164"/>
    <d v="2014-12-17T00:00:00"/>
    <n v="11.69"/>
    <n v="0.31"/>
    <n v="2"/>
    <n v="7"/>
    <n v="12"/>
    <n v="140"/>
    <n v="152"/>
  </r>
  <r>
    <x v="164"/>
    <d v="2014-12-29T00:00:00"/>
    <n v="13.02"/>
    <n v="0.34"/>
    <n v="3"/>
    <n v="19"/>
    <n v="13.36"/>
    <n v="570"/>
    <n v="583.36"/>
  </r>
  <r>
    <x v="164"/>
    <d v="2014-12-13T00:00:00"/>
    <n v="4.25"/>
    <n v="0.11"/>
    <n v="3"/>
    <n v="3"/>
    <n v="4.3600000000000003"/>
    <n v="90"/>
    <n v="94.36"/>
  </r>
  <r>
    <x v="164"/>
    <d v="2014-12-22T00:00:00"/>
    <n v="12.23"/>
    <n v="0.32"/>
    <n v="3"/>
    <n v="12"/>
    <n v="12.55"/>
    <n v="360"/>
    <n v="372.55"/>
  </r>
  <r>
    <x v="164"/>
    <d v="2015-01-05T00:00:00"/>
    <n v="14.13"/>
    <n v="0.37"/>
    <n v="5"/>
    <n v="26"/>
    <n v="14.5"/>
    <n v="1300"/>
    <n v="1314.5"/>
  </r>
  <r>
    <x v="164"/>
    <d v="2015-01-04T00:00:00"/>
    <n v="6.23"/>
    <n v="0.16"/>
    <n v="3"/>
    <n v="25"/>
    <n v="6.3900000000000006"/>
    <n v="750"/>
    <n v="756.39"/>
  </r>
  <r>
    <x v="164"/>
    <d v="2015-01-02T00:00:00"/>
    <n v="8.5399999999999991"/>
    <n v="0.22"/>
    <n v="2"/>
    <n v="23"/>
    <n v="8.76"/>
    <n v="460"/>
    <n v="468.76"/>
  </r>
  <r>
    <x v="164"/>
    <d v="2014-12-28T00:00:00"/>
    <n v="7.55"/>
    <n v="0.2"/>
    <n v="2"/>
    <n v="18"/>
    <n v="7.75"/>
    <n v="360"/>
    <n v="367.75"/>
  </r>
  <r>
    <x v="164"/>
    <d v="2014-12-16T00:00:00"/>
    <n v="14"/>
    <n v="0.37"/>
    <n v="4"/>
    <n v="6"/>
    <n v="14.37"/>
    <n v="240"/>
    <n v="254.37"/>
  </r>
  <r>
    <x v="164"/>
    <d v="2014-12-13T00:00:00"/>
    <n v="13.02"/>
    <n v="0.34"/>
    <n v="2"/>
    <n v="3"/>
    <n v="13.36"/>
    <n v="60"/>
    <n v="73.36"/>
  </r>
  <r>
    <x v="164"/>
    <d v="2015-01-05T00:00:00"/>
    <n v="8.39"/>
    <n v="0.22"/>
    <n v="6"/>
    <n v="26"/>
    <n v="8.6100000000000012"/>
    <n v="1560"/>
    <n v="1568.61"/>
  </r>
  <r>
    <x v="164"/>
    <d v="2014-12-17T00:00:00"/>
    <n v="5.23"/>
    <n v="0.14000000000000001"/>
    <n v="4"/>
    <n v="7"/>
    <n v="5.37"/>
    <n v="280"/>
    <n v="285.37"/>
  </r>
  <r>
    <x v="164"/>
    <d v="2014-12-15T00:00:00"/>
    <n v="2.0099999999999998"/>
    <n v="0.05"/>
    <n v="2"/>
    <n v="5"/>
    <n v="2.0599999999999996"/>
    <n v="100"/>
    <n v="102.06"/>
  </r>
  <r>
    <x v="164"/>
    <d v="2015-01-04T00:00:00"/>
    <n v="7.06"/>
    <n v="0.19"/>
    <n v="5"/>
    <n v="25"/>
    <n v="7.25"/>
    <n v="1250"/>
    <n v="1257.25"/>
  </r>
  <r>
    <x v="164"/>
    <d v="2014-12-31T00:00:00"/>
    <n v="19.54"/>
    <n v="0.51"/>
    <n v="3"/>
    <n v="21"/>
    <n v="20.05"/>
    <n v="630"/>
    <n v="650.04999999999995"/>
  </r>
  <r>
    <x v="164"/>
    <d v="2014-12-20T00:00:00"/>
    <n v="5.23"/>
    <n v="0.14000000000000001"/>
    <n v="4"/>
    <n v="10"/>
    <n v="5.37"/>
    <n v="400"/>
    <n v="405.37"/>
  </r>
  <r>
    <x v="165"/>
    <d v="2014-12-29T00:00:00"/>
    <n v="9.06"/>
    <n v="0.24"/>
    <n v="4"/>
    <n v="18"/>
    <n v="9.3000000000000007"/>
    <n v="720"/>
    <n v="729.3"/>
  </r>
  <r>
    <x v="165"/>
    <d v="2014-12-15T00:00:00"/>
    <n v="3.73"/>
    <n v="0.1"/>
    <n v="6"/>
    <n v="4"/>
    <n v="3.83"/>
    <n v="240"/>
    <n v="243.83"/>
  </r>
  <r>
    <x v="166"/>
    <d v="2015-01-08T00:00:00"/>
    <n v="5.67"/>
    <n v="0.15"/>
    <n v="2"/>
    <n v="27"/>
    <n v="5.82"/>
    <n v="540"/>
    <n v="545.82000000000005"/>
  </r>
  <r>
    <x v="166"/>
    <d v="2014-12-16T00:00:00"/>
    <n v="5.67"/>
    <n v="0.15"/>
    <n v="4"/>
    <n v="4"/>
    <n v="5.82"/>
    <n v="160"/>
    <n v="165.82"/>
  </r>
  <r>
    <x v="166"/>
    <d v="2014-12-22T00:00:00"/>
    <n v="3.57"/>
    <n v="0.09"/>
    <n v="2"/>
    <n v="10"/>
    <n v="3.6599999999999997"/>
    <n v="200"/>
    <n v="203.66"/>
  </r>
  <r>
    <x v="166"/>
    <d v="2014-12-22T00:00:00"/>
    <n v="3.57"/>
    <n v="0.09"/>
    <n v="3"/>
    <n v="10"/>
    <n v="3.6599999999999997"/>
    <n v="300"/>
    <n v="303.66000000000003"/>
  </r>
  <r>
    <x v="166"/>
    <d v="2015-01-09T00:00:00"/>
    <n v="2.29"/>
    <n v="0.06"/>
    <n v="2"/>
    <n v="28"/>
    <n v="2.35"/>
    <n v="560"/>
    <n v="562.35"/>
  </r>
  <r>
    <x v="166"/>
    <d v="2014-12-30T00:00:00"/>
    <n v="7.35"/>
    <n v="0.19"/>
    <n v="5"/>
    <n v="18"/>
    <n v="7.54"/>
    <n v="900"/>
    <n v="907.54"/>
  </r>
  <r>
    <x v="166"/>
    <d v="2015-01-07T00:00:00"/>
    <n v="3.94"/>
    <n v="0.1"/>
    <n v="4"/>
    <n v="26"/>
    <n v="4.04"/>
    <n v="1040"/>
    <n v="1044.04"/>
  </r>
  <r>
    <x v="166"/>
    <d v="2014-12-22T00:00:00"/>
    <n v="3.94"/>
    <n v="0.1"/>
    <n v="2"/>
    <n v="10"/>
    <n v="4.04"/>
    <n v="200"/>
    <n v="204.04"/>
  </r>
  <r>
    <x v="166"/>
    <d v="2015-01-02T00:00:00"/>
    <n v="13.07"/>
    <n v="0.34"/>
    <n v="3"/>
    <n v="21"/>
    <n v="13.41"/>
    <n v="630"/>
    <n v="643.41"/>
  </r>
  <r>
    <x v="167"/>
    <d v="2014-12-17T00:00:00"/>
    <n v="6.43"/>
    <n v="0.17"/>
    <n v="5"/>
    <n v="4"/>
    <n v="6.6"/>
    <n v="200"/>
    <n v="206.6"/>
  </r>
  <r>
    <x v="167"/>
    <d v="2015-01-01T00:00:00"/>
    <n v="6.43"/>
    <n v="0.17"/>
    <n v="3"/>
    <n v="19"/>
    <n v="6.6"/>
    <n v="570"/>
    <n v="576.6"/>
  </r>
  <r>
    <x v="168"/>
    <d v="2015-01-08T00:00:00"/>
    <n v="2.72"/>
    <n v="7.0000000000000007E-2"/>
    <n v="4"/>
    <n v="25"/>
    <n v="2.79"/>
    <n v="1000"/>
    <n v="1002.79"/>
  </r>
  <r>
    <x v="168"/>
    <d v="2015-01-03T00:00:00"/>
    <n v="6.43"/>
    <n v="0.17"/>
    <n v="6"/>
    <n v="20"/>
    <n v="6.6"/>
    <n v="1200"/>
    <n v="1206.5999999999999"/>
  </r>
  <r>
    <x v="169"/>
    <d v="2015-01-10T00:00:00"/>
    <n v="2.0099999999999998"/>
    <n v="0.05"/>
    <n v="3"/>
    <n v="26"/>
    <n v="2.0599999999999996"/>
    <n v="780"/>
    <n v="782.06"/>
  </r>
  <r>
    <x v="169"/>
    <d v="2015-01-01T00:00:00"/>
    <n v="2.72"/>
    <n v="7.0000000000000007E-2"/>
    <n v="2"/>
    <n v="17"/>
    <n v="2.79"/>
    <n v="340"/>
    <n v="342.79"/>
  </r>
  <r>
    <x v="169"/>
    <d v="2014-12-23T00:00:00"/>
    <n v="2.0099999999999998"/>
    <n v="0.05"/>
    <n v="5"/>
    <n v="8"/>
    <n v="2.0599999999999996"/>
    <n v="400"/>
    <n v="402.06"/>
  </r>
  <r>
    <x v="170"/>
    <d v="2014-12-18T00:00:00"/>
    <n v="11.42"/>
    <n v="0.3"/>
    <n v="5"/>
    <n v="2"/>
    <n v="11.72"/>
    <n v="100"/>
    <n v="111.72"/>
  </r>
  <r>
    <x v="170"/>
    <d v="2014-12-30T00:00:00"/>
    <n v="10.93"/>
    <n v="0.28999999999999998"/>
    <n v="3"/>
    <n v="14"/>
    <n v="11.219999999999999"/>
    <n v="420"/>
    <n v="431.22"/>
  </r>
  <r>
    <x v="170"/>
    <d v="2014-12-24T00:00:00"/>
    <n v="9.06"/>
    <n v="0.24"/>
    <n v="2"/>
    <n v="8"/>
    <n v="9.3000000000000007"/>
    <n v="160"/>
    <n v="169.3"/>
  </r>
  <r>
    <x v="170"/>
    <d v="2014-12-25T00:00:00"/>
    <n v="5.67"/>
    <n v="0.15"/>
    <n v="3"/>
    <n v="9"/>
    <n v="5.82"/>
    <n v="270"/>
    <n v="275.82"/>
  </r>
  <r>
    <x v="170"/>
    <d v="2015-01-11T00:00:00"/>
    <n v="3.57"/>
    <n v="0.09"/>
    <n v="4"/>
    <n v="26"/>
    <n v="3.6599999999999997"/>
    <n v="1040"/>
    <n v="1043.6600000000001"/>
  </r>
  <r>
    <x v="170"/>
    <d v="2015-01-07T00:00:00"/>
    <n v="3.79"/>
    <n v="0.1"/>
    <n v="5"/>
    <n v="22"/>
    <n v="3.89"/>
    <n v="1100"/>
    <n v="1103.8900000000001"/>
  </r>
  <r>
    <x v="171"/>
    <d v="2014-12-23T00:00:00"/>
    <n v="4.66"/>
    <n v="0.12"/>
    <n v="3"/>
    <n v="6"/>
    <n v="4.78"/>
    <n v="180"/>
    <n v="184.78"/>
  </r>
  <r>
    <x v="171"/>
    <d v="2014-12-31T00:00:00"/>
    <n v="6.43"/>
    <n v="0.17"/>
    <n v="6"/>
    <n v="14"/>
    <n v="6.6"/>
    <n v="840"/>
    <n v="846.6"/>
  </r>
  <r>
    <x v="171"/>
    <d v="2014-12-25T00:00:00"/>
    <n v="6.58"/>
    <n v="0.17"/>
    <n v="4"/>
    <n v="8"/>
    <n v="6.75"/>
    <n v="320"/>
    <n v="326.75"/>
  </r>
  <r>
    <x v="172"/>
    <d v="2014-12-25T00:00:00"/>
    <n v="4.66"/>
    <n v="0.12"/>
    <n v="6"/>
    <n v="7"/>
    <n v="4.78"/>
    <n v="420"/>
    <n v="424.78"/>
  </r>
  <r>
    <x v="172"/>
    <d v="2014-12-30T00:00:00"/>
    <n v="4.66"/>
    <n v="0.12"/>
    <n v="5"/>
    <n v="12"/>
    <n v="4.78"/>
    <n v="600"/>
    <n v="604.78"/>
  </r>
  <r>
    <x v="172"/>
    <d v="2014-12-26T00:00:00"/>
    <n v="3.73"/>
    <n v="0.1"/>
    <n v="5"/>
    <n v="8"/>
    <n v="3.83"/>
    <n v="400"/>
    <n v="403.83"/>
  </r>
  <r>
    <x v="172"/>
    <d v="2014-12-22T00:00:00"/>
    <n v="4.25"/>
    <n v="0.11"/>
    <n v="4"/>
    <n v="4"/>
    <n v="4.3600000000000003"/>
    <n v="160"/>
    <n v="164.36"/>
  </r>
  <r>
    <x v="172"/>
    <d v="2015-01-10T00:00:00"/>
    <n v="6.34"/>
    <n v="0.17"/>
    <n v="5"/>
    <n v="23"/>
    <n v="6.51"/>
    <n v="1150"/>
    <n v="1156.51"/>
  </r>
  <r>
    <x v="173"/>
    <d v="2015-01-12T00:00:00"/>
    <n v="2.0099999999999998"/>
    <n v="0.05"/>
    <n v="6"/>
    <n v="24"/>
    <n v="2.0599999999999996"/>
    <n v="1440"/>
    <n v="1442.06"/>
  </r>
  <r>
    <x v="173"/>
    <d v="2015-01-03T00:00:00"/>
    <n v="6.34"/>
    <n v="0.17"/>
    <n v="6"/>
    <n v="15"/>
    <n v="6.51"/>
    <n v="900"/>
    <n v="906.51"/>
  </r>
  <r>
    <x v="174"/>
    <d v="2015-01-10T00:00:00"/>
    <n v="3.94"/>
    <n v="0.1"/>
    <n v="4"/>
    <n v="21"/>
    <n v="4.04"/>
    <n v="840"/>
    <n v="844.04"/>
  </r>
  <r>
    <x v="174"/>
    <d v="2015-01-17T00:00:00"/>
    <n v="8.7200000000000006"/>
    <n v="0.23"/>
    <n v="4"/>
    <n v="28"/>
    <n v="8.9500000000000011"/>
    <n v="1120"/>
    <n v="1128.95"/>
  </r>
  <r>
    <x v="175"/>
    <d v="2015-01-08T00:00:00"/>
    <n v="5.67"/>
    <n v="0.15"/>
    <n v="6"/>
    <n v="18"/>
    <n v="5.82"/>
    <n v="1080"/>
    <n v="1085.82"/>
  </r>
  <r>
    <x v="175"/>
    <d v="2015-01-17T00:00:00"/>
    <n v="6.58"/>
    <n v="0.17"/>
    <n v="5"/>
    <n v="27"/>
    <n v="6.75"/>
    <n v="1350"/>
    <n v="1356.75"/>
  </r>
  <r>
    <x v="175"/>
    <d v="2015-01-18T00:00:00"/>
    <n v="8.7200000000000006"/>
    <n v="0.23"/>
    <n v="6"/>
    <n v="28"/>
    <n v="8.9500000000000011"/>
    <n v="1680"/>
    <n v="1688.95"/>
  </r>
  <r>
    <x v="175"/>
    <d v="2014-12-27T00:00:00"/>
    <n v="6.43"/>
    <n v="0.17"/>
    <n v="2"/>
    <n v="6"/>
    <n v="6.6"/>
    <n v="120"/>
    <n v="126.6"/>
  </r>
  <r>
    <x v="175"/>
    <d v="2014-12-28T00:00:00"/>
    <n v="3.73"/>
    <n v="0.1"/>
    <n v="2"/>
    <n v="7"/>
    <n v="3.83"/>
    <n v="140"/>
    <n v="143.83000000000001"/>
  </r>
  <r>
    <x v="175"/>
    <d v="2015-01-11T00:00:00"/>
    <n v="7.71"/>
    <n v="0.2"/>
    <n v="6"/>
    <n v="21"/>
    <n v="7.91"/>
    <n v="1260"/>
    <n v="1267.9100000000001"/>
  </r>
  <r>
    <x v="175"/>
    <d v="2015-01-03T00:00:00"/>
    <n v="7.31"/>
    <n v="0.19"/>
    <n v="5"/>
    <n v="13"/>
    <n v="7.5"/>
    <n v="650"/>
    <n v="657.5"/>
  </r>
  <r>
    <x v="175"/>
    <d v="2015-01-12T00:00:00"/>
    <n v="4.25"/>
    <n v="0.11"/>
    <n v="4"/>
    <n v="22"/>
    <n v="4.3600000000000003"/>
    <n v="880"/>
    <n v="884.36"/>
  </r>
  <r>
    <x v="176"/>
    <d v="2015-01-14T00:00:00"/>
    <n v="6.43"/>
    <n v="0.17"/>
    <n v="2"/>
    <n v="23"/>
    <n v="6.6"/>
    <n v="460"/>
    <n v="466.6"/>
  </r>
  <r>
    <x v="176"/>
    <d v="2015-01-13T00:00:00"/>
    <n v="4.66"/>
    <n v="0.12"/>
    <n v="5"/>
    <n v="22"/>
    <n v="4.78"/>
    <n v="1100"/>
    <n v="1104.78"/>
  </r>
  <r>
    <x v="176"/>
    <d v="2015-01-02T00:00:00"/>
    <n v="6.23"/>
    <n v="0.16"/>
    <n v="5"/>
    <n v="11"/>
    <n v="6.3900000000000006"/>
    <n v="550"/>
    <n v="556.39"/>
  </r>
  <r>
    <x v="176"/>
    <d v="2015-01-14T00:00:00"/>
    <n v="3.73"/>
    <n v="0.1"/>
    <n v="3"/>
    <n v="23"/>
    <n v="3.83"/>
    <n v="690"/>
    <n v="693.83"/>
  </r>
  <r>
    <x v="176"/>
    <d v="2015-01-02T00:00:00"/>
    <n v="3.79"/>
    <n v="0.1"/>
    <n v="2"/>
    <n v="11"/>
    <n v="3.89"/>
    <n v="220"/>
    <n v="223.89"/>
  </r>
  <r>
    <x v="176"/>
    <d v="2014-12-27T00:00:00"/>
    <n v="2.0099999999999998"/>
    <n v="0.05"/>
    <n v="6"/>
    <n v="5"/>
    <n v="2.0599999999999996"/>
    <n v="300"/>
    <n v="302.06"/>
  </r>
  <r>
    <x v="176"/>
    <d v="2014-12-30T00:00:00"/>
    <n v="6.43"/>
    <n v="0.17"/>
    <n v="3"/>
    <n v="8"/>
    <n v="6.6"/>
    <n v="240"/>
    <n v="246.6"/>
  </r>
  <r>
    <x v="176"/>
    <d v="2015-01-18T00:00:00"/>
    <n v="2.72"/>
    <n v="7.0000000000000007E-2"/>
    <n v="3"/>
    <n v="27"/>
    <n v="2.79"/>
    <n v="810"/>
    <n v="812.79"/>
  </r>
  <r>
    <x v="176"/>
    <d v="2015-01-01T00:00:00"/>
    <n v="9.06"/>
    <n v="0.24"/>
    <n v="3"/>
    <n v="10"/>
    <n v="9.3000000000000007"/>
    <n v="300"/>
    <n v="309.3"/>
  </r>
  <r>
    <x v="176"/>
    <d v="2015-01-03T00:00:00"/>
    <n v="5.67"/>
    <n v="0.15"/>
    <n v="3"/>
    <n v="12"/>
    <n v="5.82"/>
    <n v="360"/>
    <n v="365.82"/>
  </r>
  <r>
    <x v="176"/>
    <d v="2015-01-05T00:00:00"/>
    <n v="4.25"/>
    <n v="0.11"/>
    <n v="6"/>
    <n v="14"/>
    <n v="4.3600000000000003"/>
    <n v="840"/>
    <n v="844.36"/>
  </r>
  <r>
    <x v="176"/>
    <d v="2015-01-05T00:00:00"/>
    <n v="3.57"/>
    <n v="0.09"/>
    <n v="2"/>
    <n v="14"/>
    <n v="3.6599999999999997"/>
    <n v="280"/>
    <n v="283.66000000000003"/>
  </r>
  <r>
    <x v="176"/>
    <d v="2015-01-04T00:00:00"/>
    <n v="8.39"/>
    <n v="0.22"/>
    <n v="5"/>
    <n v="13"/>
    <n v="8.6100000000000012"/>
    <n v="650"/>
    <n v="658.61"/>
  </r>
  <r>
    <x v="176"/>
    <d v="2015-01-17T00:00:00"/>
    <n v="2.29"/>
    <n v="0.06"/>
    <n v="5"/>
    <n v="26"/>
    <n v="2.35"/>
    <n v="1300"/>
    <n v="1302.3499999999999"/>
  </r>
  <r>
    <x v="177"/>
    <d v="2015-01-06T00:00:00"/>
    <n v="3.79"/>
    <n v="0.1"/>
    <n v="4"/>
    <n v="9"/>
    <n v="3.89"/>
    <n v="360"/>
    <n v="363.89"/>
  </r>
  <r>
    <x v="177"/>
    <d v="2015-01-02T00:00:00"/>
    <n v="7.55"/>
    <n v="0.2"/>
    <n v="3"/>
    <n v="5"/>
    <n v="7.75"/>
    <n v="150"/>
    <n v="157.75"/>
  </r>
  <r>
    <x v="178"/>
    <d v="2015-01-24T00:00:00"/>
    <n v="7.71"/>
    <n v="0.2"/>
    <n v="6"/>
    <n v="26"/>
    <n v="7.91"/>
    <n v="1560"/>
    <n v="1567.91"/>
  </r>
  <r>
    <x v="178"/>
    <d v="2014-12-31T00:00:00"/>
    <n v="6.34"/>
    <n v="0.17"/>
    <n v="4"/>
    <n v="2"/>
    <n v="6.51"/>
    <n v="80"/>
    <n v="86.51"/>
  </r>
  <r>
    <x v="178"/>
    <d v="2015-01-08T00:00:00"/>
    <n v="6.58"/>
    <n v="0.17"/>
    <n v="2"/>
    <n v="10"/>
    <n v="6.75"/>
    <n v="200"/>
    <n v="206.75"/>
  </r>
  <r>
    <x v="178"/>
    <d v="2015-01-24T00:00:00"/>
    <n v="6.34"/>
    <n v="0.17"/>
    <n v="6"/>
    <n v="26"/>
    <n v="6.51"/>
    <n v="1560"/>
    <n v="1566.51"/>
  </r>
  <r>
    <x v="178"/>
    <d v="2015-01-15T00:00:00"/>
    <n v="5.67"/>
    <n v="0.15"/>
    <n v="4"/>
    <n v="17"/>
    <n v="5.82"/>
    <n v="680"/>
    <n v="685.82"/>
  </r>
  <r>
    <x v="178"/>
    <d v="2015-01-05T00:00:00"/>
    <n v="4.25"/>
    <n v="0.11"/>
    <n v="4"/>
    <n v="7"/>
    <n v="4.3600000000000003"/>
    <n v="280"/>
    <n v="284.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E88D3-CD05-4D6A-88D1-4497749B40AE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9" firstHeaderRow="1" firstDataRow="1" firstDataCol="1"/>
  <pivotFields count="5">
    <pivotField dataField="1" numFmtId="14" showAll="0"/>
    <pivotField numFmtId="14" showAll="0">
      <items count="338">
        <item x="7"/>
        <item x="10"/>
        <item x="0"/>
        <item x="13"/>
        <item x="19"/>
        <item x="2"/>
        <item x="11"/>
        <item x="25"/>
        <item x="22"/>
        <item x="28"/>
        <item x="15"/>
        <item x="18"/>
        <item x="8"/>
        <item x="3"/>
        <item x="1"/>
        <item x="12"/>
        <item x="14"/>
        <item x="9"/>
        <item x="4"/>
        <item x="20"/>
        <item x="23"/>
        <item x="5"/>
        <item x="6"/>
        <item x="21"/>
        <item x="27"/>
        <item x="42"/>
        <item x="16"/>
        <item x="17"/>
        <item x="30"/>
        <item x="26"/>
        <item x="31"/>
        <item x="29"/>
        <item x="24"/>
        <item x="37"/>
        <item x="32"/>
        <item x="43"/>
        <item x="36"/>
        <item x="33"/>
        <item x="35"/>
        <item x="34"/>
        <item x="39"/>
        <item x="38"/>
        <item x="44"/>
        <item x="41"/>
        <item x="40"/>
        <item x="45"/>
        <item x="46"/>
        <item x="51"/>
        <item x="59"/>
        <item x="47"/>
        <item x="49"/>
        <item x="55"/>
        <item x="50"/>
        <item x="48"/>
        <item x="52"/>
        <item x="65"/>
        <item x="54"/>
        <item x="53"/>
        <item x="62"/>
        <item x="56"/>
        <item x="58"/>
        <item x="64"/>
        <item x="63"/>
        <item x="57"/>
        <item x="75"/>
        <item x="68"/>
        <item x="60"/>
        <item x="66"/>
        <item x="61"/>
        <item x="72"/>
        <item x="71"/>
        <item x="73"/>
        <item x="67"/>
        <item x="70"/>
        <item x="83"/>
        <item x="79"/>
        <item x="89"/>
        <item x="69"/>
        <item x="82"/>
        <item x="74"/>
        <item x="78"/>
        <item x="76"/>
        <item x="85"/>
        <item x="80"/>
        <item x="77"/>
        <item x="81"/>
        <item x="93"/>
        <item x="86"/>
        <item x="87"/>
        <item x="84"/>
        <item x="88"/>
        <item x="90"/>
        <item x="92"/>
        <item x="94"/>
        <item x="95"/>
        <item x="91"/>
        <item x="107"/>
        <item x="103"/>
        <item x="96"/>
        <item x="97"/>
        <item x="101"/>
        <item x="98"/>
        <item x="105"/>
        <item x="99"/>
        <item x="100"/>
        <item x="110"/>
        <item x="102"/>
        <item x="117"/>
        <item x="106"/>
        <item x="104"/>
        <item x="115"/>
        <item x="118"/>
        <item x="114"/>
        <item x="112"/>
        <item x="120"/>
        <item x="109"/>
        <item x="113"/>
        <item x="108"/>
        <item x="111"/>
        <item x="121"/>
        <item x="125"/>
        <item x="119"/>
        <item x="122"/>
        <item x="123"/>
        <item x="127"/>
        <item x="116"/>
        <item x="132"/>
        <item x="128"/>
        <item x="131"/>
        <item x="140"/>
        <item x="139"/>
        <item x="126"/>
        <item x="129"/>
        <item x="124"/>
        <item x="138"/>
        <item x="148"/>
        <item x="133"/>
        <item x="141"/>
        <item x="145"/>
        <item x="134"/>
        <item x="136"/>
        <item x="149"/>
        <item x="135"/>
        <item x="142"/>
        <item x="137"/>
        <item x="130"/>
        <item x="151"/>
        <item x="150"/>
        <item x="143"/>
        <item x="146"/>
        <item x="160"/>
        <item x="144"/>
        <item x="164"/>
        <item x="147"/>
        <item x="154"/>
        <item x="158"/>
        <item x="156"/>
        <item x="159"/>
        <item x="152"/>
        <item x="163"/>
        <item x="165"/>
        <item x="153"/>
        <item x="168"/>
        <item x="157"/>
        <item x="155"/>
        <item x="162"/>
        <item x="161"/>
        <item x="169"/>
        <item x="166"/>
        <item x="170"/>
        <item x="167"/>
        <item x="172"/>
        <item x="183"/>
        <item x="171"/>
        <item x="174"/>
        <item x="175"/>
        <item x="180"/>
        <item x="178"/>
        <item x="176"/>
        <item x="177"/>
        <item x="181"/>
        <item x="173"/>
        <item x="190"/>
        <item x="191"/>
        <item x="179"/>
        <item x="189"/>
        <item x="182"/>
        <item x="188"/>
        <item x="185"/>
        <item x="184"/>
        <item x="187"/>
        <item x="186"/>
        <item x="195"/>
        <item x="199"/>
        <item x="194"/>
        <item x="206"/>
        <item x="198"/>
        <item x="205"/>
        <item x="200"/>
        <item x="193"/>
        <item x="214"/>
        <item x="203"/>
        <item x="192"/>
        <item x="197"/>
        <item x="201"/>
        <item x="196"/>
        <item x="219"/>
        <item x="202"/>
        <item x="207"/>
        <item x="204"/>
        <item x="208"/>
        <item x="209"/>
        <item x="212"/>
        <item x="221"/>
        <item x="218"/>
        <item x="217"/>
        <item x="222"/>
        <item x="216"/>
        <item x="210"/>
        <item x="211"/>
        <item x="234"/>
        <item x="225"/>
        <item x="224"/>
        <item x="215"/>
        <item x="213"/>
        <item x="237"/>
        <item x="227"/>
        <item x="226"/>
        <item x="223"/>
        <item x="220"/>
        <item x="228"/>
        <item x="235"/>
        <item x="229"/>
        <item x="230"/>
        <item x="236"/>
        <item x="231"/>
        <item x="239"/>
        <item x="233"/>
        <item x="232"/>
        <item x="238"/>
        <item x="244"/>
        <item x="240"/>
        <item x="242"/>
        <item x="241"/>
        <item x="245"/>
        <item x="249"/>
        <item x="247"/>
        <item x="246"/>
        <item x="262"/>
        <item x="259"/>
        <item x="243"/>
        <item x="252"/>
        <item x="248"/>
        <item x="250"/>
        <item x="253"/>
        <item x="263"/>
        <item x="251"/>
        <item x="260"/>
        <item x="256"/>
        <item x="257"/>
        <item x="273"/>
        <item x="254"/>
        <item x="279"/>
        <item x="258"/>
        <item x="255"/>
        <item x="261"/>
        <item x="286"/>
        <item x="265"/>
        <item x="264"/>
        <item x="266"/>
        <item x="272"/>
        <item x="271"/>
        <item x="270"/>
        <item x="267"/>
        <item x="268"/>
        <item x="269"/>
        <item x="276"/>
        <item x="275"/>
        <item x="274"/>
        <item x="300"/>
        <item x="280"/>
        <item x="288"/>
        <item x="281"/>
        <item x="277"/>
        <item x="283"/>
        <item x="278"/>
        <item x="282"/>
        <item x="295"/>
        <item x="285"/>
        <item x="284"/>
        <item x="294"/>
        <item x="287"/>
        <item x="289"/>
        <item x="298"/>
        <item x="291"/>
        <item x="308"/>
        <item x="293"/>
        <item x="297"/>
        <item x="296"/>
        <item x="290"/>
        <item x="292"/>
        <item x="299"/>
        <item x="303"/>
        <item x="311"/>
        <item x="301"/>
        <item x="302"/>
        <item x="306"/>
        <item x="304"/>
        <item x="305"/>
        <item x="307"/>
        <item x="323"/>
        <item x="318"/>
        <item x="310"/>
        <item x="309"/>
        <item x="313"/>
        <item x="314"/>
        <item x="320"/>
        <item x="317"/>
        <item x="315"/>
        <item x="312"/>
        <item x="319"/>
        <item x="316"/>
        <item x="325"/>
        <item x="324"/>
        <item x="321"/>
        <item x="322"/>
        <item x="326"/>
        <item x="327"/>
        <item x="328"/>
        <item x="329"/>
        <item x="330"/>
        <item x="334"/>
        <item x="333"/>
        <item x="336"/>
        <item x="331"/>
        <item x="332"/>
        <item x="335"/>
        <item t="default"/>
      </items>
    </pivotField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Liczba z data_przyjazdu" fld="0" subtotal="count" baseField="0" baseItem="0"/>
  </dataFields>
  <formats count="8">
    <format dxfId="22">
      <pivotArea collapsedLevelsAreSubtotals="1" fieldPosition="0">
        <references count="1">
          <reference field="4" count="1">
            <x v="0"/>
          </reference>
        </references>
      </pivotArea>
    </format>
    <format dxfId="21">
      <pivotArea dataOnly="0" labelOnly="1" fieldPosition="0">
        <references count="1">
          <reference field="4" count="1">
            <x v="0"/>
          </reference>
        </references>
      </pivotArea>
    </format>
    <format dxfId="20">
      <pivotArea collapsedLevelsAreSubtotals="1" fieldPosition="0">
        <references count="1">
          <reference field="4" count="1">
            <x v="0"/>
          </reference>
        </references>
      </pivotArea>
    </format>
    <format dxfId="19">
      <pivotArea dataOnly="0" labelOnly="1" fieldPosition="0">
        <references count="1">
          <reference field="4" count="1">
            <x v="0"/>
          </reference>
        </references>
      </pivotArea>
    </format>
    <format dxfId="18">
      <pivotArea collapsedLevelsAreSubtotals="1" fieldPosition="0">
        <references count="1">
          <reference field="4" count="1">
            <x v="0"/>
          </reference>
        </references>
      </pivotArea>
    </format>
    <format dxfId="17">
      <pivotArea dataOnly="0" labelOnly="1" fieldPosition="0">
        <references count="1">
          <reference field="4" count="1">
            <x v="0"/>
          </reference>
        </references>
      </pivotArea>
    </format>
    <format dxfId="16">
      <pivotArea collapsedLevelsAreSubtotals="1" fieldPosition="0">
        <references count="1">
          <reference field="4" count="1">
            <x v="0"/>
          </reference>
        </references>
      </pivotArea>
    </format>
    <format dxfId="15">
      <pivotArea dataOnly="0" labelOnly="1" fieldPosition="0">
        <references count="1">
          <reference field="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57222-A151-41A7-BA15-3883596AD4F5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numFmtId="14" showAll="0"/>
    <pivotField numFmtId="14"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roznica dni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6CE9-2DD1-4DB8-8516-6D486A9FEA75}" name="Tabela przestawna3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9" firstHeaderRow="1" firstDataRow="1" firstDataCol="1"/>
  <pivotFields count="9">
    <pivotField numFmtId="14" showAll="0"/>
    <pivotField numFmtId="14" showAll="0"/>
    <pivotField numFmtId="44" showAll="0"/>
    <pivotField numFmtId="44"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ogólne koszty" fld="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8A404-059A-438F-9DB1-1AB9BC7C9625}" name="Tabela przestawna1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11">
    <pivotField axis="axisRow" numFmtId="14" showAll="0">
      <items count="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umFmtId="14" showAll="0"/>
    <pivotField numFmtId="44" showAll="0"/>
    <pivotField numFmtId="44" showAll="0"/>
    <pivotField showAll="0"/>
    <pivotField showAll="0"/>
    <pivotField dataField="1" numFmtId="44" showAll="0"/>
    <pivotField numFmtId="44" showAll="0"/>
    <pivotField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0"/>
    <field x="9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suma energia i woda" fld="6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0D8D43-12DD-4B55-A091-0782487D7EED}" autoFormatId="16" applyNumberFormats="0" applyBorderFormats="0" applyFontFormats="0" applyPatternFormats="0" applyAlignmentFormats="0" applyWidthHeightFormats="0">
  <queryTableRefresh nextId="6">
    <queryTableFields count="5">
      <queryTableField id="1" name="data_przyjazdu" tableColumnId="1"/>
      <queryTableField id="2" name="data_wyjazdu" tableColumnId="2"/>
      <queryTableField id="3" name="energia" tableColumnId="3"/>
      <queryTableField id="4" name="woda" tableColumnId="4"/>
      <queryTableField id="5" name="typ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AFFAC4C-1ABF-4977-A6CB-9F995C898DEF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data_przyjazdu" tableColumnId="1"/>
      <queryTableField id="2" name="data_wyjazdu" tableColumnId="2"/>
      <queryTableField id="3" name="energia" tableColumnId="3"/>
      <queryTableField id="4" name="woda" tableColumnId="4"/>
      <queryTableField id="5" name="typ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8415BCE-9F25-48FC-900A-BAC5956C35D7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data_przyjazdu" tableColumnId="1"/>
      <queryTableField id="2" name="data_wyjazdu" tableColumnId="2"/>
      <queryTableField id="3" name="energia" tableColumnId="3"/>
      <queryTableField id="4" name="woda" tableColumnId="4"/>
      <queryTableField id="5" name="typ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9634ADD-072B-4944-9B24-E8E34BAC7A7B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data_przyjazdu" tableColumnId="1"/>
      <queryTableField id="2" name="data_wyjazdu" tableColumnId="2"/>
      <queryTableField id="3" name="energia" tableColumnId="3"/>
      <queryTableField id="4" name="woda" tableColumnId="4"/>
      <queryTableField id="5" name="typ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0CB90-2F00-4648-BDDC-A252621BF9A0}" name="WYNAJEM" displayName="WYNAJEM" ref="A1:E1001" tableType="queryTable" totalsRowShown="0">
  <autoFilter ref="A1:E1001" xr:uid="{8FE0CB90-2F00-4648-BDDC-A252621BF9A0}"/>
  <tableColumns count="5">
    <tableColumn id="1" xr3:uid="{218E829C-5F1E-428E-8FF3-C490496415A6}" uniqueName="1" name="data_przyjazdu" queryTableFieldId="1" dataDxfId="24"/>
    <tableColumn id="2" xr3:uid="{05F55FEA-24E4-437D-A375-CD21343DD671}" uniqueName="2" name="data_wyjazdu" queryTableFieldId="2" dataDxfId="23"/>
    <tableColumn id="3" xr3:uid="{2D9A011B-F453-4B59-BD6E-CB50735D762B}" uniqueName="3" name="energia" queryTableFieldId="3"/>
    <tableColumn id="4" xr3:uid="{14298F02-A9A8-4559-8833-4CA56ADCDF9B}" uniqueName="4" name="woda" queryTableFieldId="4"/>
    <tableColumn id="5" xr3:uid="{235A12D5-0DFF-4759-BD9A-5C17243FA91D}" uniqueName="5" name="typ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650E02-09A9-407B-831A-A4CB19B2E2DD}" name="WYNAJEM3" displayName="WYNAJEM3" ref="A1:F1001" tableType="queryTable" totalsRowShown="0">
  <autoFilter ref="A1:F1001" xr:uid="{8FE0CB90-2F00-4648-BDDC-A252621BF9A0}"/>
  <tableColumns count="6">
    <tableColumn id="1" xr3:uid="{EC3DD3CF-1453-4F1A-AD63-5258A25FDC0F}" uniqueName="1" name="data_przyjazdu" queryTableFieldId="1" dataDxfId="14"/>
    <tableColumn id="2" xr3:uid="{A0BE5BCA-5E16-4A65-9107-BACAEA314C10}" uniqueName="2" name="data_wyjazdu" queryTableFieldId="2" dataDxfId="13"/>
    <tableColumn id="3" xr3:uid="{2DA59A71-A47B-4028-9151-0E7F9C425E2E}" uniqueName="3" name="energia" queryTableFieldId="3"/>
    <tableColumn id="4" xr3:uid="{53518CDC-CC13-4E3E-8F9D-C189D2CA7629}" uniqueName="4" name="woda" queryTableFieldId="4"/>
    <tableColumn id="5" xr3:uid="{C5E1BEC4-DABE-437D-B3ED-1C1AB471A38B}" uniqueName="5" name="typ" queryTableFieldId="5"/>
    <tableColumn id="6" xr3:uid="{D2B0B7F5-6343-4322-BF0E-0CB8D4F30D3A}" uniqueName="6" name="roznica dni" queryTableFieldId="6" dataDxfId="12">
      <calculatedColumnFormula xml:space="preserve"> WYNAJEM3[[#This Row],[data_wyjazdu]] - WYNAJEM3[[#This Row],[data_przyjazdu]]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944A18-3D61-452D-9987-88407E4A3A5A}" name="WYNAJEM4" displayName="WYNAJEM4" ref="A1:I1001" tableType="queryTable" totalsRowShown="0">
  <autoFilter ref="A1:I1001" xr:uid="{8FE0CB90-2F00-4648-BDDC-A252621BF9A0}"/>
  <tableColumns count="9">
    <tableColumn id="1" xr3:uid="{019190D5-0CEF-4C09-BC69-DC556770AA11}" uniqueName="1" name="data_przyjazdu" queryTableFieldId="1" dataDxfId="11"/>
    <tableColumn id="2" xr3:uid="{C564A096-D85E-45FC-A872-114E4DE1DC50}" uniqueName="2" name="data_wyjazdu" queryTableFieldId="2" dataDxfId="10"/>
    <tableColumn id="3" xr3:uid="{CA54E3AF-3250-48E9-B21F-B360C8242A88}" uniqueName="3" name="energia" queryTableFieldId="3" dataCellStyle="Walutowy"/>
    <tableColumn id="4" xr3:uid="{1FEFD9E8-E1CA-4883-B868-A94F1AB0AEC3}" uniqueName="4" name="woda" queryTableFieldId="4" dataCellStyle="Walutowy"/>
    <tableColumn id="5" xr3:uid="{0CA6CCBD-0030-4F9E-9662-FC837D9AB417}" uniqueName="5" name="typ" queryTableFieldId="5"/>
    <tableColumn id="6" xr3:uid="{06169972-B2EE-4B3F-A797-3264BE12E1BF}" uniqueName="6" name="czas wynajecia domku" queryTableFieldId="6" dataDxfId="9" dataCellStyle="Walutowy">
      <calculatedColumnFormula>(WYNAJEM4[[#This Row],[data_wyjazdu]]-WYNAJEM4[[#This Row],[data_przyjazdu]])</calculatedColumnFormula>
    </tableColumn>
    <tableColumn id="7" xr3:uid="{B9881AEB-C048-4F83-868A-82E2407D3E0E}" uniqueName="7" name="suma energia i woda" queryTableFieldId="7" dataDxfId="8">
      <calculatedColumnFormula xml:space="preserve"> WYNAJEM4[[#This Row],[energia]] + WYNAJEM4[[#This Row],[woda]]</calculatedColumnFormula>
    </tableColumn>
    <tableColumn id="8" xr3:uid="{41F953C7-E81F-47B8-B963-38A244A26930}" uniqueName="8" name="czynsz" queryTableFieldId="8" dataCellStyle="Walutowy">
      <calculatedColumnFormula xml:space="preserve"> (10 * WYNAJEM4[[#This Row],[typ]] * WYNAJEM4[[#This Row],[czas wynajecia domku]])</calculatedColumnFormula>
    </tableColumn>
    <tableColumn id="9" xr3:uid="{6BD37EDE-8CA1-4433-82A6-58BDC3E1D5BC}" uniqueName="9" name="ogólne koszty" queryTableFieldId="9" dataDxfId="7">
      <calculatedColumnFormula xml:space="preserve"> WYNAJEM4[[#This Row],[suma energia i woda]] + WYNAJEM4[[#This Row],[czynsz]]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4D882A-0621-4A5A-8A30-299E16FC8D70}" name="Tabela5" displayName="Tabela5" ref="L2:M7" totalsRowShown="0">
  <autoFilter ref="L2:M7" xr:uid="{764D882A-0621-4A5A-8A30-299E16FC8D70}"/>
  <sortState xmlns:xlrd2="http://schemas.microsoft.com/office/spreadsheetml/2017/richdata2" ref="L3:M7">
    <sortCondition descending="1" ref="M2:M7"/>
  </sortState>
  <tableColumns count="2">
    <tableColumn id="1" xr3:uid="{01A20048-C523-492C-9493-43CD3BA99486}" name="typ " dataDxfId="6"/>
    <tableColumn id="2" xr3:uid="{B61791F8-15B3-40B0-8E1E-142A751F53C2}" name="suma opłat" dataDxfId="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107247-633A-4139-B614-088DC7CC40A4}" name="WYNAJEM47" displayName="WYNAJEM47" ref="A1:I1001" tableType="queryTable" totalsRowShown="0">
  <autoFilter ref="A1:I1001" xr:uid="{8FE0CB90-2F00-4648-BDDC-A252621BF9A0}"/>
  <tableColumns count="9">
    <tableColumn id="1" xr3:uid="{4AA8D04B-75B5-4232-8D2B-5D3BB7270DC2}" uniqueName="1" name="data_przyjazdu" queryTableFieldId="1" dataDxfId="4"/>
    <tableColumn id="2" xr3:uid="{25643F4D-9CDD-45DA-9585-2038FED8E040}" uniqueName="2" name="data_wyjazdu" queryTableFieldId="2" dataDxfId="3"/>
    <tableColumn id="3" xr3:uid="{06C6DA86-1469-420B-92BC-892D4B972044}" uniqueName="3" name="energia" queryTableFieldId="3" dataCellStyle="Walutowy"/>
    <tableColumn id="4" xr3:uid="{43A85D56-58A0-4EC3-9CED-4E9AAF436092}" uniqueName="4" name="woda" queryTableFieldId="4" dataCellStyle="Walutowy"/>
    <tableColumn id="5" xr3:uid="{186BA231-77F7-40EB-AFC8-E7CE1A2F6B04}" uniqueName="5" name="typ" queryTableFieldId="5"/>
    <tableColumn id="6" xr3:uid="{CC032706-65C6-4BFC-BD96-61E5BE68EDEC}" uniqueName="6" name="czas wynajecia domku" queryTableFieldId="6" dataDxfId="2" dataCellStyle="Walutowy">
      <calculatedColumnFormula>(WYNAJEM47[[#This Row],[data_wyjazdu]]-WYNAJEM47[[#This Row],[data_przyjazdu]])</calculatedColumnFormula>
    </tableColumn>
    <tableColumn id="7" xr3:uid="{FFB49483-5180-40AD-B276-ABDFCC7D44F2}" uniqueName="7" name="suma energia i woda" queryTableFieldId="7" dataDxfId="1">
      <calculatedColumnFormula xml:space="preserve"> WYNAJEM47[[#This Row],[energia]] + WYNAJEM47[[#This Row],[woda]]</calculatedColumnFormula>
    </tableColumn>
    <tableColumn id="8" xr3:uid="{516D661B-858D-4FE6-8B99-EA394B0DDAD2}" uniqueName="8" name="Kolumna1" queryTableFieldId="8" dataCellStyle="Walutowy"/>
    <tableColumn id="9" xr3:uid="{D5B00AD0-63A8-4814-98EF-A8E8C61F95C5}" uniqueName="9" name="Kolumna2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6B57-39E5-41FF-BD97-B74C2E7C34C0}">
  <dimension ref="A1:J1001"/>
  <sheetViews>
    <sheetView topLeftCell="A2" workbookViewId="0">
      <selection activeCell="F29" sqref="F29"/>
    </sheetView>
  </sheetViews>
  <sheetFormatPr defaultRowHeight="15" x14ac:dyDescent="0.25"/>
  <cols>
    <col min="1" max="1" width="16.7109375" bestFit="1" customWidth="1"/>
    <col min="2" max="2" width="15.5703125" bestFit="1" customWidth="1"/>
    <col min="3" max="3" width="10" bestFit="1" customWidth="1"/>
    <col min="4" max="4" width="8.140625" bestFit="1" customWidth="1"/>
    <col min="5" max="5" width="6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25">
      <c r="A2" s="1">
        <v>41641</v>
      </c>
      <c r="B2" s="1">
        <v>41650</v>
      </c>
      <c r="C2">
        <v>39.35</v>
      </c>
      <c r="D2">
        <v>1.04</v>
      </c>
      <c r="E2">
        <v>5</v>
      </c>
    </row>
    <row r="3" spans="1:10" x14ac:dyDescent="0.25">
      <c r="A3" s="1">
        <v>41641</v>
      </c>
      <c r="B3" s="1">
        <v>41662</v>
      </c>
      <c r="C3">
        <v>3.79</v>
      </c>
      <c r="D3">
        <v>0.1</v>
      </c>
      <c r="E3">
        <v>6</v>
      </c>
    </row>
    <row r="4" spans="1:10" x14ac:dyDescent="0.25">
      <c r="A4" s="1">
        <v>41641</v>
      </c>
      <c r="B4" s="1">
        <v>41653</v>
      </c>
      <c r="C4">
        <v>3.88</v>
      </c>
      <c r="D4">
        <v>0.1</v>
      </c>
      <c r="E4">
        <v>6</v>
      </c>
      <c r="H4" t="s">
        <v>8</v>
      </c>
      <c r="I4" s="6" t="s">
        <v>4</v>
      </c>
      <c r="J4" s="7">
        <v>2</v>
      </c>
    </row>
    <row r="5" spans="1:10" x14ac:dyDescent="0.25">
      <c r="A5" s="1">
        <v>41641</v>
      </c>
      <c r="B5" s="1">
        <v>41661</v>
      </c>
      <c r="C5">
        <v>6.43</v>
      </c>
      <c r="D5">
        <v>0.17</v>
      </c>
      <c r="E5">
        <v>5</v>
      </c>
    </row>
    <row r="6" spans="1:10" x14ac:dyDescent="0.25">
      <c r="A6" s="1">
        <v>41641</v>
      </c>
      <c r="B6" s="1">
        <v>41666</v>
      </c>
      <c r="C6">
        <v>8.39</v>
      </c>
      <c r="D6">
        <v>0.22</v>
      </c>
      <c r="E6">
        <v>2</v>
      </c>
    </row>
    <row r="7" spans="1:10" x14ac:dyDescent="0.25">
      <c r="A7" s="1">
        <v>41641</v>
      </c>
      <c r="B7" s="1">
        <v>41669</v>
      </c>
      <c r="C7">
        <v>11.42</v>
      </c>
      <c r="D7">
        <v>0.3</v>
      </c>
      <c r="E7">
        <v>2</v>
      </c>
    </row>
    <row r="8" spans="1:10" x14ac:dyDescent="0.25">
      <c r="A8" s="1">
        <v>41642</v>
      </c>
      <c r="B8" s="1">
        <v>41670</v>
      </c>
      <c r="C8">
        <v>5.64</v>
      </c>
      <c r="D8">
        <v>0.15</v>
      </c>
      <c r="E8">
        <v>5</v>
      </c>
    </row>
    <row r="9" spans="1:10" x14ac:dyDescent="0.25">
      <c r="A9" s="1">
        <v>41642</v>
      </c>
      <c r="B9" s="1">
        <v>41645</v>
      </c>
      <c r="C9">
        <v>10.59</v>
      </c>
      <c r="D9">
        <v>0.28000000000000003</v>
      </c>
      <c r="E9">
        <v>5</v>
      </c>
    </row>
    <row r="10" spans="1:10" x14ac:dyDescent="0.25">
      <c r="A10" s="1">
        <v>41642</v>
      </c>
      <c r="B10" s="1">
        <v>41669</v>
      </c>
      <c r="C10">
        <v>4.25</v>
      </c>
      <c r="D10">
        <v>0.11</v>
      </c>
      <c r="E10">
        <v>2</v>
      </c>
    </row>
    <row r="11" spans="1:10" x14ac:dyDescent="0.25">
      <c r="A11" s="1">
        <v>41642</v>
      </c>
      <c r="B11" s="1">
        <v>41660</v>
      </c>
      <c r="C11">
        <v>5.64</v>
      </c>
      <c r="D11">
        <v>0.15</v>
      </c>
      <c r="E11">
        <v>4</v>
      </c>
    </row>
    <row r="12" spans="1:10" x14ac:dyDescent="0.25">
      <c r="A12" s="1">
        <v>41642</v>
      </c>
      <c r="B12" s="1">
        <v>41669</v>
      </c>
      <c r="C12">
        <v>5.78</v>
      </c>
      <c r="D12">
        <v>0.15</v>
      </c>
      <c r="E12">
        <v>5</v>
      </c>
    </row>
    <row r="13" spans="1:10" x14ac:dyDescent="0.25">
      <c r="A13" s="1">
        <v>41642</v>
      </c>
      <c r="B13" s="1">
        <v>41669</v>
      </c>
      <c r="C13">
        <v>2.29</v>
      </c>
      <c r="D13">
        <v>0.06</v>
      </c>
      <c r="E13">
        <v>4</v>
      </c>
    </row>
    <row r="14" spans="1:10" x14ac:dyDescent="0.25">
      <c r="A14" s="1">
        <v>41642</v>
      </c>
      <c r="B14" s="1">
        <v>41665</v>
      </c>
      <c r="C14">
        <v>5.23</v>
      </c>
      <c r="D14">
        <v>0.14000000000000001</v>
      </c>
      <c r="E14">
        <v>2</v>
      </c>
    </row>
    <row r="15" spans="1:10" x14ac:dyDescent="0.25">
      <c r="A15" s="1">
        <v>41642</v>
      </c>
      <c r="B15" s="1">
        <v>41649</v>
      </c>
      <c r="C15">
        <v>5.67</v>
      </c>
      <c r="D15">
        <v>0.15</v>
      </c>
      <c r="E15">
        <v>2</v>
      </c>
    </row>
    <row r="16" spans="1:10" x14ac:dyDescent="0.25">
      <c r="A16" s="1">
        <v>41643</v>
      </c>
      <c r="B16" s="1">
        <v>41649</v>
      </c>
      <c r="C16">
        <v>5.64</v>
      </c>
      <c r="D16">
        <v>0.15</v>
      </c>
      <c r="E16">
        <v>2</v>
      </c>
    </row>
    <row r="17" spans="1:5" x14ac:dyDescent="0.25">
      <c r="A17" s="1">
        <v>41643</v>
      </c>
      <c r="B17" s="1">
        <v>41650</v>
      </c>
      <c r="C17">
        <v>4.25</v>
      </c>
      <c r="D17">
        <v>0.11</v>
      </c>
      <c r="E17">
        <v>4</v>
      </c>
    </row>
    <row r="18" spans="1:5" x14ac:dyDescent="0.25">
      <c r="A18" s="1">
        <v>41643</v>
      </c>
      <c r="B18" s="1">
        <v>41660</v>
      </c>
      <c r="C18">
        <v>6.58</v>
      </c>
      <c r="D18">
        <v>0.17</v>
      </c>
      <c r="E18">
        <v>6</v>
      </c>
    </row>
    <row r="19" spans="1:5" x14ac:dyDescent="0.25">
      <c r="A19" s="1">
        <v>41644</v>
      </c>
      <c r="B19" s="1">
        <v>41661</v>
      </c>
      <c r="C19">
        <v>6.43</v>
      </c>
      <c r="D19">
        <v>0.17</v>
      </c>
      <c r="E19">
        <v>3</v>
      </c>
    </row>
    <row r="20" spans="1:5" x14ac:dyDescent="0.25">
      <c r="A20" s="1">
        <v>41644</v>
      </c>
      <c r="B20" s="1">
        <v>41662</v>
      </c>
      <c r="C20">
        <v>5.67</v>
      </c>
      <c r="D20">
        <v>0.15</v>
      </c>
      <c r="E20">
        <v>5</v>
      </c>
    </row>
    <row r="21" spans="1:5" x14ac:dyDescent="0.25">
      <c r="A21" s="1">
        <v>41645</v>
      </c>
      <c r="B21" s="1">
        <v>41654</v>
      </c>
      <c r="C21">
        <v>4.66</v>
      </c>
      <c r="D21">
        <v>0.12</v>
      </c>
      <c r="E21">
        <v>2</v>
      </c>
    </row>
    <row r="22" spans="1:5" x14ac:dyDescent="0.25">
      <c r="A22" s="1">
        <v>41646</v>
      </c>
      <c r="B22" s="1">
        <v>41663</v>
      </c>
      <c r="C22">
        <v>2.0099999999999998</v>
      </c>
      <c r="D22">
        <v>0.05</v>
      </c>
      <c r="E22">
        <v>4</v>
      </c>
    </row>
    <row r="23" spans="1:5" x14ac:dyDescent="0.25">
      <c r="A23" s="1">
        <v>41646</v>
      </c>
      <c r="B23" s="1">
        <v>41670</v>
      </c>
      <c r="C23">
        <v>3.57</v>
      </c>
      <c r="D23">
        <v>0.09</v>
      </c>
      <c r="E23">
        <v>3</v>
      </c>
    </row>
    <row r="24" spans="1:5" x14ac:dyDescent="0.25">
      <c r="A24" s="1">
        <v>41646</v>
      </c>
      <c r="B24" s="1">
        <v>41649</v>
      </c>
      <c r="C24">
        <v>2.29</v>
      </c>
      <c r="D24">
        <v>0.06</v>
      </c>
      <c r="E24">
        <v>5</v>
      </c>
    </row>
    <row r="25" spans="1:5" x14ac:dyDescent="0.25">
      <c r="A25" s="1">
        <v>41646</v>
      </c>
      <c r="B25" s="1">
        <v>41649</v>
      </c>
      <c r="C25">
        <v>2.72</v>
      </c>
      <c r="D25">
        <v>7.0000000000000007E-2</v>
      </c>
      <c r="E25">
        <v>4</v>
      </c>
    </row>
    <row r="26" spans="1:5" x14ac:dyDescent="0.25">
      <c r="A26" s="1">
        <v>41646</v>
      </c>
      <c r="B26" s="1">
        <v>41651</v>
      </c>
      <c r="C26">
        <v>3.73</v>
      </c>
      <c r="D26">
        <v>0.1</v>
      </c>
      <c r="E26">
        <v>3</v>
      </c>
    </row>
    <row r="27" spans="1:5" x14ac:dyDescent="0.25">
      <c r="A27" s="1">
        <v>41647</v>
      </c>
      <c r="B27" s="1">
        <v>41665</v>
      </c>
      <c r="C27">
        <v>6.58</v>
      </c>
      <c r="D27">
        <v>0.17</v>
      </c>
      <c r="E27">
        <v>3</v>
      </c>
    </row>
    <row r="28" spans="1:5" x14ac:dyDescent="0.25">
      <c r="A28" s="1">
        <v>41647</v>
      </c>
      <c r="B28" s="1">
        <v>41664</v>
      </c>
      <c r="C28">
        <v>6.58</v>
      </c>
      <c r="D28">
        <v>0.17</v>
      </c>
      <c r="E28">
        <v>2</v>
      </c>
    </row>
    <row r="29" spans="1:5" x14ac:dyDescent="0.25">
      <c r="A29" s="1">
        <v>41647</v>
      </c>
      <c r="B29" s="1">
        <v>41658</v>
      </c>
      <c r="C29">
        <v>5.67</v>
      </c>
      <c r="D29">
        <v>0.15</v>
      </c>
      <c r="E29">
        <v>5</v>
      </c>
    </row>
    <row r="30" spans="1:5" x14ac:dyDescent="0.25">
      <c r="A30" s="1">
        <v>41648</v>
      </c>
      <c r="B30" s="1">
        <v>41674</v>
      </c>
      <c r="C30">
        <v>9.1300000000000008</v>
      </c>
      <c r="D30">
        <v>0.24</v>
      </c>
      <c r="E30">
        <v>2</v>
      </c>
    </row>
    <row r="31" spans="1:5" x14ac:dyDescent="0.25">
      <c r="A31" s="1">
        <v>41648</v>
      </c>
      <c r="B31" s="1">
        <v>41658</v>
      </c>
      <c r="C31">
        <v>14.31</v>
      </c>
      <c r="D31">
        <v>0.38</v>
      </c>
      <c r="E31">
        <v>6</v>
      </c>
    </row>
    <row r="32" spans="1:5" x14ac:dyDescent="0.25">
      <c r="A32" s="1">
        <v>41648</v>
      </c>
      <c r="B32" s="1">
        <v>41675</v>
      </c>
      <c r="C32">
        <v>3.79</v>
      </c>
      <c r="D32">
        <v>0.1</v>
      </c>
      <c r="E32">
        <v>5</v>
      </c>
    </row>
    <row r="33" spans="1:5" x14ac:dyDescent="0.25">
      <c r="A33" s="1">
        <v>41648</v>
      </c>
      <c r="B33" s="1">
        <v>41666</v>
      </c>
      <c r="C33">
        <v>6.23</v>
      </c>
      <c r="D33">
        <v>0.16</v>
      </c>
      <c r="E33">
        <v>5</v>
      </c>
    </row>
    <row r="34" spans="1:5" x14ac:dyDescent="0.25">
      <c r="A34" s="1">
        <v>41649</v>
      </c>
      <c r="B34" s="1">
        <v>41659</v>
      </c>
      <c r="C34">
        <v>3.57</v>
      </c>
      <c r="D34">
        <v>0.09</v>
      </c>
      <c r="E34">
        <v>6</v>
      </c>
    </row>
    <row r="35" spans="1:5" x14ac:dyDescent="0.25">
      <c r="A35" s="1">
        <v>41649</v>
      </c>
      <c r="B35" s="1">
        <v>41652</v>
      </c>
      <c r="C35">
        <v>5.67</v>
      </c>
      <c r="D35">
        <v>0.15</v>
      </c>
      <c r="E35">
        <v>6</v>
      </c>
    </row>
    <row r="36" spans="1:5" x14ac:dyDescent="0.25">
      <c r="A36" s="1">
        <v>41649</v>
      </c>
      <c r="B36" s="1">
        <v>41667</v>
      </c>
      <c r="C36">
        <v>8.7200000000000006</v>
      </c>
      <c r="D36">
        <v>0.23</v>
      </c>
      <c r="E36">
        <v>5</v>
      </c>
    </row>
    <row r="37" spans="1:5" x14ac:dyDescent="0.25">
      <c r="A37" s="1">
        <v>41649</v>
      </c>
      <c r="B37" s="1">
        <v>41654</v>
      </c>
      <c r="C37">
        <v>4.66</v>
      </c>
      <c r="D37">
        <v>0.12</v>
      </c>
      <c r="E37">
        <v>3</v>
      </c>
    </row>
    <row r="38" spans="1:5" x14ac:dyDescent="0.25">
      <c r="A38" s="1">
        <v>41651</v>
      </c>
      <c r="B38" s="1">
        <v>41659</v>
      </c>
      <c r="C38">
        <v>5.67</v>
      </c>
      <c r="D38">
        <v>0.15</v>
      </c>
      <c r="E38">
        <v>3</v>
      </c>
    </row>
    <row r="39" spans="1:5" x14ac:dyDescent="0.25">
      <c r="A39" s="1">
        <v>41652</v>
      </c>
      <c r="B39" s="1">
        <v>41654</v>
      </c>
      <c r="C39">
        <v>7.06</v>
      </c>
      <c r="D39">
        <v>0.19</v>
      </c>
      <c r="E39">
        <v>2</v>
      </c>
    </row>
    <row r="40" spans="1:5" x14ac:dyDescent="0.25">
      <c r="A40" s="1">
        <v>41652</v>
      </c>
      <c r="B40" s="1">
        <v>41661</v>
      </c>
      <c r="C40">
        <v>5.67</v>
      </c>
      <c r="D40">
        <v>0.15</v>
      </c>
      <c r="E40">
        <v>5</v>
      </c>
    </row>
    <row r="41" spans="1:5" x14ac:dyDescent="0.25">
      <c r="A41" s="1">
        <v>41652</v>
      </c>
      <c r="B41" s="1">
        <v>41671</v>
      </c>
      <c r="C41">
        <v>6.34</v>
      </c>
      <c r="D41">
        <v>0.17</v>
      </c>
      <c r="E41">
        <v>3</v>
      </c>
    </row>
    <row r="42" spans="1:5" x14ac:dyDescent="0.25">
      <c r="A42" s="1">
        <v>41652</v>
      </c>
      <c r="B42" s="1">
        <v>41656</v>
      </c>
      <c r="C42">
        <v>7.31</v>
      </c>
      <c r="D42">
        <v>0.19</v>
      </c>
      <c r="E42">
        <v>3</v>
      </c>
    </row>
    <row r="43" spans="1:5" x14ac:dyDescent="0.25">
      <c r="A43" s="1">
        <v>41652</v>
      </c>
      <c r="B43" s="1">
        <v>41668</v>
      </c>
      <c r="C43">
        <v>6.75</v>
      </c>
      <c r="D43">
        <v>0.18</v>
      </c>
      <c r="E43">
        <v>3</v>
      </c>
    </row>
    <row r="44" spans="1:5" x14ac:dyDescent="0.25">
      <c r="A44" s="1">
        <v>41652</v>
      </c>
      <c r="B44" s="1">
        <v>41680</v>
      </c>
      <c r="C44">
        <v>3.57</v>
      </c>
      <c r="D44">
        <v>0.09</v>
      </c>
      <c r="E44">
        <v>2</v>
      </c>
    </row>
    <row r="45" spans="1:5" x14ac:dyDescent="0.25">
      <c r="A45" s="1">
        <v>41653</v>
      </c>
      <c r="B45" s="1">
        <v>41664</v>
      </c>
      <c r="C45">
        <v>8.5399999999999991</v>
      </c>
      <c r="D45">
        <v>0.22</v>
      </c>
      <c r="E45">
        <v>2</v>
      </c>
    </row>
    <row r="46" spans="1:5" x14ac:dyDescent="0.25">
      <c r="A46" s="1">
        <v>41653</v>
      </c>
      <c r="B46" s="1">
        <v>41655</v>
      </c>
      <c r="C46">
        <v>8.9499999999999993</v>
      </c>
      <c r="D46">
        <v>0.24</v>
      </c>
      <c r="E46">
        <v>4</v>
      </c>
    </row>
    <row r="47" spans="1:5" x14ac:dyDescent="0.25">
      <c r="A47" s="1">
        <v>41653</v>
      </c>
      <c r="B47" s="1">
        <v>41677</v>
      </c>
      <c r="C47">
        <v>6.34</v>
      </c>
      <c r="D47">
        <v>0.17</v>
      </c>
      <c r="E47">
        <v>6</v>
      </c>
    </row>
    <row r="48" spans="1:5" x14ac:dyDescent="0.25">
      <c r="A48" s="1">
        <v>41653</v>
      </c>
      <c r="B48" s="1">
        <v>41672</v>
      </c>
      <c r="C48">
        <v>12.23</v>
      </c>
      <c r="D48">
        <v>0.32</v>
      </c>
      <c r="E48">
        <v>3</v>
      </c>
    </row>
    <row r="49" spans="1:5" x14ac:dyDescent="0.25">
      <c r="A49" s="1">
        <v>41653</v>
      </c>
      <c r="B49" s="1">
        <v>41668</v>
      </c>
      <c r="C49">
        <v>8.7200000000000006</v>
      </c>
      <c r="D49">
        <v>0.23</v>
      </c>
      <c r="E49">
        <v>5</v>
      </c>
    </row>
    <row r="50" spans="1:5" x14ac:dyDescent="0.25">
      <c r="A50" s="1">
        <v>41653</v>
      </c>
      <c r="B50" s="1">
        <v>41671</v>
      </c>
      <c r="C50">
        <v>16.55</v>
      </c>
      <c r="D50">
        <v>0.44</v>
      </c>
      <c r="E50">
        <v>6</v>
      </c>
    </row>
    <row r="51" spans="1:5" x14ac:dyDescent="0.25">
      <c r="A51" s="1">
        <v>41653</v>
      </c>
      <c r="B51" s="1">
        <v>41656</v>
      </c>
      <c r="C51">
        <v>7.55</v>
      </c>
      <c r="D51">
        <v>0.2</v>
      </c>
      <c r="E51">
        <v>2</v>
      </c>
    </row>
    <row r="52" spans="1:5" x14ac:dyDescent="0.25">
      <c r="A52" s="1">
        <v>41653</v>
      </c>
      <c r="B52" s="1">
        <v>41668</v>
      </c>
      <c r="C52">
        <v>5.78</v>
      </c>
      <c r="D52">
        <v>0.15</v>
      </c>
      <c r="E52">
        <v>2</v>
      </c>
    </row>
    <row r="53" spans="1:5" x14ac:dyDescent="0.25">
      <c r="A53" s="1">
        <v>41653</v>
      </c>
      <c r="B53" s="1">
        <v>41658</v>
      </c>
      <c r="C53">
        <v>8.83</v>
      </c>
      <c r="D53">
        <v>0.23</v>
      </c>
      <c r="E53">
        <v>3</v>
      </c>
    </row>
    <row r="54" spans="1:5" x14ac:dyDescent="0.25">
      <c r="A54" s="1">
        <v>41653</v>
      </c>
      <c r="B54" s="1">
        <v>41655</v>
      </c>
      <c r="C54">
        <v>8.89</v>
      </c>
      <c r="D54">
        <v>0.23</v>
      </c>
      <c r="E54">
        <v>4</v>
      </c>
    </row>
    <row r="55" spans="1:5" x14ac:dyDescent="0.25">
      <c r="A55" s="1">
        <v>41653</v>
      </c>
      <c r="B55" s="1">
        <v>41657</v>
      </c>
      <c r="C55">
        <v>2.72</v>
      </c>
      <c r="D55">
        <v>7.0000000000000007E-2</v>
      </c>
      <c r="E55">
        <v>6</v>
      </c>
    </row>
    <row r="56" spans="1:5" x14ac:dyDescent="0.25">
      <c r="A56" s="1">
        <v>41653</v>
      </c>
      <c r="B56" s="1">
        <v>41675</v>
      </c>
      <c r="C56">
        <v>11.42</v>
      </c>
      <c r="D56">
        <v>0.3</v>
      </c>
      <c r="E56">
        <v>2</v>
      </c>
    </row>
    <row r="57" spans="1:5" x14ac:dyDescent="0.25">
      <c r="A57" s="1">
        <v>41653</v>
      </c>
      <c r="B57" s="1">
        <v>41675</v>
      </c>
      <c r="C57">
        <v>5.23</v>
      </c>
      <c r="D57">
        <v>0.14000000000000001</v>
      </c>
      <c r="E57">
        <v>2</v>
      </c>
    </row>
    <row r="58" spans="1:5" x14ac:dyDescent="0.25">
      <c r="A58" s="1">
        <v>41653</v>
      </c>
      <c r="B58" s="1">
        <v>41657</v>
      </c>
      <c r="C58">
        <v>6.58</v>
      </c>
      <c r="D58">
        <v>0.17</v>
      </c>
      <c r="E58">
        <v>4</v>
      </c>
    </row>
    <row r="59" spans="1:5" x14ac:dyDescent="0.25">
      <c r="A59" s="1">
        <v>41653</v>
      </c>
      <c r="B59" s="1">
        <v>41679</v>
      </c>
      <c r="C59">
        <v>9.74</v>
      </c>
      <c r="D59">
        <v>0.26</v>
      </c>
      <c r="E59">
        <v>4</v>
      </c>
    </row>
    <row r="60" spans="1:5" x14ac:dyDescent="0.25">
      <c r="A60" s="1">
        <v>41653</v>
      </c>
      <c r="B60" s="1">
        <v>41659</v>
      </c>
      <c r="C60">
        <v>6.75</v>
      </c>
      <c r="D60">
        <v>0.18</v>
      </c>
      <c r="E60">
        <v>6</v>
      </c>
    </row>
    <row r="61" spans="1:5" x14ac:dyDescent="0.25">
      <c r="A61" s="1">
        <v>41653</v>
      </c>
      <c r="B61" s="1">
        <v>41671</v>
      </c>
      <c r="C61">
        <v>16.829999999999998</v>
      </c>
      <c r="D61">
        <v>0.44</v>
      </c>
      <c r="E61">
        <v>4</v>
      </c>
    </row>
    <row r="62" spans="1:5" x14ac:dyDescent="0.25">
      <c r="A62" s="1">
        <v>41653</v>
      </c>
      <c r="B62" s="1">
        <v>41676</v>
      </c>
      <c r="C62">
        <v>10.79</v>
      </c>
      <c r="D62">
        <v>0.28000000000000003</v>
      </c>
      <c r="E62">
        <v>3</v>
      </c>
    </row>
    <row r="63" spans="1:5" x14ac:dyDescent="0.25">
      <c r="A63" s="1">
        <v>41653</v>
      </c>
      <c r="B63" s="1">
        <v>41669</v>
      </c>
      <c r="C63">
        <v>10.19</v>
      </c>
      <c r="D63">
        <v>0.27</v>
      </c>
      <c r="E63">
        <v>5</v>
      </c>
    </row>
    <row r="64" spans="1:5" x14ac:dyDescent="0.25">
      <c r="A64" s="1">
        <v>41653</v>
      </c>
      <c r="B64" s="1">
        <v>41678</v>
      </c>
      <c r="C64">
        <v>10.93</v>
      </c>
      <c r="D64">
        <v>0.28999999999999998</v>
      </c>
      <c r="E64">
        <v>6</v>
      </c>
    </row>
    <row r="65" spans="1:5" x14ac:dyDescent="0.25">
      <c r="A65" s="1">
        <v>41654</v>
      </c>
      <c r="B65" s="1">
        <v>41661</v>
      </c>
      <c r="C65">
        <v>9.74</v>
      </c>
      <c r="D65">
        <v>0.26</v>
      </c>
      <c r="E65">
        <v>5</v>
      </c>
    </row>
    <row r="66" spans="1:5" x14ac:dyDescent="0.25">
      <c r="A66" s="1">
        <v>41654</v>
      </c>
      <c r="B66" s="1">
        <v>41669</v>
      </c>
      <c r="C66">
        <v>14.31</v>
      </c>
      <c r="D66">
        <v>0.38</v>
      </c>
      <c r="E66">
        <v>6</v>
      </c>
    </row>
    <row r="67" spans="1:5" x14ac:dyDescent="0.25">
      <c r="A67" s="1">
        <v>41654</v>
      </c>
      <c r="B67" s="1">
        <v>41663</v>
      </c>
      <c r="C67">
        <v>7.35</v>
      </c>
      <c r="D67">
        <v>0.19</v>
      </c>
      <c r="E67">
        <v>4</v>
      </c>
    </row>
    <row r="68" spans="1:5" x14ac:dyDescent="0.25">
      <c r="A68" s="1">
        <v>41654</v>
      </c>
      <c r="B68" s="1">
        <v>41670</v>
      </c>
      <c r="C68">
        <v>9.74</v>
      </c>
      <c r="D68">
        <v>0.26</v>
      </c>
      <c r="E68">
        <v>5</v>
      </c>
    </row>
    <row r="69" spans="1:5" x14ac:dyDescent="0.25">
      <c r="A69" s="1">
        <v>41654</v>
      </c>
      <c r="B69" s="1">
        <v>41666</v>
      </c>
      <c r="C69">
        <v>14.13</v>
      </c>
      <c r="D69">
        <v>0.37</v>
      </c>
      <c r="E69">
        <v>2</v>
      </c>
    </row>
    <row r="70" spans="1:5" x14ac:dyDescent="0.25">
      <c r="A70" s="1">
        <v>41654</v>
      </c>
      <c r="B70" s="1">
        <v>41658</v>
      </c>
      <c r="C70">
        <v>12.01</v>
      </c>
      <c r="D70">
        <v>0.32</v>
      </c>
      <c r="E70">
        <v>3</v>
      </c>
    </row>
    <row r="71" spans="1:5" x14ac:dyDescent="0.25">
      <c r="A71" s="1">
        <v>41654</v>
      </c>
      <c r="B71" s="1">
        <v>41669</v>
      </c>
      <c r="C71">
        <v>13.07</v>
      </c>
      <c r="D71">
        <v>0.34</v>
      </c>
      <c r="E71">
        <v>6</v>
      </c>
    </row>
    <row r="72" spans="1:5" x14ac:dyDescent="0.25">
      <c r="A72" s="1">
        <v>41654</v>
      </c>
      <c r="B72" s="1">
        <v>41659</v>
      </c>
      <c r="C72">
        <v>14</v>
      </c>
      <c r="D72">
        <v>0.37</v>
      </c>
      <c r="E72">
        <v>5</v>
      </c>
    </row>
    <row r="73" spans="1:5" x14ac:dyDescent="0.25">
      <c r="A73" s="1">
        <v>41654</v>
      </c>
      <c r="B73" s="1">
        <v>41671</v>
      </c>
      <c r="C73">
        <v>13.02</v>
      </c>
      <c r="D73">
        <v>0.34</v>
      </c>
      <c r="E73">
        <v>2</v>
      </c>
    </row>
    <row r="74" spans="1:5" x14ac:dyDescent="0.25">
      <c r="A74" s="1">
        <v>41654</v>
      </c>
      <c r="B74" s="1">
        <v>41658</v>
      </c>
      <c r="C74">
        <v>6.75</v>
      </c>
      <c r="D74">
        <v>0.18</v>
      </c>
      <c r="E74">
        <v>5</v>
      </c>
    </row>
    <row r="75" spans="1:5" x14ac:dyDescent="0.25">
      <c r="A75" s="1">
        <v>41654</v>
      </c>
      <c r="B75" s="1">
        <v>41670</v>
      </c>
      <c r="C75">
        <v>3.88</v>
      </c>
      <c r="D75">
        <v>0.1</v>
      </c>
      <c r="E75">
        <v>2</v>
      </c>
    </row>
    <row r="76" spans="1:5" x14ac:dyDescent="0.25">
      <c r="A76" s="1">
        <v>41654</v>
      </c>
      <c r="B76" s="1">
        <v>41657</v>
      </c>
      <c r="C76">
        <v>4.66</v>
      </c>
      <c r="D76">
        <v>0.12</v>
      </c>
      <c r="E76">
        <v>6</v>
      </c>
    </row>
    <row r="77" spans="1:5" x14ac:dyDescent="0.25">
      <c r="A77" s="1">
        <v>41654</v>
      </c>
      <c r="B77" s="1">
        <v>41661</v>
      </c>
      <c r="C77">
        <v>2.29</v>
      </c>
      <c r="D77">
        <v>0.06</v>
      </c>
      <c r="E77">
        <v>4</v>
      </c>
    </row>
    <row r="78" spans="1:5" x14ac:dyDescent="0.25">
      <c r="A78" s="1">
        <v>41654</v>
      </c>
      <c r="B78" s="1">
        <v>41665</v>
      </c>
      <c r="C78">
        <v>7.31</v>
      </c>
      <c r="D78">
        <v>0.19</v>
      </c>
      <c r="E78">
        <v>6</v>
      </c>
    </row>
    <row r="79" spans="1:5" x14ac:dyDescent="0.25">
      <c r="A79" s="1">
        <v>41654</v>
      </c>
      <c r="B79" s="1">
        <v>41682</v>
      </c>
      <c r="C79">
        <v>6.23</v>
      </c>
      <c r="D79">
        <v>0.16</v>
      </c>
      <c r="E79">
        <v>6</v>
      </c>
    </row>
    <row r="80" spans="1:5" x14ac:dyDescent="0.25">
      <c r="A80" s="1">
        <v>41654</v>
      </c>
      <c r="B80" s="1">
        <v>41663</v>
      </c>
      <c r="C80">
        <v>3.88</v>
      </c>
      <c r="D80">
        <v>0.1</v>
      </c>
      <c r="E80">
        <v>2</v>
      </c>
    </row>
    <row r="81" spans="1:5" x14ac:dyDescent="0.25">
      <c r="A81" s="1">
        <v>41654</v>
      </c>
      <c r="B81" s="1">
        <v>41662</v>
      </c>
      <c r="C81">
        <v>8.51</v>
      </c>
      <c r="D81">
        <v>0.22</v>
      </c>
      <c r="E81">
        <v>2</v>
      </c>
    </row>
    <row r="82" spans="1:5" x14ac:dyDescent="0.25">
      <c r="A82" s="1">
        <v>41654</v>
      </c>
      <c r="B82" s="1">
        <v>41657</v>
      </c>
      <c r="C82">
        <v>8.51</v>
      </c>
      <c r="D82">
        <v>0.22</v>
      </c>
      <c r="E82">
        <v>4</v>
      </c>
    </row>
    <row r="83" spans="1:5" x14ac:dyDescent="0.25">
      <c r="A83" s="1">
        <v>41654</v>
      </c>
      <c r="B83" s="1">
        <v>41676</v>
      </c>
      <c r="C83">
        <v>9.1300000000000008</v>
      </c>
      <c r="D83">
        <v>0.24</v>
      </c>
      <c r="E83">
        <v>2</v>
      </c>
    </row>
    <row r="84" spans="1:5" x14ac:dyDescent="0.25">
      <c r="A84" s="1">
        <v>41654</v>
      </c>
      <c r="B84" s="1">
        <v>41658</v>
      </c>
      <c r="C84">
        <v>3.88</v>
      </c>
      <c r="D84">
        <v>0.1</v>
      </c>
      <c r="E84">
        <v>2</v>
      </c>
    </row>
    <row r="85" spans="1:5" x14ac:dyDescent="0.25">
      <c r="A85" s="1">
        <v>41654</v>
      </c>
      <c r="B85" s="1">
        <v>41675</v>
      </c>
      <c r="C85">
        <v>11.42</v>
      </c>
      <c r="D85">
        <v>0.3</v>
      </c>
      <c r="E85">
        <v>2</v>
      </c>
    </row>
    <row r="86" spans="1:5" x14ac:dyDescent="0.25">
      <c r="A86" s="1">
        <v>41654</v>
      </c>
      <c r="B86" s="1">
        <v>41661</v>
      </c>
      <c r="C86">
        <v>16.829999999999998</v>
      </c>
      <c r="D86">
        <v>0.44</v>
      </c>
      <c r="E86">
        <v>4</v>
      </c>
    </row>
    <row r="87" spans="1:5" x14ac:dyDescent="0.25">
      <c r="A87" s="1">
        <v>41656</v>
      </c>
      <c r="B87" s="1">
        <v>41674</v>
      </c>
      <c r="C87">
        <v>5.67</v>
      </c>
      <c r="D87">
        <v>0.15</v>
      </c>
      <c r="E87">
        <v>2</v>
      </c>
    </row>
    <row r="88" spans="1:5" x14ac:dyDescent="0.25">
      <c r="A88" s="1">
        <v>41656</v>
      </c>
      <c r="B88" s="1">
        <v>41667</v>
      </c>
      <c r="C88">
        <v>5.67</v>
      </c>
      <c r="D88">
        <v>0.15</v>
      </c>
      <c r="E88">
        <v>3</v>
      </c>
    </row>
    <row r="89" spans="1:5" x14ac:dyDescent="0.25">
      <c r="A89" s="1">
        <v>41656</v>
      </c>
      <c r="B89" s="1">
        <v>41666</v>
      </c>
      <c r="C89">
        <v>2.0099999999999998</v>
      </c>
      <c r="D89">
        <v>0.05</v>
      </c>
      <c r="E89">
        <v>5</v>
      </c>
    </row>
    <row r="90" spans="1:5" x14ac:dyDescent="0.25">
      <c r="A90" s="1">
        <v>41656</v>
      </c>
      <c r="B90" s="1">
        <v>41678</v>
      </c>
      <c r="C90">
        <v>2.0099999999999998</v>
      </c>
      <c r="D90">
        <v>0.05</v>
      </c>
      <c r="E90">
        <v>5</v>
      </c>
    </row>
    <row r="91" spans="1:5" x14ac:dyDescent="0.25">
      <c r="A91" s="1">
        <v>41657</v>
      </c>
      <c r="B91" s="1">
        <v>41669</v>
      </c>
      <c r="C91">
        <v>6.43</v>
      </c>
      <c r="D91">
        <v>0.17</v>
      </c>
      <c r="E91">
        <v>5</v>
      </c>
    </row>
    <row r="92" spans="1:5" x14ac:dyDescent="0.25">
      <c r="A92" s="1">
        <v>41657</v>
      </c>
      <c r="B92" s="1">
        <v>41666</v>
      </c>
      <c r="C92">
        <v>3.88</v>
      </c>
      <c r="D92">
        <v>0.1</v>
      </c>
      <c r="E92">
        <v>5</v>
      </c>
    </row>
    <row r="93" spans="1:5" x14ac:dyDescent="0.25">
      <c r="A93" s="1">
        <v>41657</v>
      </c>
      <c r="B93" s="1">
        <v>41661</v>
      </c>
      <c r="C93">
        <v>8.7200000000000006</v>
      </c>
      <c r="D93">
        <v>0.23</v>
      </c>
      <c r="E93">
        <v>4</v>
      </c>
    </row>
    <row r="94" spans="1:5" x14ac:dyDescent="0.25">
      <c r="A94" s="1">
        <v>41658</v>
      </c>
      <c r="B94" s="1">
        <v>41685</v>
      </c>
      <c r="C94">
        <v>6.58</v>
      </c>
      <c r="D94">
        <v>0.17</v>
      </c>
      <c r="E94">
        <v>5</v>
      </c>
    </row>
    <row r="95" spans="1:5" x14ac:dyDescent="0.25">
      <c r="A95" s="1">
        <v>41658</v>
      </c>
      <c r="B95" s="1">
        <v>41685</v>
      </c>
      <c r="C95">
        <v>6.43</v>
      </c>
      <c r="D95">
        <v>0.17</v>
      </c>
      <c r="E95">
        <v>2</v>
      </c>
    </row>
    <row r="96" spans="1:5" x14ac:dyDescent="0.25">
      <c r="A96" s="1">
        <v>41660</v>
      </c>
      <c r="B96" s="1">
        <v>41676</v>
      </c>
      <c r="C96">
        <v>11.44</v>
      </c>
      <c r="D96">
        <v>0.3</v>
      </c>
      <c r="E96">
        <v>3</v>
      </c>
    </row>
    <row r="97" spans="1:5" x14ac:dyDescent="0.25">
      <c r="A97" s="1">
        <v>41660</v>
      </c>
      <c r="B97" s="1">
        <v>41667</v>
      </c>
      <c r="C97">
        <v>10.59</v>
      </c>
      <c r="D97">
        <v>0.28000000000000003</v>
      </c>
      <c r="E97">
        <v>4</v>
      </c>
    </row>
    <row r="98" spans="1:5" x14ac:dyDescent="0.25">
      <c r="A98" s="1">
        <v>41660</v>
      </c>
      <c r="B98" s="1">
        <v>41687</v>
      </c>
      <c r="C98">
        <v>11.44</v>
      </c>
      <c r="D98">
        <v>0.3</v>
      </c>
      <c r="E98">
        <v>6</v>
      </c>
    </row>
    <row r="99" spans="1:5" x14ac:dyDescent="0.25">
      <c r="A99" s="1">
        <v>41660</v>
      </c>
      <c r="B99" s="1">
        <v>41686</v>
      </c>
      <c r="C99">
        <v>10.199999999999999</v>
      </c>
      <c r="D99">
        <v>0.27</v>
      </c>
      <c r="E99">
        <v>6</v>
      </c>
    </row>
    <row r="100" spans="1:5" x14ac:dyDescent="0.25">
      <c r="A100" s="1">
        <v>41660</v>
      </c>
      <c r="B100" s="1">
        <v>41684</v>
      </c>
      <c r="C100">
        <v>19.54</v>
      </c>
      <c r="D100">
        <v>0.51</v>
      </c>
      <c r="E100">
        <v>5</v>
      </c>
    </row>
    <row r="101" spans="1:5" x14ac:dyDescent="0.25">
      <c r="A101" s="1">
        <v>41660</v>
      </c>
      <c r="B101" s="1">
        <v>41674</v>
      </c>
      <c r="C101">
        <v>10.93</v>
      </c>
      <c r="D101">
        <v>0.28999999999999998</v>
      </c>
      <c r="E101">
        <v>4</v>
      </c>
    </row>
    <row r="102" spans="1:5" x14ac:dyDescent="0.25">
      <c r="A102" s="1">
        <v>41661</v>
      </c>
      <c r="B102" s="1">
        <v>41668</v>
      </c>
      <c r="C102">
        <v>6.43</v>
      </c>
      <c r="D102">
        <v>0.17</v>
      </c>
      <c r="E102">
        <v>5</v>
      </c>
    </row>
    <row r="103" spans="1:5" x14ac:dyDescent="0.25">
      <c r="A103" s="1">
        <v>41661</v>
      </c>
      <c r="B103" s="1">
        <v>41681</v>
      </c>
      <c r="C103">
        <v>5.67</v>
      </c>
      <c r="D103">
        <v>0.15</v>
      </c>
      <c r="E103">
        <v>4</v>
      </c>
    </row>
    <row r="104" spans="1:5" x14ac:dyDescent="0.25">
      <c r="A104" s="1">
        <v>41661</v>
      </c>
      <c r="B104" s="1">
        <v>41682</v>
      </c>
      <c r="C104">
        <v>14.13</v>
      </c>
      <c r="D104">
        <v>0.37</v>
      </c>
      <c r="E104">
        <v>5</v>
      </c>
    </row>
    <row r="105" spans="1:5" x14ac:dyDescent="0.25">
      <c r="A105" s="1">
        <v>41661</v>
      </c>
      <c r="B105" s="1">
        <v>41689</v>
      </c>
      <c r="C105">
        <v>5.47</v>
      </c>
      <c r="D105">
        <v>0.14000000000000001</v>
      </c>
      <c r="E105">
        <v>3</v>
      </c>
    </row>
    <row r="106" spans="1:5" x14ac:dyDescent="0.25">
      <c r="A106" s="1">
        <v>41662</v>
      </c>
      <c r="B106" s="1">
        <v>41686</v>
      </c>
      <c r="C106">
        <v>8.39</v>
      </c>
      <c r="D106">
        <v>0.22</v>
      </c>
      <c r="E106">
        <v>2</v>
      </c>
    </row>
    <row r="107" spans="1:5" x14ac:dyDescent="0.25">
      <c r="A107" s="1">
        <v>41662</v>
      </c>
      <c r="B107" s="1">
        <v>41688</v>
      </c>
      <c r="C107">
        <v>3.79</v>
      </c>
      <c r="D107">
        <v>0.1</v>
      </c>
      <c r="E107">
        <v>3</v>
      </c>
    </row>
    <row r="108" spans="1:5" x14ac:dyDescent="0.25">
      <c r="A108" s="1">
        <v>41662</v>
      </c>
      <c r="B108" s="1">
        <v>41664</v>
      </c>
      <c r="C108">
        <v>6.23</v>
      </c>
      <c r="D108">
        <v>0.16</v>
      </c>
      <c r="E108">
        <v>6</v>
      </c>
    </row>
    <row r="109" spans="1:5" x14ac:dyDescent="0.25">
      <c r="A109" s="1">
        <v>41663</v>
      </c>
      <c r="B109" s="1">
        <v>41675</v>
      </c>
      <c r="C109">
        <v>6.34</v>
      </c>
      <c r="D109">
        <v>0.17</v>
      </c>
      <c r="E109">
        <v>6</v>
      </c>
    </row>
    <row r="110" spans="1:5" x14ac:dyDescent="0.25">
      <c r="A110" s="1">
        <v>41663</v>
      </c>
      <c r="B110" s="1">
        <v>41684</v>
      </c>
      <c r="C110">
        <v>3.57</v>
      </c>
      <c r="D110">
        <v>0.09</v>
      </c>
      <c r="E110">
        <v>6</v>
      </c>
    </row>
    <row r="111" spans="1:5" x14ac:dyDescent="0.25">
      <c r="A111" s="1">
        <v>41664</v>
      </c>
      <c r="B111" s="1">
        <v>41681</v>
      </c>
      <c r="C111">
        <v>4.66</v>
      </c>
      <c r="D111">
        <v>0.12</v>
      </c>
      <c r="E111">
        <v>4</v>
      </c>
    </row>
    <row r="112" spans="1:5" x14ac:dyDescent="0.25">
      <c r="A112" s="1">
        <v>41665</v>
      </c>
      <c r="B112" s="1">
        <v>41692</v>
      </c>
      <c r="C112">
        <v>13.07</v>
      </c>
      <c r="D112">
        <v>0.34</v>
      </c>
      <c r="E112">
        <v>3</v>
      </c>
    </row>
    <row r="113" spans="1:5" x14ac:dyDescent="0.25">
      <c r="A113" s="1">
        <v>41665</v>
      </c>
      <c r="B113" s="1">
        <v>41691</v>
      </c>
      <c r="C113">
        <v>13.81</v>
      </c>
      <c r="D113">
        <v>0.36</v>
      </c>
      <c r="E113">
        <v>5</v>
      </c>
    </row>
    <row r="114" spans="1:5" x14ac:dyDescent="0.25">
      <c r="A114" s="1">
        <v>41665</v>
      </c>
      <c r="B114" s="1">
        <v>41673</v>
      </c>
      <c r="C114">
        <v>11.69</v>
      </c>
      <c r="D114">
        <v>0.31</v>
      </c>
      <c r="E114">
        <v>2</v>
      </c>
    </row>
    <row r="115" spans="1:5" x14ac:dyDescent="0.25">
      <c r="A115" s="1">
        <v>41665</v>
      </c>
      <c r="B115" s="1">
        <v>41683</v>
      </c>
      <c r="C115">
        <v>8.84</v>
      </c>
      <c r="D115">
        <v>0.23</v>
      </c>
      <c r="E115">
        <v>4</v>
      </c>
    </row>
    <row r="116" spans="1:5" x14ac:dyDescent="0.25">
      <c r="A116" s="1">
        <v>41665</v>
      </c>
      <c r="B116" s="1">
        <v>41690</v>
      </c>
      <c r="C116">
        <v>16.940000000000001</v>
      </c>
      <c r="D116">
        <v>0.45</v>
      </c>
      <c r="E116">
        <v>5</v>
      </c>
    </row>
    <row r="117" spans="1:5" x14ac:dyDescent="0.25">
      <c r="A117" s="1">
        <v>41665</v>
      </c>
      <c r="B117" s="1">
        <v>41669</v>
      </c>
      <c r="C117">
        <v>13.82</v>
      </c>
      <c r="D117">
        <v>0.36</v>
      </c>
      <c r="E117">
        <v>4</v>
      </c>
    </row>
    <row r="118" spans="1:5" x14ac:dyDescent="0.25">
      <c r="A118" s="1">
        <v>41665</v>
      </c>
      <c r="B118" s="1">
        <v>41689</v>
      </c>
      <c r="C118">
        <v>9.4600000000000009</v>
      </c>
      <c r="D118">
        <v>0.25</v>
      </c>
      <c r="E118">
        <v>6</v>
      </c>
    </row>
    <row r="119" spans="1:5" x14ac:dyDescent="0.25">
      <c r="A119" s="1">
        <v>41665</v>
      </c>
      <c r="B119" s="1">
        <v>41684</v>
      </c>
      <c r="C119">
        <v>8.89</v>
      </c>
      <c r="D119">
        <v>0.23</v>
      </c>
      <c r="E119">
        <v>6</v>
      </c>
    </row>
    <row r="120" spans="1:5" x14ac:dyDescent="0.25">
      <c r="A120" s="1">
        <v>41665</v>
      </c>
      <c r="B120" s="1">
        <v>41673</v>
      </c>
      <c r="C120">
        <v>5.57</v>
      </c>
      <c r="D120">
        <v>0.15</v>
      </c>
      <c r="E120">
        <v>4</v>
      </c>
    </row>
    <row r="121" spans="1:5" x14ac:dyDescent="0.25">
      <c r="A121" s="1">
        <v>41665</v>
      </c>
      <c r="B121" s="1">
        <v>41669</v>
      </c>
      <c r="C121">
        <v>7.35</v>
      </c>
      <c r="D121">
        <v>0.19</v>
      </c>
      <c r="E121">
        <v>2</v>
      </c>
    </row>
    <row r="122" spans="1:5" x14ac:dyDescent="0.25">
      <c r="A122" s="1">
        <v>41665</v>
      </c>
      <c r="B122" s="1">
        <v>41681</v>
      </c>
      <c r="C122">
        <v>12.23</v>
      </c>
      <c r="D122">
        <v>0.32</v>
      </c>
      <c r="E122">
        <v>4</v>
      </c>
    </row>
    <row r="123" spans="1:5" x14ac:dyDescent="0.25">
      <c r="A123" s="1">
        <v>41665</v>
      </c>
      <c r="B123" s="1">
        <v>41690</v>
      </c>
      <c r="C123">
        <v>5.23</v>
      </c>
      <c r="D123">
        <v>0.14000000000000001</v>
      </c>
      <c r="E123">
        <v>6</v>
      </c>
    </row>
    <row r="124" spans="1:5" x14ac:dyDescent="0.25">
      <c r="A124" s="1">
        <v>41666</v>
      </c>
      <c r="B124" s="1">
        <v>41682</v>
      </c>
      <c r="C124">
        <v>6.43</v>
      </c>
      <c r="D124">
        <v>0.17</v>
      </c>
      <c r="E124">
        <v>4</v>
      </c>
    </row>
    <row r="125" spans="1:5" x14ac:dyDescent="0.25">
      <c r="A125" s="1">
        <v>41666</v>
      </c>
      <c r="B125" s="1">
        <v>41668</v>
      </c>
      <c r="C125">
        <v>11.44</v>
      </c>
      <c r="D125">
        <v>0.3</v>
      </c>
      <c r="E125">
        <v>5</v>
      </c>
    </row>
    <row r="126" spans="1:5" x14ac:dyDescent="0.25">
      <c r="A126" s="1">
        <v>41666</v>
      </c>
      <c r="B126" s="1">
        <v>41673</v>
      </c>
      <c r="C126">
        <v>8.7200000000000006</v>
      </c>
      <c r="D126">
        <v>0.23</v>
      </c>
      <c r="E126">
        <v>5</v>
      </c>
    </row>
    <row r="127" spans="1:5" x14ac:dyDescent="0.25">
      <c r="A127" s="1">
        <v>41666</v>
      </c>
      <c r="B127" s="1">
        <v>41685</v>
      </c>
      <c r="C127">
        <v>10.199999999999999</v>
      </c>
      <c r="D127">
        <v>0.27</v>
      </c>
      <c r="E127">
        <v>4</v>
      </c>
    </row>
    <row r="128" spans="1:5" x14ac:dyDescent="0.25">
      <c r="A128" s="1">
        <v>41666</v>
      </c>
      <c r="B128" s="1">
        <v>41668</v>
      </c>
      <c r="C128">
        <v>10.199999999999999</v>
      </c>
      <c r="D128">
        <v>0.27</v>
      </c>
      <c r="E128">
        <v>2</v>
      </c>
    </row>
    <row r="129" spans="1:5" x14ac:dyDescent="0.25">
      <c r="A129" s="1">
        <v>41667</v>
      </c>
      <c r="B129" s="1">
        <v>41693</v>
      </c>
      <c r="C129">
        <v>4.66</v>
      </c>
      <c r="D129">
        <v>0.12</v>
      </c>
      <c r="E129">
        <v>3</v>
      </c>
    </row>
    <row r="130" spans="1:5" x14ac:dyDescent="0.25">
      <c r="A130" s="1">
        <v>41667</v>
      </c>
      <c r="B130" s="1">
        <v>41675</v>
      </c>
      <c r="C130">
        <v>11.69</v>
      </c>
      <c r="D130">
        <v>0.31</v>
      </c>
      <c r="E130">
        <v>6</v>
      </c>
    </row>
    <row r="131" spans="1:5" x14ac:dyDescent="0.25">
      <c r="A131" s="1">
        <v>41667</v>
      </c>
      <c r="B131" s="1">
        <v>41673</v>
      </c>
      <c r="C131">
        <v>6.88</v>
      </c>
      <c r="D131">
        <v>0.18</v>
      </c>
      <c r="E131">
        <v>3</v>
      </c>
    </row>
    <row r="132" spans="1:5" x14ac:dyDescent="0.25">
      <c r="A132" s="1">
        <v>41672</v>
      </c>
      <c r="B132" s="1">
        <v>41683</v>
      </c>
      <c r="C132">
        <v>9.74</v>
      </c>
      <c r="D132">
        <v>0.26</v>
      </c>
      <c r="E132">
        <v>2</v>
      </c>
    </row>
    <row r="133" spans="1:5" x14ac:dyDescent="0.25">
      <c r="A133" s="1">
        <v>41672</v>
      </c>
      <c r="B133" s="1">
        <v>41681</v>
      </c>
      <c r="C133">
        <v>9.06</v>
      </c>
      <c r="D133">
        <v>0.24</v>
      </c>
      <c r="E133">
        <v>2</v>
      </c>
    </row>
    <row r="134" spans="1:5" x14ac:dyDescent="0.25">
      <c r="A134" s="1">
        <v>41672</v>
      </c>
      <c r="B134" s="1">
        <v>41694</v>
      </c>
      <c r="C134">
        <v>14</v>
      </c>
      <c r="D134">
        <v>0.37</v>
      </c>
      <c r="E134">
        <v>2</v>
      </c>
    </row>
    <row r="135" spans="1:5" x14ac:dyDescent="0.25">
      <c r="A135" s="1">
        <v>41673</v>
      </c>
      <c r="B135" s="1">
        <v>41697</v>
      </c>
      <c r="C135">
        <v>10.59</v>
      </c>
      <c r="D135">
        <v>0.28000000000000003</v>
      </c>
      <c r="E135">
        <v>3</v>
      </c>
    </row>
    <row r="136" spans="1:5" x14ac:dyDescent="0.25">
      <c r="A136" s="1">
        <v>41673</v>
      </c>
      <c r="B136" s="1">
        <v>41676</v>
      </c>
      <c r="C136">
        <v>3.94</v>
      </c>
      <c r="D136">
        <v>0.1</v>
      </c>
      <c r="E136">
        <v>6</v>
      </c>
    </row>
    <row r="137" spans="1:5" x14ac:dyDescent="0.25">
      <c r="A137" s="1">
        <v>41673</v>
      </c>
      <c r="B137" s="1">
        <v>41690</v>
      </c>
      <c r="C137">
        <v>4.66</v>
      </c>
      <c r="D137">
        <v>0.12</v>
      </c>
      <c r="E137">
        <v>3</v>
      </c>
    </row>
    <row r="138" spans="1:5" x14ac:dyDescent="0.25">
      <c r="A138" s="1">
        <v>41673</v>
      </c>
      <c r="B138" s="1">
        <v>41701</v>
      </c>
      <c r="C138">
        <v>10.199999999999999</v>
      </c>
      <c r="D138">
        <v>0.27</v>
      </c>
      <c r="E138">
        <v>6</v>
      </c>
    </row>
    <row r="139" spans="1:5" x14ac:dyDescent="0.25">
      <c r="A139" s="1">
        <v>41677</v>
      </c>
      <c r="B139" s="1">
        <v>41682</v>
      </c>
      <c r="C139">
        <v>12.23</v>
      </c>
      <c r="D139">
        <v>0.32</v>
      </c>
      <c r="E139">
        <v>5</v>
      </c>
    </row>
    <row r="140" spans="1:5" x14ac:dyDescent="0.25">
      <c r="A140" s="1">
        <v>41677</v>
      </c>
      <c r="B140" s="1">
        <v>41698</v>
      </c>
      <c r="C140">
        <v>10.19</v>
      </c>
      <c r="D140">
        <v>0.27</v>
      </c>
      <c r="E140">
        <v>3</v>
      </c>
    </row>
    <row r="141" spans="1:5" x14ac:dyDescent="0.25">
      <c r="A141" s="1">
        <v>41677</v>
      </c>
      <c r="B141" s="1">
        <v>41701</v>
      </c>
      <c r="C141">
        <v>12.01</v>
      </c>
      <c r="D141">
        <v>0.32</v>
      </c>
      <c r="E141">
        <v>6</v>
      </c>
    </row>
    <row r="142" spans="1:5" x14ac:dyDescent="0.25">
      <c r="A142" s="1">
        <v>41677</v>
      </c>
      <c r="B142" s="1">
        <v>41681</v>
      </c>
      <c r="C142">
        <v>11.44</v>
      </c>
      <c r="D142">
        <v>0.3</v>
      </c>
      <c r="E142">
        <v>3</v>
      </c>
    </row>
    <row r="143" spans="1:5" x14ac:dyDescent="0.25">
      <c r="A143" s="1">
        <v>41677</v>
      </c>
      <c r="B143" s="1">
        <v>41700</v>
      </c>
      <c r="C143">
        <v>6.23</v>
      </c>
      <c r="D143">
        <v>0.16</v>
      </c>
      <c r="E143">
        <v>3</v>
      </c>
    </row>
    <row r="144" spans="1:5" x14ac:dyDescent="0.25">
      <c r="A144" s="1">
        <v>41677</v>
      </c>
      <c r="B144" s="1">
        <v>41686</v>
      </c>
      <c r="C144">
        <v>12.01</v>
      </c>
      <c r="D144">
        <v>0.32</v>
      </c>
      <c r="E144">
        <v>5</v>
      </c>
    </row>
    <row r="145" spans="1:5" x14ac:dyDescent="0.25">
      <c r="A145" s="1">
        <v>41677</v>
      </c>
      <c r="B145" s="1">
        <v>41681</v>
      </c>
      <c r="C145">
        <v>12.23</v>
      </c>
      <c r="D145">
        <v>0.32</v>
      </c>
      <c r="E145">
        <v>5</v>
      </c>
    </row>
    <row r="146" spans="1:5" x14ac:dyDescent="0.25">
      <c r="A146" s="1">
        <v>41677</v>
      </c>
      <c r="B146" s="1">
        <v>41695</v>
      </c>
      <c r="C146">
        <v>12.01</v>
      </c>
      <c r="D146">
        <v>0.32</v>
      </c>
      <c r="E146">
        <v>5</v>
      </c>
    </row>
    <row r="147" spans="1:5" x14ac:dyDescent="0.25">
      <c r="A147" s="1">
        <v>41677</v>
      </c>
      <c r="B147" s="1">
        <v>41692</v>
      </c>
      <c r="C147">
        <v>5.67</v>
      </c>
      <c r="D147">
        <v>0.15</v>
      </c>
      <c r="E147">
        <v>4</v>
      </c>
    </row>
    <row r="148" spans="1:5" x14ac:dyDescent="0.25">
      <c r="A148" s="1">
        <v>41677</v>
      </c>
      <c r="B148" s="1">
        <v>41702</v>
      </c>
      <c r="C148">
        <v>6.88</v>
      </c>
      <c r="D148">
        <v>0.18</v>
      </c>
      <c r="E148">
        <v>5</v>
      </c>
    </row>
    <row r="149" spans="1:5" x14ac:dyDescent="0.25">
      <c r="A149" s="1">
        <v>41677</v>
      </c>
      <c r="B149" s="1">
        <v>41705</v>
      </c>
      <c r="C149">
        <v>2.72</v>
      </c>
      <c r="D149">
        <v>7.0000000000000007E-2</v>
      </c>
      <c r="E149">
        <v>6</v>
      </c>
    </row>
    <row r="150" spans="1:5" x14ac:dyDescent="0.25">
      <c r="A150" s="1">
        <v>41677</v>
      </c>
      <c r="B150" s="1">
        <v>41686</v>
      </c>
      <c r="C150">
        <v>9.74</v>
      </c>
      <c r="D150">
        <v>0.26</v>
      </c>
      <c r="E150">
        <v>6</v>
      </c>
    </row>
    <row r="151" spans="1:5" x14ac:dyDescent="0.25">
      <c r="A151" s="1">
        <v>41677</v>
      </c>
      <c r="B151" s="1">
        <v>41691</v>
      </c>
      <c r="C151">
        <v>7.31</v>
      </c>
      <c r="D151">
        <v>0.19</v>
      </c>
      <c r="E151">
        <v>3</v>
      </c>
    </row>
    <row r="152" spans="1:5" x14ac:dyDescent="0.25">
      <c r="A152" s="1">
        <v>41677</v>
      </c>
      <c r="B152" s="1">
        <v>41704</v>
      </c>
      <c r="C152">
        <v>8.84</v>
      </c>
      <c r="D152">
        <v>0.23</v>
      </c>
      <c r="E152">
        <v>6</v>
      </c>
    </row>
    <row r="153" spans="1:5" x14ac:dyDescent="0.25">
      <c r="A153" s="1">
        <v>41677</v>
      </c>
      <c r="B153" s="1">
        <v>41690</v>
      </c>
      <c r="C153">
        <v>13.07</v>
      </c>
      <c r="D153">
        <v>0.34</v>
      </c>
      <c r="E153">
        <v>2</v>
      </c>
    </row>
    <row r="154" spans="1:5" x14ac:dyDescent="0.25">
      <c r="A154" s="1">
        <v>41677</v>
      </c>
      <c r="B154" s="1">
        <v>41690</v>
      </c>
      <c r="C154">
        <v>11.42</v>
      </c>
      <c r="D154">
        <v>0.3</v>
      </c>
      <c r="E154">
        <v>6</v>
      </c>
    </row>
    <row r="155" spans="1:5" x14ac:dyDescent="0.25">
      <c r="A155" s="1">
        <v>41677</v>
      </c>
      <c r="B155" s="1">
        <v>41704</v>
      </c>
      <c r="C155">
        <v>3.79</v>
      </c>
      <c r="D155">
        <v>0.1</v>
      </c>
      <c r="E155">
        <v>3</v>
      </c>
    </row>
    <row r="156" spans="1:5" x14ac:dyDescent="0.25">
      <c r="A156" s="1">
        <v>41677</v>
      </c>
      <c r="B156" s="1">
        <v>41682</v>
      </c>
      <c r="C156">
        <v>11.42</v>
      </c>
      <c r="D156">
        <v>0.3</v>
      </c>
      <c r="E156">
        <v>6</v>
      </c>
    </row>
    <row r="157" spans="1:5" x14ac:dyDescent="0.25">
      <c r="A157" s="1">
        <v>41677</v>
      </c>
      <c r="B157" s="1">
        <v>41680</v>
      </c>
      <c r="C157">
        <v>8.83</v>
      </c>
      <c r="D157">
        <v>0.23</v>
      </c>
      <c r="E157">
        <v>4</v>
      </c>
    </row>
    <row r="158" spans="1:5" x14ac:dyDescent="0.25">
      <c r="A158" s="1">
        <v>41677</v>
      </c>
      <c r="B158" s="1">
        <v>41690</v>
      </c>
      <c r="C158">
        <v>8.51</v>
      </c>
      <c r="D158">
        <v>0.22</v>
      </c>
      <c r="E158">
        <v>5</v>
      </c>
    </row>
    <row r="159" spans="1:5" x14ac:dyDescent="0.25">
      <c r="A159" s="1">
        <v>41677</v>
      </c>
      <c r="B159" s="1">
        <v>41694</v>
      </c>
      <c r="C159">
        <v>7.3</v>
      </c>
      <c r="D159">
        <v>0.19</v>
      </c>
      <c r="E159">
        <v>5</v>
      </c>
    </row>
    <row r="160" spans="1:5" x14ac:dyDescent="0.25">
      <c r="A160" s="1">
        <v>41680</v>
      </c>
      <c r="B160" s="1">
        <v>41692</v>
      </c>
      <c r="C160">
        <v>5.67</v>
      </c>
      <c r="D160">
        <v>0.15</v>
      </c>
      <c r="E160">
        <v>4</v>
      </c>
    </row>
    <row r="161" spans="1:5" x14ac:dyDescent="0.25">
      <c r="A161" s="1">
        <v>41680</v>
      </c>
      <c r="B161" s="1">
        <v>41690</v>
      </c>
      <c r="C161">
        <v>6.58</v>
      </c>
      <c r="D161">
        <v>0.17</v>
      </c>
      <c r="E161">
        <v>3</v>
      </c>
    </row>
    <row r="162" spans="1:5" x14ac:dyDescent="0.25">
      <c r="A162" s="1">
        <v>41680</v>
      </c>
      <c r="B162" s="1">
        <v>41699</v>
      </c>
      <c r="C162">
        <v>4.25</v>
      </c>
      <c r="D162">
        <v>0.11</v>
      </c>
      <c r="E162">
        <v>3</v>
      </c>
    </row>
    <row r="163" spans="1:5" x14ac:dyDescent="0.25">
      <c r="A163" s="1">
        <v>41682</v>
      </c>
      <c r="B163" s="1">
        <v>41694</v>
      </c>
      <c r="C163">
        <v>6.58</v>
      </c>
      <c r="D163">
        <v>0.17</v>
      </c>
      <c r="E163">
        <v>6</v>
      </c>
    </row>
    <row r="164" spans="1:5" x14ac:dyDescent="0.25">
      <c r="A164" s="1">
        <v>41684</v>
      </c>
      <c r="B164" s="1">
        <v>41704</v>
      </c>
      <c r="C164">
        <v>5.78</v>
      </c>
      <c r="D164">
        <v>0.15</v>
      </c>
      <c r="E164">
        <v>2</v>
      </c>
    </row>
    <row r="165" spans="1:5" x14ac:dyDescent="0.25">
      <c r="A165" s="1">
        <v>41684</v>
      </c>
      <c r="B165" s="1">
        <v>41693</v>
      </c>
      <c r="C165">
        <v>10.199999999999999</v>
      </c>
      <c r="D165">
        <v>0.27</v>
      </c>
      <c r="E165">
        <v>5</v>
      </c>
    </row>
    <row r="166" spans="1:5" x14ac:dyDescent="0.25">
      <c r="A166" s="1">
        <v>41684</v>
      </c>
      <c r="B166" s="1">
        <v>41692</v>
      </c>
      <c r="C166">
        <v>2.72</v>
      </c>
      <c r="D166">
        <v>7.0000000000000007E-2</v>
      </c>
      <c r="E166">
        <v>6</v>
      </c>
    </row>
    <row r="167" spans="1:5" x14ac:dyDescent="0.25">
      <c r="A167" s="1">
        <v>41684</v>
      </c>
      <c r="B167" s="1">
        <v>41707</v>
      </c>
      <c r="C167">
        <v>11.44</v>
      </c>
      <c r="D167">
        <v>0.3</v>
      </c>
      <c r="E167">
        <v>6</v>
      </c>
    </row>
    <row r="168" spans="1:5" x14ac:dyDescent="0.25">
      <c r="A168" s="1">
        <v>41684</v>
      </c>
      <c r="B168" s="1">
        <v>41712</v>
      </c>
      <c r="C168">
        <v>13.07</v>
      </c>
      <c r="D168">
        <v>0.34</v>
      </c>
      <c r="E168">
        <v>6</v>
      </c>
    </row>
    <row r="169" spans="1:5" x14ac:dyDescent="0.25">
      <c r="A169" s="1">
        <v>41684</v>
      </c>
      <c r="B169" s="1">
        <v>41712</v>
      </c>
      <c r="C169">
        <v>7.35</v>
      </c>
      <c r="D169">
        <v>0.19</v>
      </c>
      <c r="E169">
        <v>4</v>
      </c>
    </row>
    <row r="170" spans="1:5" x14ac:dyDescent="0.25">
      <c r="A170" s="1">
        <v>41685</v>
      </c>
      <c r="B170" s="1">
        <v>41712</v>
      </c>
      <c r="C170">
        <v>6.88</v>
      </c>
      <c r="D170">
        <v>0.18</v>
      </c>
      <c r="E170">
        <v>3</v>
      </c>
    </row>
    <row r="171" spans="1:5" x14ac:dyDescent="0.25">
      <c r="A171" s="1">
        <v>41685</v>
      </c>
      <c r="B171" s="1">
        <v>41708</v>
      </c>
      <c r="C171">
        <v>9.06</v>
      </c>
      <c r="D171">
        <v>0.24</v>
      </c>
      <c r="E171">
        <v>2</v>
      </c>
    </row>
    <row r="172" spans="1:5" x14ac:dyDescent="0.25">
      <c r="A172" s="1">
        <v>41689</v>
      </c>
      <c r="B172" s="1">
        <v>41708</v>
      </c>
      <c r="C172">
        <v>16.55</v>
      </c>
      <c r="D172">
        <v>0.44</v>
      </c>
      <c r="E172">
        <v>2</v>
      </c>
    </row>
    <row r="173" spans="1:5" x14ac:dyDescent="0.25">
      <c r="A173" s="1">
        <v>41689</v>
      </c>
      <c r="B173" s="1">
        <v>41708</v>
      </c>
      <c r="C173">
        <v>8.83</v>
      </c>
      <c r="D173">
        <v>0.23</v>
      </c>
      <c r="E173">
        <v>3</v>
      </c>
    </row>
    <row r="174" spans="1:5" x14ac:dyDescent="0.25">
      <c r="A174" s="1">
        <v>41689</v>
      </c>
      <c r="B174" s="1">
        <v>41696</v>
      </c>
      <c r="C174">
        <v>7.31</v>
      </c>
      <c r="D174">
        <v>0.19</v>
      </c>
      <c r="E174">
        <v>2</v>
      </c>
    </row>
    <row r="175" spans="1:5" x14ac:dyDescent="0.25">
      <c r="A175" s="1">
        <v>41689</v>
      </c>
      <c r="B175" s="1">
        <v>41715</v>
      </c>
      <c r="C175">
        <v>14.31</v>
      </c>
      <c r="D175">
        <v>0.38</v>
      </c>
      <c r="E175">
        <v>5</v>
      </c>
    </row>
    <row r="176" spans="1:5" x14ac:dyDescent="0.25">
      <c r="A176" s="1">
        <v>41689</v>
      </c>
      <c r="B176" s="1">
        <v>41691</v>
      </c>
      <c r="C176">
        <v>11.42</v>
      </c>
      <c r="D176">
        <v>0.3</v>
      </c>
      <c r="E176">
        <v>5</v>
      </c>
    </row>
    <row r="177" spans="1:5" x14ac:dyDescent="0.25">
      <c r="A177" s="1">
        <v>41689</v>
      </c>
      <c r="B177" s="1">
        <v>41700</v>
      </c>
      <c r="C177">
        <v>8.5399999999999991</v>
      </c>
      <c r="D177">
        <v>0.22</v>
      </c>
      <c r="E177">
        <v>3</v>
      </c>
    </row>
    <row r="178" spans="1:5" x14ac:dyDescent="0.25">
      <c r="A178" s="1">
        <v>41689</v>
      </c>
      <c r="B178" s="1">
        <v>41717</v>
      </c>
      <c r="C178">
        <v>5.57</v>
      </c>
      <c r="D178">
        <v>0.15</v>
      </c>
      <c r="E178">
        <v>4</v>
      </c>
    </row>
    <row r="179" spans="1:5" x14ac:dyDescent="0.25">
      <c r="A179" s="1">
        <v>41689</v>
      </c>
      <c r="B179" s="1">
        <v>41717</v>
      </c>
      <c r="C179">
        <v>7.55</v>
      </c>
      <c r="D179">
        <v>0.2</v>
      </c>
      <c r="E179">
        <v>4</v>
      </c>
    </row>
    <row r="180" spans="1:5" x14ac:dyDescent="0.25">
      <c r="A180" s="1">
        <v>41689</v>
      </c>
      <c r="B180" s="1">
        <v>41707</v>
      </c>
      <c r="C180">
        <v>10.79</v>
      </c>
      <c r="D180">
        <v>0.28000000000000003</v>
      </c>
      <c r="E180">
        <v>6</v>
      </c>
    </row>
    <row r="181" spans="1:5" x14ac:dyDescent="0.25">
      <c r="A181" s="1">
        <v>41689</v>
      </c>
      <c r="B181" s="1">
        <v>41706</v>
      </c>
      <c r="C181">
        <v>8.39</v>
      </c>
      <c r="D181">
        <v>0.22</v>
      </c>
      <c r="E181">
        <v>2</v>
      </c>
    </row>
    <row r="182" spans="1:5" x14ac:dyDescent="0.25">
      <c r="A182" s="1">
        <v>41689</v>
      </c>
      <c r="B182" s="1">
        <v>41711</v>
      </c>
      <c r="C182">
        <v>9.06</v>
      </c>
      <c r="D182">
        <v>0.24</v>
      </c>
      <c r="E182">
        <v>6</v>
      </c>
    </row>
    <row r="183" spans="1:5" x14ac:dyDescent="0.25">
      <c r="A183" s="1">
        <v>41689</v>
      </c>
      <c r="B183" s="1">
        <v>41700</v>
      </c>
      <c r="C183">
        <v>16.940000000000001</v>
      </c>
      <c r="D183">
        <v>0.45</v>
      </c>
      <c r="E183">
        <v>3</v>
      </c>
    </row>
    <row r="184" spans="1:5" x14ac:dyDescent="0.25">
      <c r="A184" s="1">
        <v>41689</v>
      </c>
      <c r="B184" s="1">
        <v>41708</v>
      </c>
      <c r="C184">
        <v>11.37</v>
      </c>
      <c r="D184">
        <v>0.3</v>
      </c>
      <c r="E184">
        <v>4</v>
      </c>
    </row>
    <row r="185" spans="1:5" x14ac:dyDescent="0.25">
      <c r="A185" s="1">
        <v>41689</v>
      </c>
      <c r="B185" s="1">
        <v>41699</v>
      </c>
      <c r="C185">
        <v>4.25</v>
      </c>
      <c r="D185">
        <v>0.11</v>
      </c>
      <c r="E185">
        <v>5</v>
      </c>
    </row>
    <row r="186" spans="1:5" x14ac:dyDescent="0.25">
      <c r="A186" s="1">
        <v>41689</v>
      </c>
      <c r="B186" s="1">
        <v>41710</v>
      </c>
      <c r="C186">
        <v>11.42</v>
      </c>
      <c r="D186">
        <v>0.3</v>
      </c>
      <c r="E186">
        <v>4</v>
      </c>
    </row>
    <row r="187" spans="1:5" x14ac:dyDescent="0.25">
      <c r="A187" s="1">
        <v>41689</v>
      </c>
      <c r="B187" s="1">
        <v>41711</v>
      </c>
      <c r="C187">
        <v>3.79</v>
      </c>
      <c r="D187">
        <v>0.1</v>
      </c>
      <c r="E187">
        <v>3</v>
      </c>
    </row>
    <row r="188" spans="1:5" x14ac:dyDescent="0.25">
      <c r="A188" s="1">
        <v>41689</v>
      </c>
      <c r="B188" s="1">
        <v>41712</v>
      </c>
      <c r="C188">
        <v>10.59</v>
      </c>
      <c r="D188">
        <v>0.28000000000000003</v>
      </c>
      <c r="E188">
        <v>4</v>
      </c>
    </row>
    <row r="189" spans="1:5" x14ac:dyDescent="0.25">
      <c r="A189" s="1">
        <v>41689</v>
      </c>
      <c r="B189" s="1">
        <v>41705</v>
      </c>
      <c r="C189">
        <v>8.9499999999999993</v>
      </c>
      <c r="D189">
        <v>0.24</v>
      </c>
      <c r="E189">
        <v>2</v>
      </c>
    </row>
    <row r="190" spans="1:5" x14ac:dyDescent="0.25">
      <c r="A190" s="1">
        <v>41689</v>
      </c>
      <c r="B190" s="1">
        <v>41693</v>
      </c>
      <c r="C190">
        <v>4.66</v>
      </c>
      <c r="D190">
        <v>0.12</v>
      </c>
      <c r="E190">
        <v>5</v>
      </c>
    </row>
    <row r="191" spans="1:5" x14ac:dyDescent="0.25">
      <c r="A191" s="1">
        <v>41689</v>
      </c>
      <c r="B191" s="1">
        <v>41707</v>
      </c>
      <c r="C191">
        <v>6.88</v>
      </c>
      <c r="D191">
        <v>0.18</v>
      </c>
      <c r="E191">
        <v>5</v>
      </c>
    </row>
    <row r="192" spans="1:5" x14ac:dyDescent="0.25">
      <c r="A192" s="1">
        <v>41692</v>
      </c>
      <c r="B192" s="1">
        <v>41706</v>
      </c>
      <c r="C192">
        <v>8.7200000000000006</v>
      </c>
      <c r="D192">
        <v>0.23</v>
      </c>
      <c r="E192">
        <v>4</v>
      </c>
    </row>
    <row r="193" spans="1:5" x14ac:dyDescent="0.25">
      <c r="A193" s="1">
        <v>41696</v>
      </c>
      <c r="B193" s="1">
        <v>41698</v>
      </c>
      <c r="C193">
        <v>12.23</v>
      </c>
      <c r="D193">
        <v>0.32</v>
      </c>
      <c r="E193">
        <v>2</v>
      </c>
    </row>
    <row r="194" spans="1:5" x14ac:dyDescent="0.25">
      <c r="A194" s="1">
        <v>41696</v>
      </c>
      <c r="B194" s="1">
        <v>41708</v>
      </c>
      <c r="C194">
        <v>10.199999999999999</v>
      </c>
      <c r="D194">
        <v>0.27</v>
      </c>
      <c r="E194">
        <v>4</v>
      </c>
    </row>
    <row r="195" spans="1:5" x14ac:dyDescent="0.25">
      <c r="A195" s="1">
        <v>41696</v>
      </c>
      <c r="B195" s="1">
        <v>41703</v>
      </c>
      <c r="C195">
        <v>7.06</v>
      </c>
      <c r="D195">
        <v>0.19</v>
      </c>
      <c r="E195">
        <v>5</v>
      </c>
    </row>
    <row r="196" spans="1:5" x14ac:dyDescent="0.25">
      <c r="A196" s="1">
        <v>41696</v>
      </c>
      <c r="B196" s="1">
        <v>41716</v>
      </c>
      <c r="C196">
        <v>5.64</v>
      </c>
      <c r="D196">
        <v>0.15</v>
      </c>
      <c r="E196">
        <v>6</v>
      </c>
    </row>
    <row r="197" spans="1:5" x14ac:dyDescent="0.25">
      <c r="A197" s="1">
        <v>41696</v>
      </c>
      <c r="B197" s="1">
        <v>41721</v>
      </c>
      <c r="C197">
        <v>9.06</v>
      </c>
      <c r="D197">
        <v>0.24</v>
      </c>
      <c r="E197">
        <v>4</v>
      </c>
    </row>
    <row r="198" spans="1:5" x14ac:dyDescent="0.25">
      <c r="A198" s="1">
        <v>41696</v>
      </c>
      <c r="B198" s="1">
        <v>41717</v>
      </c>
      <c r="C198">
        <v>6.23</v>
      </c>
      <c r="D198">
        <v>0.16</v>
      </c>
      <c r="E198">
        <v>2</v>
      </c>
    </row>
    <row r="199" spans="1:5" x14ac:dyDescent="0.25">
      <c r="A199" s="1">
        <v>41698</v>
      </c>
      <c r="B199" s="1">
        <v>41721</v>
      </c>
      <c r="C199">
        <v>3.57</v>
      </c>
      <c r="D199">
        <v>0.09</v>
      </c>
      <c r="E199">
        <v>4</v>
      </c>
    </row>
    <row r="200" spans="1:5" x14ac:dyDescent="0.25">
      <c r="A200" s="1">
        <v>41701</v>
      </c>
      <c r="B200" s="1">
        <v>41714</v>
      </c>
      <c r="C200">
        <v>8.89</v>
      </c>
      <c r="D200">
        <v>0.23</v>
      </c>
      <c r="E200">
        <v>3</v>
      </c>
    </row>
    <row r="201" spans="1:5" x14ac:dyDescent="0.25">
      <c r="A201" s="1">
        <v>41701</v>
      </c>
      <c r="B201" s="1">
        <v>41726</v>
      </c>
      <c r="C201">
        <v>6.34</v>
      </c>
      <c r="D201">
        <v>0.17</v>
      </c>
      <c r="E201">
        <v>5</v>
      </c>
    </row>
    <row r="202" spans="1:5" x14ac:dyDescent="0.25">
      <c r="A202" s="1">
        <v>41701</v>
      </c>
      <c r="B202" s="1">
        <v>41717</v>
      </c>
      <c r="C202">
        <v>11.69</v>
      </c>
      <c r="D202">
        <v>0.31</v>
      </c>
      <c r="E202">
        <v>6</v>
      </c>
    </row>
    <row r="203" spans="1:5" x14ac:dyDescent="0.25">
      <c r="A203" s="1">
        <v>41701</v>
      </c>
      <c r="B203" s="1">
        <v>41712</v>
      </c>
      <c r="C203">
        <v>3.79</v>
      </c>
      <c r="D203">
        <v>0.1</v>
      </c>
      <c r="E203">
        <v>4</v>
      </c>
    </row>
    <row r="204" spans="1:5" x14ac:dyDescent="0.25">
      <c r="A204" s="1">
        <v>41701</v>
      </c>
      <c r="B204" s="1">
        <v>41726</v>
      </c>
      <c r="C204">
        <v>9.1300000000000008</v>
      </c>
      <c r="D204">
        <v>0.24</v>
      </c>
      <c r="E204">
        <v>2</v>
      </c>
    </row>
    <row r="205" spans="1:5" x14ac:dyDescent="0.25">
      <c r="A205" s="1">
        <v>41701</v>
      </c>
      <c r="B205" s="1">
        <v>41722</v>
      </c>
      <c r="C205">
        <v>5.78</v>
      </c>
      <c r="D205">
        <v>0.15</v>
      </c>
      <c r="E205">
        <v>6</v>
      </c>
    </row>
    <row r="206" spans="1:5" x14ac:dyDescent="0.25">
      <c r="A206" s="1">
        <v>41701</v>
      </c>
      <c r="B206" s="1">
        <v>41719</v>
      </c>
      <c r="C206">
        <v>7.06</v>
      </c>
      <c r="D206">
        <v>0.19</v>
      </c>
      <c r="E206">
        <v>6</v>
      </c>
    </row>
    <row r="207" spans="1:5" x14ac:dyDescent="0.25">
      <c r="A207" s="1">
        <v>41701</v>
      </c>
      <c r="B207" s="1">
        <v>41712</v>
      </c>
      <c r="C207">
        <v>7.31</v>
      </c>
      <c r="D207">
        <v>0.19</v>
      </c>
      <c r="E207">
        <v>4</v>
      </c>
    </row>
    <row r="208" spans="1:5" x14ac:dyDescent="0.25">
      <c r="A208" s="1">
        <v>41701</v>
      </c>
      <c r="B208" s="1">
        <v>41711</v>
      </c>
      <c r="C208">
        <v>8.9499999999999993</v>
      </c>
      <c r="D208">
        <v>0.24</v>
      </c>
      <c r="E208">
        <v>4</v>
      </c>
    </row>
    <row r="209" spans="1:5" x14ac:dyDescent="0.25">
      <c r="A209" s="1">
        <v>41701</v>
      </c>
      <c r="B209" s="1">
        <v>41719</v>
      </c>
      <c r="C209">
        <v>2.0099999999999998</v>
      </c>
      <c r="D209">
        <v>0.05</v>
      </c>
      <c r="E209">
        <v>5</v>
      </c>
    </row>
    <row r="210" spans="1:5" x14ac:dyDescent="0.25">
      <c r="A210" s="1">
        <v>41701</v>
      </c>
      <c r="B210" s="1">
        <v>41705</v>
      </c>
      <c r="C210">
        <v>19.54</v>
      </c>
      <c r="D210">
        <v>0.51</v>
      </c>
      <c r="E210">
        <v>3</v>
      </c>
    </row>
    <row r="211" spans="1:5" x14ac:dyDescent="0.25">
      <c r="A211" s="1">
        <v>41701</v>
      </c>
      <c r="B211" s="1">
        <v>41718</v>
      </c>
      <c r="C211">
        <v>13.02</v>
      </c>
      <c r="D211">
        <v>0.34</v>
      </c>
      <c r="E211">
        <v>5</v>
      </c>
    </row>
    <row r="212" spans="1:5" x14ac:dyDescent="0.25">
      <c r="A212" s="1">
        <v>41701</v>
      </c>
      <c r="B212" s="1">
        <v>41720</v>
      </c>
      <c r="C212">
        <v>11.69</v>
      </c>
      <c r="D212">
        <v>0.31</v>
      </c>
      <c r="E212">
        <v>6</v>
      </c>
    </row>
    <row r="213" spans="1:5" x14ac:dyDescent="0.25">
      <c r="A213" s="1">
        <v>41701</v>
      </c>
      <c r="B213" s="1">
        <v>41729</v>
      </c>
      <c r="C213">
        <v>13.02</v>
      </c>
      <c r="D213">
        <v>0.34</v>
      </c>
      <c r="E213">
        <v>2</v>
      </c>
    </row>
    <row r="214" spans="1:5" x14ac:dyDescent="0.25">
      <c r="A214" s="1">
        <v>41701</v>
      </c>
      <c r="B214" s="1">
        <v>41713</v>
      </c>
      <c r="C214">
        <v>3.57</v>
      </c>
      <c r="D214">
        <v>0.09</v>
      </c>
      <c r="E214">
        <v>3</v>
      </c>
    </row>
    <row r="215" spans="1:5" x14ac:dyDescent="0.25">
      <c r="A215" s="1">
        <v>41701</v>
      </c>
      <c r="B215" s="1">
        <v>41708</v>
      </c>
      <c r="C215">
        <v>7.06</v>
      </c>
      <c r="D215">
        <v>0.19</v>
      </c>
      <c r="E215">
        <v>3</v>
      </c>
    </row>
    <row r="216" spans="1:5" x14ac:dyDescent="0.25">
      <c r="A216" s="1">
        <v>41704</v>
      </c>
      <c r="B216" s="1">
        <v>41717</v>
      </c>
      <c r="C216">
        <v>6.34</v>
      </c>
      <c r="D216">
        <v>0.17</v>
      </c>
      <c r="E216">
        <v>3</v>
      </c>
    </row>
    <row r="217" spans="1:5" x14ac:dyDescent="0.25">
      <c r="A217" s="1">
        <v>41704</v>
      </c>
      <c r="B217" s="1">
        <v>41718</v>
      </c>
      <c r="C217">
        <v>2.72</v>
      </c>
      <c r="D217">
        <v>7.0000000000000007E-2</v>
      </c>
      <c r="E217">
        <v>2</v>
      </c>
    </row>
    <row r="218" spans="1:5" x14ac:dyDescent="0.25">
      <c r="A218" s="1">
        <v>41705</v>
      </c>
      <c r="B218" s="1">
        <v>41710</v>
      </c>
      <c r="C218">
        <v>3.73</v>
      </c>
      <c r="D218">
        <v>0.1</v>
      </c>
      <c r="E218">
        <v>5</v>
      </c>
    </row>
    <row r="219" spans="1:5" x14ac:dyDescent="0.25">
      <c r="A219" s="1">
        <v>41707</v>
      </c>
      <c r="B219" s="1">
        <v>41719</v>
      </c>
      <c r="C219">
        <v>10.59</v>
      </c>
      <c r="D219">
        <v>0.28000000000000003</v>
      </c>
      <c r="E219">
        <v>6</v>
      </c>
    </row>
    <row r="220" spans="1:5" x14ac:dyDescent="0.25">
      <c r="A220" s="1">
        <v>41708</v>
      </c>
      <c r="B220" s="1">
        <v>41733</v>
      </c>
      <c r="C220">
        <v>3.73</v>
      </c>
      <c r="D220">
        <v>0.1</v>
      </c>
      <c r="E220">
        <v>5</v>
      </c>
    </row>
    <row r="221" spans="1:5" x14ac:dyDescent="0.25">
      <c r="A221" s="1">
        <v>41708</v>
      </c>
      <c r="B221" s="1">
        <v>41720</v>
      </c>
      <c r="C221">
        <v>5.78</v>
      </c>
      <c r="D221">
        <v>0.15</v>
      </c>
      <c r="E221">
        <v>2</v>
      </c>
    </row>
    <row r="222" spans="1:5" x14ac:dyDescent="0.25">
      <c r="A222" s="1">
        <v>41708</v>
      </c>
      <c r="B222" s="1">
        <v>41720</v>
      </c>
      <c r="C222">
        <v>10.79</v>
      </c>
      <c r="D222">
        <v>0.28000000000000003</v>
      </c>
      <c r="E222">
        <v>2</v>
      </c>
    </row>
    <row r="223" spans="1:5" x14ac:dyDescent="0.25">
      <c r="A223" s="1">
        <v>41708</v>
      </c>
      <c r="B223" s="1">
        <v>41726</v>
      </c>
      <c r="C223">
        <v>5.47</v>
      </c>
      <c r="D223">
        <v>0.14000000000000001</v>
      </c>
      <c r="E223">
        <v>4</v>
      </c>
    </row>
    <row r="224" spans="1:5" x14ac:dyDescent="0.25">
      <c r="A224" s="1">
        <v>41708</v>
      </c>
      <c r="B224" s="1">
        <v>41720</v>
      </c>
      <c r="C224">
        <v>5.57</v>
      </c>
      <c r="D224">
        <v>0.15</v>
      </c>
      <c r="E224">
        <v>2</v>
      </c>
    </row>
    <row r="225" spans="1:5" x14ac:dyDescent="0.25">
      <c r="A225" s="1">
        <v>41709</v>
      </c>
      <c r="B225" s="1">
        <v>41736</v>
      </c>
      <c r="C225">
        <v>4.66</v>
      </c>
      <c r="D225">
        <v>0.12</v>
      </c>
      <c r="E225">
        <v>5</v>
      </c>
    </row>
    <row r="226" spans="1:5" x14ac:dyDescent="0.25">
      <c r="A226" s="1">
        <v>41709</v>
      </c>
      <c r="B226" s="1">
        <v>41731</v>
      </c>
      <c r="C226">
        <v>8.9499999999999993</v>
      </c>
      <c r="D226">
        <v>0.24</v>
      </c>
      <c r="E226">
        <v>4</v>
      </c>
    </row>
    <row r="227" spans="1:5" x14ac:dyDescent="0.25">
      <c r="A227" s="1">
        <v>41710</v>
      </c>
      <c r="B227" s="1">
        <v>41719</v>
      </c>
      <c r="C227">
        <v>3.94</v>
      </c>
      <c r="D227">
        <v>0.1</v>
      </c>
      <c r="E227">
        <v>3</v>
      </c>
    </row>
    <row r="228" spans="1:5" x14ac:dyDescent="0.25">
      <c r="A228" s="1">
        <v>41713</v>
      </c>
      <c r="B228" s="1">
        <v>41724</v>
      </c>
      <c r="C228">
        <v>5.78</v>
      </c>
      <c r="D228">
        <v>0.15</v>
      </c>
      <c r="E228">
        <v>6</v>
      </c>
    </row>
    <row r="229" spans="1:5" x14ac:dyDescent="0.25">
      <c r="A229" s="1">
        <v>41713</v>
      </c>
      <c r="B229" s="1">
        <v>41735</v>
      </c>
      <c r="C229">
        <v>13.81</v>
      </c>
      <c r="D229">
        <v>0.36</v>
      </c>
      <c r="E229">
        <v>2</v>
      </c>
    </row>
    <row r="230" spans="1:5" x14ac:dyDescent="0.25">
      <c r="A230" s="1">
        <v>41713</v>
      </c>
      <c r="B230" s="1">
        <v>41739</v>
      </c>
      <c r="C230">
        <v>5.23</v>
      </c>
      <c r="D230">
        <v>0.14000000000000001</v>
      </c>
      <c r="E230">
        <v>6</v>
      </c>
    </row>
    <row r="231" spans="1:5" x14ac:dyDescent="0.25">
      <c r="A231" s="1">
        <v>41713</v>
      </c>
      <c r="B231" s="1">
        <v>41728</v>
      </c>
      <c r="C231">
        <v>10.93</v>
      </c>
      <c r="D231">
        <v>0.28999999999999998</v>
      </c>
      <c r="E231">
        <v>6</v>
      </c>
    </row>
    <row r="232" spans="1:5" x14ac:dyDescent="0.25">
      <c r="A232" s="1">
        <v>41713</v>
      </c>
      <c r="B232" s="1">
        <v>41731</v>
      </c>
      <c r="C232">
        <v>8.9499999999999993</v>
      </c>
      <c r="D232">
        <v>0.24</v>
      </c>
      <c r="E232">
        <v>4</v>
      </c>
    </row>
    <row r="233" spans="1:5" x14ac:dyDescent="0.25">
      <c r="A233" s="1">
        <v>41713</v>
      </c>
      <c r="B233" s="1">
        <v>41731</v>
      </c>
      <c r="C233">
        <v>16.829999999999998</v>
      </c>
      <c r="D233">
        <v>0.44</v>
      </c>
      <c r="E233">
        <v>3</v>
      </c>
    </row>
    <row r="234" spans="1:5" x14ac:dyDescent="0.25">
      <c r="A234" s="1">
        <v>41713</v>
      </c>
      <c r="B234" s="1">
        <v>41718</v>
      </c>
      <c r="C234">
        <v>14</v>
      </c>
      <c r="D234">
        <v>0.37</v>
      </c>
      <c r="E234">
        <v>2</v>
      </c>
    </row>
    <row r="235" spans="1:5" x14ac:dyDescent="0.25">
      <c r="A235" s="1">
        <v>41713</v>
      </c>
      <c r="B235" s="1">
        <v>41735</v>
      </c>
      <c r="C235">
        <v>5.23</v>
      </c>
      <c r="D235">
        <v>0.14000000000000001</v>
      </c>
      <c r="E235">
        <v>6</v>
      </c>
    </row>
    <row r="236" spans="1:5" x14ac:dyDescent="0.25">
      <c r="A236" s="1">
        <v>41713</v>
      </c>
      <c r="B236" s="1">
        <v>41724</v>
      </c>
      <c r="C236">
        <v>16.55</v>
      </c>
      <c r="D236">
        <v>0.44</v>
      </c>
      <c r="E236">
        <v>6</v>
      </c>
    </row>
    <row r="237" spans="1:5" x14ac:dyDescent="0.25">
      <c r="A237" s="1">
        <v>41713</v>
      </c>
      <c r="B237" s="1">
        <v>41724</v>
      </c>
      <c r="C237">
        <v>12.23</v>
      </c>
      <c r="D237">
        <v>0.32</v>
      </c>
      <c r="E237">
        <v>3</v>
      </c>
    </row>
    <row r="238" spans="1:5" x14ac:dyDescent="0.25">
      <c r="A238" s="1">
        <v>41713</v>
      </c>
      <c r="B238" s="1">
        <v>41720</v>
      </c>
      <c r="C238">
        <v>8.39</v>
      </c>
      <c r="D238">
        <v>0.22</v>
      </c>
      <c r="E238">
        <v>2</v>
      </c>
    </row>
    <row r="239" spans="1:5" x14ac:dyDescent="0.25">
      <c r="A239" s="1">
        <v>41713</v>
      </c>
      <c r="B239" s="1">
        <v>41721</v>
      </c>
      <c r="C239">
        <v>5.67</v>
      </c>
      <c r="D239">
        <v>0.15</v>
      </c>
      <c r="E239">
        <v>5</v>
      </c>
    </row>
    <row r="240" spans="1:5" x14ac:dyDescent="0.25">
      <c r="A240" s="1">
        <v>41713</v>
      </c>
      <c r="B240" s="1">
        <v>41719</v>
      </c>
      <c r="C240">
        <v>14.13</v>
      </c>
      <c r="D240">
        <v>0.37</v>
      </c>
      <c r="E240">
        <v>4</v>
      </c>
    </row>
    <row r="241" spans="1:5" x14ac:dyDescent="0.25">
      <c r="A241" s="1">
        <v>41713</v>
      </c>
      <c r="B241" s="1">
        <v>41723</v>
      </c>
      <c r="C241">
        <v>11.69</v>
      </c>
      <c r="D241">
        <v>0.31</v>
      </c>
      <c r="E241">
        <v>4</v>
      </c>
    </row>
    <row r="242" spans="1:5" x14ac:dyDescent="0.25">
      <c r="A242" s="1">
        <v>41713</v>
      </c>
      <c r="B242" s="1">
        <v>41728</v>
      </c>
      <c r="C242">
        <v>16.940000000000001</v>
      </c>
      <c r="D242">
        <v>0.45</v>
      </c>
      <c r="E242">
        <v>2</v>
      </c>
    </row>
    <row r="243" spans="1:5" x14ac:dyDescent="0.25">
      <c r="A243" s="1">
        <v>41713</v>
      </c>
      <c r="B243" s="1">
        <v>41733</v>
      </c>
      <c r="C243">
        <v>14</v>
      </c>
      <c r="D243">
        <v>0.37</v>
      </c>
      <c r="E243">
        <v>4</v>
      </c>
    </row>
    <row r="244" spans="1:5" x14ac:dyDescent="0.25">
      <c r="A244" s="1">
        <v>41715</v>
      </c>
      <c r="B244" s="1">
        <v>41743</v>
      </c>
      <c r="C244">
        <v>8.84</v>
      </c>
      <c r="D244">
        <v>0.23</v>
      </c>
      <c r="E244">
        <v>2</v>
      </c>
    </row>
    <row r="245" spans="1:5" x14ac:dyDescent="0.25">
      <c r="A245" s="1">
        <v>41715</v>
      </c>
      <c r="B245" s="1">
        <v>41734</v>
      </c>
      <c r="C245">
        <v>6.75</v>
      </c>
      <c r="D245">
        <v>0.18</v>
      </c>
      <c r="E245">
        <v>4</v>
      </c>
    </row>
    <row r="246" spans="1:5" x14ac:dyDescent="0.25">
      <c r="A246" s="1">
        <v>41715</v>
      </c>
      <c r="B246" s="1">
        <v>41728</v>
      </c>
      <c r="C246">
        <v>6.23</v>
      </c>
      <c r="D246">
        <v>0.16</v>
      </c>
      <c r="E246">
        <v>5</v>
      </c>
    </row>
    <row r="247" spans="1:5" x14ac:dyDescent="0.25">
      <c r="A247" s="1">
        <v>41715</v>
      </c>
      <c r="B247" s="1">
        <v>41741</v>
      </c>
      <c r="C247">
        <v>8.7200000000000006</v>
      </c>
      <c r="D247">
        <v>0.23</v>
      </c>
      <c r="E247">
        <v>6</v>
      </c>
    </row>
    <row r="248" spans="1:5" x14ac:dyDescent="0.25">
      <c r="A248" s="1">
        <v>41716</v>
      </c>
      <c r="B248" s="1">
        <v>41719</v>
      </c>
      <c r="C248">
        <v>6.34</v>
      </c>
      <c r="D248">
        <v>0.17</v>
      </c>
      <c r="E248">
        <v>5</v>
      </c>
    </row>
    <row r="249" spans="1:5" x14ac:dyDescent="0.25">
      <c r="A249" s="1">
        <v>41716</v>
      </c>
      <c r="B249" s="1">
        <v>41734</v>
      </c>
      <c r="C249">
        <v>2.29</v>
      </c>
      <c r="D249">
        <v>0.06</v>
      </c>
      <c r="E249">
        <v>4</v>
      </c>
    </row>
    <row r="250" spans="1:5" x14ac:dyDescent="0.25">
      <c r="A250" s="1">
        <v>41716</v>
      </c>
      <c r="B250" s="1">
        <v>41734</v>
      </c>
      <c r="C250">
        <v>4.25</v>
      </c>
      <c r="D250">
        <v>0.11</v>
      </c>
      <c r="E250">
        <v>4</v>
      </c>
    </row>
    <row r="251" spans="1:5" x14ac:dyDescent="0.25">
      <c r="A251" s="1">
        <v>41719</v>
      </c>
      <c r="B251" s="1">
        <v>41742</v>
      </c>
      <c r="C251">
        <v>16.55</v>
      </c>
      <c r="D251">
        <v>0.44</v>
      </c>
      <c r="E251">
        <v>5</v>
      </c>
    </row>
    <row r="252" spans="1:5" x14ac:dyDescent="0.25">
      <c r="A252" s="1">
        <v>41719</v>
      </c>
      <c r="B252" s="1">
        <v>41745</v>
      </c>
      <c r="C252">
        <v>7.55</v>
      </c>
      <c r="D252">
        <v>0.2</v>
      </c>
      <c r="E252">
        <v>3</v>
      </c>
    </row>
    <row r="253" spans="1:5" x14ac:dyDescent="0.25">
      <c r="A253" s="1">
        <v>41719</v>
      </c>
      <c r="B253" s="1">
        <v>41731</v>
      </c>
      <c r="C253">
        <v>16.55</v>
      </c>
      <c r="D253">
        <v>0.44</v>
      </c>
      <c r="E253">
        <v>5</v>
      </c>
    </row>
    <row r="254" spans="1:5" x14ac:dyDescent="0.25">
      <c r="A254" s="1">
        <v>41719</v>
      </c>
      <c r="B254" s="1">
        <v>41739</v>
      </c>
      <c r="C254">
        <v>3.79</v>
      </c>
      <c r="D254">
        <v>0.1</v>
      </c>
      <c r="E254">
        <v>3</v>
      </c>
    </row>
    <row r="255" spans="1:5" x14ac:dyDescent="0.25">
      <c r="A255" s="1">
        <v>41719</v>
      </c>
      <c r="B255" s="1">
        <v>41725</v>
      </c>
      <c r="C255">
        <v>8.51</v>
      </c>
      <c r="D255">
        <v>0.22</v>
      </c>
      <c r="E255">
        <v>6</v>
      </c>
    </row>
    <row r="256" spans="1:5" x14ac:dyDescent="0.25">
      <c r="A256" s="1">
        <v>41719</v>
      </c>
      <c r="B256" s="1">
        <v>41724</v>
      </c>
      <c r="C256">
        <v>7.71</v>
      </c>
      <c r="D256">
        <v>0.2</v>
      </c>
      <c r="E256">
        <v>2</v>
      </c>
    </row>
    <row r="257" spans="1:5" x14ac:dyDescent="0.25">
      <c r="A257" s="1">
        <v>41725</v>
      </c>
      <c r="B257" s="1">
        <v>41742</v>
      </c>
      <c r="C257">
        <v>3.79</v>
      </c>
      <c r="D257">
        <v>0.1</v>
      </c>
      <c r="E257">
        <v>2</v>
      </c>
    </row>
    <row r="258" spans="1:5" x14ac:dyDescent="0.25">
      <c r="A258" s="1">
        <v>41725</v>
      </c>
      <c r="B258" s="1">
        <v>41747</v>
      </c>
      <c r="C258">
        <v>16.55</v>
      </c>
      <c r="D258">
        <v>0.44</v>
      </c>
      <c r="E258">
        <v>4</v>
      </c>
    </row>
    <row r="259" spans="1:5" x14ac:dyDescent="0.25">
      <c r="A259" s="1">
        <v>41725</v>
      </c>
      <c r="B259" s="1">
        <v>41728</v>
      </c>
      <c r="C259">
        <v>10.19</v>
      </c>
      <c r="D259">
        <v>0.27</v>
      </c>
      <c r="E259">
        <v>5</v>
      </c>
    </row>
    <row r="260" spans="1:5" x14ac:dyDescent="0.25">
      <c r="A260" s="1">
        <v>41725</v>
      </c>
      <c r="B260" s="1">
        <v>41731</v>
      </c>
      <c r="C260">
        <v>8.39</v>
      </c>
      <c r="D260">
        <v>0.22</v>
      </c>
      <c r="E260">
        <v>5</v>
      </c>
    </row>
    <row r="261" spans="1:5" x14ac:dyDescent="0.25">
      <c r="A261" s="1">
        <v>41725</v>
      </c>
      <c r="B261" s="1">
        <v>41752</v>
      </c>
      <c r="C261">
        <v>8.89</v>
      </c>
      <c r="D261">
        <v>0.23</v>
      </c>
      <c r="E261">
        <v>2</v>
      </c>
    </row>
    <row r="262" spans="1:5" x14ac:dyDescent="0.25">
      <c r="A262" s="1">
        <v>41725</v>
      </c>
      <c r="B262" s="1">
        <v>41748</v>
      </c>
      <c r="C262">
        <v>7.35</v>
      </c>
      <c r="D262">
        <v>0.19</v>
      </c>
      <c r="E262">
        <v>2</v>
      </c>
    </row>
    <row r="263" spans="1:5" x14ac:dyDescent="0.25">
      <c r="A263" s="1">
        <v>41731</v>
      </c>
      <c r="B263" s="1">
        <v>41740</v>
      </c>
      <c r="C263">
        <v>6.88</v>
      </c>
      <c r="D263">
        <v>0.18</v>
      </c>
      <c r="E263">
        <v>4</v>
      </c>
    </row>
    <row r="264" spans="1:5" x14ac:dyDescent="0.25">
      <c r="A264" s="1">
        <v>41731</v>
      </c>
      <c r="B264" s="1">
        <v>41740</v>
      </c>
      <c r="C264">
        <v>13.02</v>
      </c>
      <c r="D264">
        <v>0.34</v>
      </c>
      <c r="E264">
        <v>3</v>
      </c>
    </row>
    <row r="265" spans="1:5" x14ac:dyDescent="0.25">
      <c r="A265" s="1">
        <v>41731</v>
      </c>
      <c r="B265" s="1">
        <v>41750</v>
      </c>
      <c r="C265">
        <v>10.59</v>
      </c>
      <c r="D265">
        <v>0.28000000000000003</v>
      </c>
      <c r="E265">
        <v>3</v>
      </c>
    </row>
    <row r="266" spans="1:5" x14ac:dyDescent="0.25">
      <c r="A266" s="1">
        <v>41731</v>
      </c>
      <c r="B266" s="1">
        <v>41751</v>
      </c>
      <c r="C266">
        <v>16.940000000000001</v>
      </c>
      <c r="D266">
        <v>0.45</v>
      </c>
      <c r="E266">
        <v>4</v>
      </c>
    </row>
    <row r="267" spans="1:5" x14ac:dyDescent="0.25">
      <c r="A267" s="1">
        <v>41731</v>
      </c>
      <c r="B267" s="1">
        <v>41748</v>
      </c>
      <c r="C267">
        <v>11.44</v>
      </c>
      <c r="D267">
        <v>0.3</v>
      </c>
      <c r="E267">
        <v>4</v>
      </c>
    </row>
    <row r="268" spans="1:5" x14ac:dyDescent="0.25">
      <c r="A268" s="1">
        <v>41731</v>
      </c>
      <c r="B268" s="1">
        <v>41733</v>
      </c>
      <c r="C268">
        <v>3.79</v>
      </c>
      <c r="D268">
        <v>0.1</v>
      </c>
      <c r="E268">
        <v>4</v>
      </c>
    </row>
    <row r="269" spans="1:5" x14ac:dyDescent="0.25">
      <c r="A269" s="1">
        <v>41732</v>
      </c>
      <c r="B269" s="1">
        <v>41758</v>
      </c>
      <c r="C269">
        <v>10.19</v>
      </c>
      <c r="D269">
        <v>0.27</v>
      </c>
      <c r="E269">
        <v>2</v>
      </c>
    </row>
    <row r="270" spans="1:5" x14ac:dyDescent="0.25">
      <c r="A270" s="1">
        <v>41737</v>
      </c>
      <c r="B270" s="1">
        <v>41747</v>
      </c>
      <c r="C270">
        <v>7.35</v>
      </c>
      <c r="D270">
        <v>0.19</v>
      </c>
      <c r="E270">
        <v>5</v>
      </c>
    </row>
    <row r="271" spans="1:5" x14ac:dyDescent="0.25">
      <c r="A271" s="1">
        <v>41737</v>
      </c>
      <c r="B271" s="1">
        <v>41752</v>
      </c>
      <c r="C271">
        <v>9.74</v>
      </c>
      <c r="D271">
        <v>0.26</v>
      </c>
      <c r="E271">
        <v>6</v>
      </c>
    </row>
    <row r="272" spans="1:5" x14ac:dyDescent="0.25">
      <c r="A272" s="1">
        <v>41737</v>
      </c>
      <c r="B272" s="1">
        <v>41758</v>
      </c>
      <c r="C272">
        <v>8.65</v>
      </c>
      <c r="D272">
        <v>0.23</v>
      </c>
      <c r="E272">
        <v>3</v>
      </c>
    </row>
    <row r="273" spans="1:5" x14ac:dyDescent="0.25">
      <c r="A273" s="1">
        <v>41737</v>
      </c>
      <c r="B273" s="1">
        <v>41759</v>
      </c>
      <c r="C273">
        <v>7.06</v>
      </c>
      <c r="D273">
        <v>0.19</v>
      </c>
      <c r="E273">
        <v>2</v>
      </c>
    </row>
    <row r="274" spans="1:5" x14ac:dyDescent="0.25">
      <c r="A274" s="1">
        <v>41737</v>
      </c>
      <c r="B274" s="1">
        <v>41762</v>
      </c>
      <c r="C274">
        <v>14</v>
      </c>
      <c r="D274">
        <v>0.37</v>
      </c>
      <c r="E274">
        <v>2</v>
      </c>
    </row>
    <row r="275" spans="1:5" x14ac:dyDescent="0.25">
      <c r="A275" s="1">
        <v>41737</v>
      </c>
      <c r="B275" s="1">
        <v>41764</v>
      </c>
      <c r="C275">
        <v>16.940000000000001</v>
      </c>
      <c r="D275">
        <v>0.45</v>
      </c>
      <c r="E275">
        <v>4</v>
      </c>
    </row>
    <row r="276" spans="1:5" x14ac:dyDescent="0.25">
      <c r="A276" s="1">
        <v>41743</v>
      </c>
      <c r="B276" s="1">
        <v>41759</v>
      </c>
      <c r="C276">
        <v>16.55</v>
      </c>
      <c r="D276">
        <v>0.44</v>
      </c>
      <c r="E276">
        <v>4</v>
      </c>
    </row>
    <row r="277" spans="1:5" x14ac:dyDescent="0.25">
      <c r="A277" s="1">
        <v>41743</v>
      </c>
      <c r="B277" s="1">
        <v>41766</v>
      </c>
      <c r="C277">
        <v>14.13</v>
      </c>
      <c r="D277">
        <v>0.37</v>
      </c>
      <c r="E277">
        <v>6</v>
      </c>
    </row>
    <row r="278" spans="1:5" x14ac:dyDescent="0.25">
      <c r="A278" s="1">
        <v>41743</v>
      </c>
      <c r="B278" s="1">
        <v>41761</v>
      </c>
      <c r="C278">
        <v>11.42</v>
      </c>
      <c r="D278">
        <v>0.3</v>
      </c>
      <c r="E278">
        <v>5</v>
      </c>
    </row>
    <row r="279" spans="1:5" x14ac:dyDescent="0.25">
      <c r="A279" s="1">
        <v>41743</v>
      </c>
      <c r="B279" s="1">
        <v>41762</v>
      </c>
      <c r="C279">
        <v>16.829999999999998</v>
      </c>
      <c r="D279">
        <v>0.44</v>
      </c>
      <c r="E279">
        <v>5</v>
      </c>
    </row>
    <row r="280" spans="1:5" x14ac:dyDescent="0.25">
      <c r="A280" s="1">
        <v>41743</v>
      </c>
      <c r="B280" s="1">
        <v>41768</v>
      </c>
      <c r="C280">
        <v>9.06</v>
      </c>
      <c r="D280">
        <v>0.24</v>
      </c>
      <c r="E280">
        <v>4</v>
      </c>
    </row>
    <row r="281" spans="1:5" x14ac:dyDescent="0.25">
      <c r="A281" s="1">
        <v>41743</v>
      </c>
      <c r="B281" s="1">
        <v>41755</v>
      </c>
      <c r="C281">
        <v>11.69</v>
      </c>
      <c r="D281">
        <v>0.31</v>
      </c>
      <c r="E281">
        <v>5</v>
      </c>
    </row>
    <row r="282" spans="1:5" x14ac:dyDescent="0.25">
      <c r="A282" s="1">
        <v>41747</v>
      </c>
      <c r="B282" s="1">
        <v>41772</v>
      </c>
      <c r="C282">
        <v>6.58</v>
      </c>
      <c r="D282">
        <v>0.17</v>
      </c>
      <c r="E282">
        <v>3</v>
      </c>
    </row>
    <row r="283" spans="1:5" x14ac:dyDescent="0.25">
      <c r="A283" s="1">
        <v>41749</v>
      </c>
      <c r="B283" s="1">
        <v>41755</v>
      </c>
      <c r="C283">
        <v>11.44</v>
      </c>
      <c r="D283">
        <v>0.3</v>
      </c>
      <c r="E283">
        <v>6</v>
      </c>
    </row>
    <row r="284" spans="1:5" x14ac:dyDescent="0.25">
      <c r="A284" s="1">
        <v>41749</v>
      </c>
      <c r="B284" s="1">
        <v>41763</v>
      </c>
      <c r="C284">
        <v>6.75</v>
      </c>
      <c r="D284">
        <v>0.18</v>
      </c>
      <c r="E284">
        <v>6</v>
      </c>
    </row>
    <row r="285" spans="1:5" x14ac:dyDescent="0.25">
      <c r="A285" s="1">
        <v>41752</v>
      </c>
      <c r="B285" s="1">
        <v>41771</v>
      </c>
      <c r="C285">
        <v>7.71</v>
      </c>
      <c r="D285">
        <v>0.2</v>
      </c>
      <c r="E285">
        <v>5</v>
      </c>
    </row>
    <row r="286" spans="1:5" x14ac:dyDescent="0.25">
      <c r="A286" s="1">
        <v>41752</v>
      </c>
      <c r="B286" s="1">
        <v>41754</v>
      </c>
      <c r="C286">
        <v>6.75</v>
      </c>
      <c r="D286">
        <v>0.18</v>
      </c>
      <c r="E286">
        <v>4</v>
      </c>
    </row>
    <row r="287" spans="1:5" x14ac:dyDescent="0.25">
      <c r="A287" s="1">
        <v>41753</v>
      </c>
      <c r="B287" s="1">
        <v>41758</v>
      </c>
      <c r="C287">
        <v>3.57</v>
      </c>
      <c r="D287">
        <v>0.09</v>
      </c>
      <c r="E287">
        <v>2</v>
      </c>
    </row>
    <row r="288" spans="1:5" x14ac:dyDescent="0.25">
      <c r="A288" s="1">
        <v>41755</v>
      </c>
      <c r="B288" s="1">
        <v>41782</v>
      </c>
      <c r="C288">
        <v>10.19</v>
      </c>
      <c r="D288">
        <v>0.27</v>
      </c>
      <c r="E288">
        <v>3</v>
      </c>
    </row>
    <row r="289" spans="1:5" x14ac:dyDescent="0.25">
      <c r="A289" s="1">
        <v>41755</v>
      </c>
      <c r="B289" s="1">
        <v>41779</v>
      </c>
      <c r="C289">
        <v>11.78</v>
      </c>
      <c r="D289">
        <v>0.31</v>
      </c>
      <c r="E289">
        <v>3</v>
      </c>
    </row>
    <row r="290" spans="1:5" x14ac:dyDescent="0.25">
      <c r="A290" s="1">
        <v>41755</v>
      </c>
      <c r="B290" s="1">
        <v>41771</v>
      </c>
      <c r="C290">
        <v>3.79</v>
      </c>
      <c r="D290">
        <v>0.1</v>
      </c>
      <c r="E290">
        <v>3</v>
      </c>
    </row>
    <row r="291" spans="1:5" x14ac:dyDescent="0.25">
      <c r="A291" s="1">
        <v>41755</v>
      </c>
      <c r="B291" s="1">
        <v>41761</v>
      </c>
      <c r="C291">
        <v>6.75</v>
      </c>
      <c r="D291">
        <v>0.18</v>
      </c>
      <c r="E291">
        <v>6</v>
      </c>
    </row>
    <row r="292" spans="1:5" x14ac:dyDescent="0.25">
      <c r="A292" s="1">
        <v>41755</v>
      </c>
      <c r="B292" s="1">
        <v>41767</v>
      </c>
      <c r="C292">
        <v>12.01</v>
      </c>
      <c r="D292">
        <v>0.32</v>
      </c>
      <c r="E292">
        <v>2</v>
      </c>
    </row>
    <row r="293" spans="1:5" x14ac:dyDescent="0.25">
      <c r="A293" s="1">
        <v>41755</v>
      </c>
      <c r="B293" s="1">
        <v>41764</v>
      </c>
      <c r="C293">
        <v>2.0099999999999998</v>
      </c>
      <c r="D293">
        <v>0.05</v>
      </c>
      <c r="E293">
        <v>2</v>
      </c>
    </row>
    <row r="294" spans="1:5" x14ac:dyDescent="0.25">
      <c r="A294" s="1">
        <v>41757</v>
      </c>
      <c r="B294" s="1">
        <v>41768</v>
      </c>
      <c r="C294">
        <v>9.06</v>
      </c>
      <c r="D294">
        <v>0.24</v>
      </c>
      <c r="E294">
        <v>5</v>
      </c>
    </row>
    <row r="295" spans="1:5" x14ac:dyDescent="0.25">
      <c r="A295" s="1">
        <v>41761</v>
      </c>
      <c r="B295" s="1">
        <v>41786</v>
      </c>
      <c r="C295">
        <v>13.81</v>
      </c>
      <c r="D295">
        <v>0.36</v>
      </c>
      <c r="E295">
        <v>3</v>
      </c>
    </row>
    <row r="296" spans="1:5" x14ac:dyDescent="0.25">
      <c r="A296" s="1">
        <v>41761</v>
      </c>
      <c r="B296" s="1">
        <v>41782</v>
      </c>
      <c r="C296">
        <v>5.47</v>
      </c>
      <c r="D296">
        <v>0.14000000000000001</v>
      </c>
      <c r="E296">
        <v>3</v>
      </c>
    </row>
    <row r="297" spans="1:5" x14ac:dyDescent="0.25">
      <c r="A297" s="1">
        <v>41761</v>
      </c>
      <c r="B297" s="1">
        <v>41777</v>
      </c>
      <c r="C297">
        <v>9.06</v>
      </c>
      <c r="D297">
        <v>0.24</v>
      </c>
      <c r="E297">
        <v>5</v>
      </c>
    </row>
    <row r="298" spans="1:5" x14ac:dyDescent="0.25">
      <c r="A298" s="1">
        <v>41764</v>
      </c>
      <c r="B298" s="1">
        <v>41780</v>
      </c>
      <c r="C298">
        <v>8.39</v>
      </c>
      <c r="D298">
        <v>0.22</v>
      </c>
      <c r="E298">
        <v>5</v>
      </c>
    </row>
    <row r="299" spans="1:5" x14ac:dyDescent="0.25">
      <c r="A299" s="1">
        <v>41764</v>
      </c>
      <c r="B299" s="1">
        <v>41776</v>
      </c>
      <c r="C299">
        <v>3.73</v>
      </c>
      <c r="D299">
        <v>0.1</v>
      </c>
      <c r="E299">
        <v>5</v>
      </c>
    </row>
    <row r="300" spans="1:5" x14ac:dyDescent="0.25">
      <c r="A300" s="1">
        <v>41765</v>
      </c>
      <c r="B300" s="1">
        <v>41773</v>
      </c>
      <c r="C300">
        <v>7.31</v>
      </c>
      <c r="D300">
        <v>0.19</v>
      </c>
      <c r="E300">
        <v>4</v>
      </c>
    </row>
    <row r="301" spans="1:5" x14ac:dyDescent="0.25">
      <c r="A301" s="1">
        <v>41767</v>
      </c>
      <c r="B301" s="1">
        <v>41780</v>
      </c>
      <c r="C301">
        <v>14.31</v>
      </c>
      <c r="D301">
        <v>0.38</v>
      </c>
      <c r="E301">
        <v>6</v>
      </c>
    </row>
    <row r="302" spans="1:5" x14ac:dyDescent="0.25">
      <c r="A302" s="1">
        <v>41767</v>
      </c>
      <c r="B302" s="1">
        <v>41794</v>
      </c>
      <c r="C302">
        <v>14.13</v>
      </c>
      <c r="D302">
        <v>0.37</v>
      </c>
      <c r="E302">
        <v>4</v>
      </c>
    </row>
    <row r="303" spans="1:5" x14ac:dyDescent="0.25">
      <c r="A303" s="1">
        <v>41767</v>
      </c>
      <c r="B303" s="1">
        <v>41777</v>
      </c>
      <c r="C303">
        <v>3.88</v>
      </c>
      <c r="D303">
        <v>0.1</v>
      </c>
      <c r="E303">
        <v>5</v>
      </c>
    </row>
    <row r="304" spans="1:5" x14ac:dyDescent="0.25">
      <c r="A304" s="1">
        <v>41767</v>
      </c>
      <c r="B304" s="1">
        <v>41769</v>
      </c>
      <c r="C304">
        <v>7.35</v>
      </c>
      <c r="D304">
        <v>0.19</v>
      </c>
      <c r="E304">
        <v>6</v>
      </c>
    </row>
    <row r="305" spans="1:5" x14ac:dyDescent="0.25">
      <c r="A305" s="1">
        <v>41767</v>
      </c>
      <c r="B305" s="1">
        <v>41776</v>
      </c>
      <c r="C305">
        <v>12.01</v>
      </c>
      <c r="D305">
        <v>0.32</v>
      </c>
      <c r="E305">
        <v>4</v>
      </c>
    </row>
    <row r="306" spans="1:5" x14ac:dyDescent="0.25">
      <c r="A306" s="1">
        <v>41767</v>
      </c>
      <c r="B306" s="1">
        <v>41775</v>
      </c>
      <c r="C306">
        <v>13.07</v>
      </c>
      <c r="D306">
        <v>0.34</v>
      </c>
      <c r="E306">
        <v>3</v>
      </c>
    </row>
    <row r="307" spans="1:5" x14ac:dyDescent="0.25">
      <c r="A307" s="1">
        <v>41773</v>
      </c>
      <c r="B307" s="1">
        <v>41789</v>
      </c>
      <c r="C307">
        <v>7.35</v>
      </c>
      <c r="D307">
        <v>0.19</v>
      </c>
      <c r="E307">
        <v>4</v>
      </c>
    </row>
    <row r="308" spans="1:5" x14ac:dyDescent="0.25">
      <c r="A308" s="1">
        <v>41773</v>
      </c>
      <c r="B308" s="1">
        <v>41776</v>
      </c>
      <c r="C308">
        <v>11.37</v>
      </c>
      <c r="D308">
        <v>0.3</v>
      </c>
      <c r="E308">
        <v>2</v>
      </c>
    </row>
    <row r="309" spans="1:5" x14ac:dyDescent="0.25">
      <c r="A309" s="1">
        <v>41773</v>
      </c>
      <c r="B309" s="1">
        <v>41778</v>
      </c>
      <c r="C309">
        <v>13.81</v>
      </c>
      <c r="D309">
        <v>0.36</v>
      </c>
      <c r="E309">
        <v>3</v>
      </c>
    </row>
    <row r="310" spans="1:5" x14ac:dyDescent="0.25">
      <c r="A310" s="1">
        <v>41773</v>
      </c>
      <c r="B310" s="1">
        <v>41780</v>
      </c>
      <c r="C310">
        <v>5.64</v>
      </c>
      <c r="D310">
        <v>0.15</v>
      </c>
      <c r="E310">
        <v>6</v>
      </c>
    </row>
    <row r="311" spans="1:5" x14ac:dyDescent="0.25">
      <c r="A311" s="1">
        <v>41773</v>
      </c>
      <c r="B311" s="1">
        <v>41782</v>
      </c>
      <c r="C311">
        <v>7.55</v>
      </c>
      <c r="D311">
        <v>0.2</v>
      </c>
      <c r="E311">
        <v>2</v>
      </c>
    </row>
    <row r="312" spans="1:5" x14ac:dyDescent="0.25">
      <c r="A312" s="1">
        <v>41773</v>
      </c>
      <c r="B312" s="1">
        <v>41787</v>
      </c>
      <c r="C312">
        <v>5.23</v>
      </c>
      <c r="D312">
        <v>0.14000000000000001</v>
      </c>
      <c r="E312">
        <v>3</v>
      </c>
    </row>
    <row r="313" spans="1:5" x14ac:dyDescent="0.25">
      <c r="A313" s="1">
        <v>41773</v>
      </c>
      <c r="B313" s="1">
        <v>41791</v>
      </c>
      <c r="C313">
        <v>7.55</v>
      </c>
      <c r="D313">
        <v>0.2</v>
      </c>
      <c r="E313">
        <v>2</v>
      </c>
    </row>
    <row r="314" spans="1:5" x14ac:dyDescent="0.25">
      <c r="A314" s="1">
        <v>41779</v>
      </c>
      <c r="B314" s="1">
        <v>41792</v>
      </c>
      <c r="C314">
        <v>8.89</v>
      </c>
      <c r="D314">
        <v>0.23</v>
      </c>
      <c r="E314">
        <v>3</v>
      </c>
    </row>
    <row r="315" spans="1:5" x14ac:dyDescent="0.25">
      <c r="A315" s="1">
        <v>41779</v>
      </c>
      <c r="B315" s="1">
        <v>41803</v>
      </c>
      <c r="C315">
        <v>8.65</v>
      </c>
      <c r="D315">
        <v>0.23</v>
      </c>
      <c r="E315">
        <v>3</v>
      </c>
    </row>
    <row r="316" spans="1:5" x14ac:dyDescent="0.25">
      <c r="A316" s="1">
        <v>41779</v>
      </c>
      <c r="B316" s="1">
        <v>41788</v>
      </c>
      <c r="C316">
        <v>7.3</v>
      </c>
      <c r="D316">
        <v>0.19</v>
      </c>
      <c r="E316">
        <v>6</v>
      </c>
    </row>
    <row r="317" spans="1:5" x14ac:dyDescent="0.25">
      <c r="A317" s="1">
        <v>41779</v>
      </c>
      <c r="B317" s="1">
        <v>41801</v>
      </c>
      <c r="C317">
        <v>10.59</v>
      </c>
      <c r="D317">
        <v>0.28000000000000003</v>
      </c>
      <c r="E317">
        <v>5</v>
      </c>
    </row>
    <row r="318" spans="1:5" x14ac:dyDescent="0.25">
      <c r="A318" s="1">
        <v>41779</v>
      </c>
      <c r="B318" s="1">
        <v>41789</v>
      </c>
      <c r="C318">
        <v>11.37</v>
      </c>
      <c r="D318">
        <v>0.3</v>
      </c>
      <c r="E318">
        <v>5</v>
      </c>
    </row>
    <row r="319" spans="1:5" x14ac:dyDescent="0.25">
      <c r="A319" s="1">
        <v>41779</v>
      </c>
      <c r="B319" s="1">
        <v>41793</v>
      </c>
      <c r="C319">
        <v>10.79</v>
      </c>
      <c r="D319">
        <v>0.28000000000000003</v>
      </c>
      <c r="E319">
        <v>4</v>
      </c>
    </row>
    <row r="320" spans="1:5" x14ac:dyDescent="0.25">
      <c r="A320" s="1">
        <v>41785</v>
      </c>
      <c r="B320" s="1">
        <v>41793</v>
      </c>
      <c r="C320">
        <v>11.44</v>
      </c>
      <c r="D320">
        <v>0.3</v>
      </c>
      <c r="E320">
        <v>4</v>
      </c>
    </row>
    <row r="321" spans="1:5" x14ac:dyDescent="0.25">
      <c r="A321" s="1">
        <v>41785</v>
      </c>
      <c r="B321" s="1">
        <v>41796</v>
      </c>
      <c r="C321">
        <v>13.07</v>
      </c>
      <c r="D321">
        <v>0.34</v>
      </c>
      <c r="E321">
        <v>2</v>
      </c>
    </row>
    <row r="322" spans="1:5" x14ac:dyDescent="0.25">
      <c r="A322" s="1">
        <v>41785</v>
      </c>
      <c r="B322" s="1">
        <v>41801</v>
      </c>
      <c r="C322">
        <v>5.57</v>
      </c>
      <c r="D322">
        <v>0.15</v>
      </c>
      <c r="E322">
        <v>6</v>
      </c>
    </row>
    <row r="323" spans="1:5" x14ac:dyDescent="0.25">
      <c r="A323" s="1">
        <v>41785</v>
      </c>
      <c r="B323" s="1">
        <v>41787</v>
      </c>
      <c r="C323">
        <v>11.78</v>
      </c>
      <c r="D323">
        <v>0.31</v>
      </c>
      <c r="E323">
        <v>5</v>
      </c>
    </row>
    <row r="324" spans="1:5" x14ac:dyDescent="0.25">
      <c r="A324" s="1">
        <v>41785</v>
      </c>
      <c r="B324" s="1">
        <v>41788</v>
      </c>
      <c r="C324">
        <v>11.78</v>
      </c>
      <c r="D324">
        <v>0.31</v>
      </c>
      <c r="E324">
        <v>2</v>
      </c>
    </row>
    <row r="325" spans="1:5" x14ac:dyDescent="0.25">
      <c r="A325" s="1">
        <v>41785</v>
      </c>
      <c r="B325" s="1">
        <v>41802</v>
      </c>
      <c r="C325">
        <v>9.74</v>
      </c>
      <c r="D325">
        <v>0.26</v>
      </c>
      <c r="E325">
        <v>3</v>
      </c>
    </row>
    <row r="326" spans="1:5" x14ac:dyDescent="0.25">
      <c r="A326" s="1">
        <v>41791</v>
      </c>
      <c r="B326" s="1">
        <v>41818</v>
      </c>
      <c r="C326">
        <v>12.01</v>
      </c>
      <c r="D326">
        <v>0.32</v>
      </c>
      <c r="E326">
        <v>6</v>
      </c>
    </row>
    <row r="327" spans="1:5" x14ac:dyDescent="0.25">
      <c r="A327" s="1">
        <v>41791</v>
      </c>
      <c r="B327" s="1">
        <v>41798</v>
      </c>
      <c r="C327">
        <v>9.4600000000000009</v>
      </c>
      <c r="D327">
        <v>0.25</v>
      </c>
      <c r="E327">
        <v>3</v>
      </c>
    </row>
    <row r="328" spans="1:5" x14ac:dyDescent="0.25">
      <c r="A328" s="1">
        <v>41791</v>
      </c>
      <c r="B328" s="1">
        <v>41795</v>
      </c>
      <c r="C328">
        <v>11.37</v>
      </c>
      <c r="D328">
        <v>0.3</v>
      </c>
      <c r="E328">
        <v>6</v>
      </c>
    </row>
    <row r="329" spans="1:5" x14ac:dyDescent="0.25">
      <c r="A329" s="1">
        <v>41791</v>
      </c>
      <c r="B329" s="1">
        <v>41807</v>
      </c>
      <c r="C329">
        <v>5.78</v>
      </c>
      <c r="D329">
        <v>0.15</v>
      </c>
      <c r="E329">
        <v>3</v>
      </c>
    </row>
    <row r="330" spans="1:5" x14ac:dyDescent="0.25">
      <c r="A330" s="1">
        <v>41791</v>
      </c>
      <c r="B330" s="1">
        <v>41812</v>
      </c>
      <c r="C330">
        <v>12.01</v>
      </c>
      <c r="D330">
        <v>0.32</v>
      </c>
      <c r="E330">
        <v>5</v>
      </c>
    </row>
    <row r="331" spans="1:5" x14ac:dyDescent="0.25">
      <c r="A331" s="1">
        <v>41791</v>
      </c>
      <c r="B331" s="1">
        <v>41815</v>
      </c>
      <c r="C331">
        <v>7.55</v>
      </c>
      <c r="D331">
        <v>0.2</v>
      </c>
      <c r="E331">
        <v>5</v>
      </c>
    </row>
    <row r="332" spans="1:5" x14ac:dyDescent="0.25">
      <c r="A332" s="1">
        <v>41791</v>
      </c>
      <c r="B332" s="1">
        <v>41794</v>
      </c>
      <c r="C332">
        <v>9.74</v>
      </c>
      <c r="D332">
        <v>0.26</v>
      </c>
      <c r="E332">
        <v>3</v>
      </c>
    </row>
    <row r="333" spans="1:5" x14ac:dyDescent="0.25">
      <c r="A333" s="1">
        <v>41792</v>
      </c>
      <c r="B333" s="1">
        <v>41802</v>
      </c>
      <c r="C333">
        <v>2.72</v>
      </c>
      <c r="D333">
        <v>7.0000000000000007E-2</v>
      </c>
      <c r="E333">
        <v>2</v>
      </c>
    </row>
    <row r="334" spans="1:5" x14ac:dyDescent="0.25">
      <c r="A334" s="1">
        <v>41792</v>
      </c>
      <c r="B334" s="1">
        <v>41801</v>
      </c>
      <c r="C334">
        <v>3.57</v>
      </c>
      <c r="D334">
        <v>0.09</v>
      </c>
      <c r="E334">
        <v>3</v>
      </c>
    </row>
    <row r="335" spans="1:5" x14ac:dyDescent="0.25">
      <c r="A335" s="1">
        <v>41792</v>
      </c>
      <c r="B335" s="1">
        <v>41813</v>
      </c>
      <c r="C335">
        <v>7.55</v>
      </c>
      <c r="D335">
        <v>0.2</v>
      </c>
      <c r="E335">
        <v>6</v>
      </c>
    </row>
    <row r="336" spans="1:5" x14ac:dyDescent="0.25">
      <c r="A336" s="1">
        <v>41792</v>
      </c>
      <c r="B336" s="1">
        <v>41812</v>
      </c>
      <c r="C336">
        <v>3.57</v>
      </c>
      <c r="D336">
        <v>0.09</v>
      </c>
      <c r="E336">
        <v>2</v>
      </c>
    </row>
    <row r="337" spans="1:5" x14ac:dyDescent="0.25">
      <c r="A337" s="1">
        <v>41793</v>
      </c>
      <c r="B337" s="1">
        <v>41803</v>
      </c>
      <c r="C337">
        <v>2.29</v>
      </c>
      <c r="D337">
        <v>0.06</v>
      </c>
      <c r="E337">
        <v>5</v>
      </c>
    </row>
    <row r="338" spans="1:5" x14ac:dyDescent="0.25">
      <c r="A338" s="1">
        <v>41793</v>
      </c>
      <c r="B338" s="1">
        <v>41817</v>
      </c>
      <c r="C338">
        <v>9.06</v>
      </c>
      <c r="D338">
        <v>0.24</v>
      </c>
      <c r="E338">
        <v>4</v>
      </c>
    </row>
    <row r="339" spans="1:5" x14ac:dyDescent="0.25">
      <c r="A339" s="1">
        <v>41794</v>
      </c>
      <c r="B339" s="1">
        <v>41798</v>
      </c>
      <c r="C339">
        <v>4.25</v>
      </c>
      <c r="D339">
        <v>0.11</v>
      </c>
      <c r="E339">
        <v>2</v>
      </c>
    </row>
    <row r="340" spans="1:5" x14ac:dyDescent="0.25">
      <c r="A340" s="1">
        <v>41794</v>
      </c>
      <c r="B340" s="1">
        <v>41804</v>
      </c>
      <c r="C340">
        <v>7.31</v>
      </c>
      <c r="D340">
        <v>0.19</v>
      </c>
      <c r="E340">
        <v>6</v>
      </c>
    </row>
    <row r="341" spans="1:5" x14ac:dyDescent="0.25">
      <c r="A341" s="1">
        <v>41794</v>
      </c>
      <c r="B341" s="1">
        <v>41800</v>
      </c>
      <c r="C341">
        <v>9.06</v>
      </c>
      <c r="D341">
        <v>0.24</v>
      </c>
      <c r="E341">
        <v>2</v>
      </c>
    </row>
    <row r="342" spans="1:5" x14ac:dyDescent="0.25">
      <c r="A342" s="1">
        <v>41795</v>
      </c>
      <c r="B342" s="1">
        <v>41799</v>
      </c>
      <c r="C342">
        <v>6.43</v>
      </c>
      <c r="D342">
        <v>0.17</v>
      </c>
      <c r="E342">
        <v>3</v>
      </c>
    </row>
    <row r="343" spans="1:5" x14ac:dyDescent="0.25">
      <c r="A343" s="1">
        <v>41797</v>
      </c>
      <c r="B343" s="1">
        <v>41808</v>
      </c>
      <c r="C343">
        <v>2.0099999999999998</v>
      </c>
      <c r="D343">
        <v>0.05</v>
      </c>
      <c r="E343">
        <v>3</v>
      </c>
    </row>
    <row r="344" spans="1:5" x14ac:dyDescent="0.25">
      <c r="A344" s="1">
        <v>41797</v>
      </c>
      <c r="B344" s="1">
        <v>41802</v>
      </c>
      <c r="C344">
        <v>8.51</v>
      </c>
      <c r="D344">
        <v>0.22</v>
      </c>
      <c r="E344">
        <v>3</v>
      </c>
    </row>
    <row r="345" spans="1:5" x14ac:dyDescent="0.25">
      <c r="A345" s="1">
        <v>41797</v>
      </c>
      <c r="B345" s="1">
        <v>41817</v>
      </c>
      <c r="C345">
        <v>16.55</v>
      </c>
      <c r="D345">
        <v>0.44</v>
      </c>
      <c r="E345">
        <v>4</v>
      </c>
    </row>
    <row r="346" spans="1:5" x14ac:dyDescent="0.25">
      <c r="A346" s="1">
        <v>41797</v>
      </c>
      <c r="B346" s="1">
        <v>41804</v>
      </c>
      <c r="C346">
        <v>9.1300000000000008</v>
      </c>
      <c r="D346">
        <v>0.24</v>
      </c>
      <c r="E346">
        <v>3</v>
      </c>
    </row>
    <row r="347" spans="1:5" x14ac:dyDescent="0.25">
      <c r="A347" s="1">
        <v>41797</v>
      </c>
      <c r="B347" s="1">
        <v>41816</v>
      </c>
      <c r="C347">
        <v>10.199999999999999</v>
      </c>
      <c r="D347">
        <v>0.27</v>
      </c>
      <c r="E347">
        <v>5</v>
      </c>
    </row>
    <row r="348" spans="1:5" x14ac:dyDescent="0.25">
      <c r="A348" s="1">
        <v>41799</v>
      </c>
      <c r="B348" s="1">
        <v>41823</v>
      </c>
      <c r="C348">
        <v>6.23</v>
      </c>
      <c r="D348">
        <v>0.16</v>
      </c>
      <c r="E348">
        <v>2</v>
      </c>
    </row>
    <row r="349" spans="1:5" x14ac:dyDescent="0.25">
      <c r="A349" s="1">
        <v>41803</v>
      </c>
      <c r="B349" s="1">
        <v>41827</v>
      </c>
      <c r="C349">
        <v>8.51</v>
      </c>
      <c r="D349">
        <v>0.22</v>
      </c>
      <c r="E349">
        <v>3</v>
      </c>
    </row>
    <row r="350" spans="1:5" x14ac:dyDescent="0.25">
      <c r="A350" s="1">
        <v>41803</v>
      </c>
      <c r="B350" s="1">
        <v>41811</v>
      </c>
      <c r="C350">
        <v>13.82</v>
      </c>
      <c r="D350">
        <v>0.36</v>
      </c>
      <c r="E350">
        <v>4</v>
      </c>
    </row>
    <row r="351" spans="1:5" x14ac:dyDescent="0.25">
      <c r="A351" s="1">
        <v>41803</v>
      </c>
      <c r="B351" s="1">
        <v>41825</v>
      </c>
      <c r="C351">
        <v>6.34</v>
      </c>
      <c r="D351">
        <v>0.17</v>
      </c>
      <c r="E351">
        <v>6</v>
      </c>
    </row>
    <row r="352" spans="1:5" x14ac:dyDescent="0.25">
      <c r="A352" s="1">
        <v>41803</v>
      </c>
      <c r="B352" s="1">
        <v>41829</v>
      </c>
      <c r="C352">
        <v>10.19</v>
      </c>
      <c r="D352">
        <v>0.27</v>
      </c>
      <c r="E352">
        <v>6</v>
      </c>
    </row>
    <row r="353" spans="1:5" x14ac:dyDescent="0.25">
      <c r="A353" s="1">
        <v>41803</v>
      </c>
      <c r="B353" s="1">
        <v>41805</v>
      </c>
      <c r="C353">
        <v>14</v>
      </c>
      <c r="D353">
        <v>0.37</v>
      </c>
      <c r="E353">
        <v>3</v>
      </c>
    </row>
    <row r="354" spans="1:5" x14ac:dyDescent="0.25">
      <c r="A354" s="1">
        <v>41803</v>
      </c>
      <c r="B354" s="1">
        <v>41814</v>
      </c>
      <c r="C354">
        <v>14</v>
      </c>
      <c r="D354">
        <v>0.37</v>
      </c>
      <c r="E354">
        <v>4</v>
      </c>
    </row>
    <row r="355" spans="1:5" x14ac:dyDescent="0.25">
      <c r="A355" s="1">
        <v>41803</v>
      </c>
      <c r="B355" s="1">
        <v>41816</v>
      </c>
      <c r="C355">
        <v>10.19</v>
      </c>
      <c r="D355">
        <v>0.27</v>
      </c>
      <c r="E355">
        <v>2</v>
      </c>
    </row>
    <row r="356" spans="1:5" x14ac:dyDescent="0.25">
      <c r="A356" s="1">
        <v>41803</v>
      </c>
      <c r="B356" s="1">
        <v>41818</v>
      </c>
      <c r="C356">
        <v>8.89</v>
      </c>
      <c r="D356">
        <v>0.23</v>
      </c>
      <c r="E356">
        <v>5</v>
      </c>
    </row>
    <row r="357" spans="1:5" x14ac:dyDescent="0.25">
      <c r="A357" s="1">
        <v>41803</v>
      </c>
      <c r="B357" s="1">
        <v>41814</v>
      </c>
      <c r="C357">
        <v>11.44</v>
      </c>
      <c r="D357">
        <v>0.3</v>
      </c>
      <c r="E357">
        <v>6</v>
      </c>
    </row>
    <row r="358" spans="1:5" x14ac:dyDescent="0.25">
      <c r="A358" s="1">
        <v>41803</v>
      </c>
      <c r="B358" s="1">
        <v>41827</v>
      </c>
      <c r="C358">
        <v>10.93</v>
      </c>
      <c r="D358">
        <v>0.28999999999999998</v>
      </c>
      <c r="E358">
        <v>2</v>
      </c>
    </row>
    <row r="359" spans="1:5" x14ac:dyDescent="0.25">
      <c r="A359" s="1">
        <v>41803</v>
      </c>
      <c r="B359" s="1">
        <v>41822</v>
      </c>
      <c r="C359">
        <v>6.34</v>
      </c>
      <c r="D359">
        <v>0.17</v>
      </c>
      <c r="E359">
        <v>4</v>
      </c>
    </row>
    <row r="360" spans="1:5" x14ac:dyDescent="0.25">
      <c r="A360" s="1">
        <v>41803</v>
      </c>
      <c r="B360" s="1">
        <v>41813</v>
      </c>
      <c r="C360">
        <v>5.67</v>
      </c>
      <c r="D360">
        <v>0.15</v>
      </c>
      <c r="E360">
        <v>5</v>
      </c>
    </row>
    <row r="361" spans="1:5" x14ac:dyDescent="0.25">
      <c r="A361" s="1">
        <v>41803</v>
      </c>
      <c r="B361" s="1">
        <v>41821</v>
      </c>
      <c r="C361">
        <v>8.51</v>
      </c>
      <c r="D361">
        <v>0.22</v>
      </c>
      <c r="E361">
        <v>6</v>
      </c>
    </row>
    <row r="362" spans="1:5" x14ac:dyDescent="0.25">
      <c r="A362" s="1">
        <v>41803</v>
      </c>
      <c r="B362" s="1">
        <v>41817</v>
      </c>
      <c r="C362">
        <v>16.829999999999998</v>
      </c>
      <c r="D362">
        <v>0.44</v>
      </c>
      <c r="E362">
        <v>5</v>
      </c>
    </row>
    <row r="363" spans="1:5" x14ac:dyDescent="0.25">
      <c r="A363" s="1">
        <v>41803</v>
      </c>
      <c r="B363" s="1">
        <v>41814</v>
      </c>
      <c r="C363">
        <v>11.69</v>
      </c>
      <c r="D363">
        <v>0.31</v>
      </c>
      <c r="E363">
        <v>5</v>
      </c>
    </row>
    <row r="364" spans="1:5" x14ac:dyDescent="0.25">
      <c r="A364" s="1">
        <v>41806</v>
      </c>
      <c r="B364" s="1">
        <v>41808</v>
      </c>
      <c r="C364">
        <v>7.71</v>
      </c>
      <c r="D364">
        <v>0.2</v>
      </c>
      <c r="E364">
        <v>3</v>
      </c>
    </row>
    <row r="365" spans="1:5" x14ac:dyDescent="0.25">
      <c r="A365" s="1">
        <v>41806</v>
      </c>
      <c r="B365" s="1">
        <v>41834</v>
      </c>
      <c r="C365">
        <v>5.67</v>
      </c>
      <c r="D365">
        <v>0.15</v>
      </c>
      <c r="E365">
        <v>5</v>
      </c>
    </row>
    <row r="366" spans="1:5" x14ac:dyDescent="0.25">
      <c r="A366" s="1">
        <v>41809</v>
      </c>
      <c r="B366" s="1">
        <v>41837</v>
      </c>
      <c r="C366">
        <v>7.3</v>
      </c>
      <c r="D366">
        <v>0.19</v>
      </c>
      <c r="E366">
        <v>6</v>
      </c>
    </row>
    <row r="367" spans="1:5" x14ac:dyDescent="0.25">
      <c r="A367" s="1">
        <v>41809</v>
      </c>
      <c r="B367" s="1">
        <v>41813</v>
      </c>
      <c r="C367">
        <v>5.64</v>
      </c>
      <c r="D367">
        <v>0.15</v>
      </c>
      <c r="E367">
        <v>5</v>
      </c>
    </row>
    <row r="368" spans="1:5" x14ac:dyDescent="0.25">
      <c r="A368" s="1">
        <v>41809</v>
      </c>
      <c r="B368" s="1">
        <v>41815</v>
      </c>
      <c r="C368">
        <v>10.79</v>
      </c>
      <c r="D368">
        <v>0.28000000000000003</v>
      </c>
      <c r="E368">
        <v>5</v>
      </c>
    </row>
    <row r="369" spans="1:5" x14ac:dyDescent="0.25">
      <c r="A369" s="1">
        <v>41809</v>
      </c>
      <c r="B369" s="1">
        <v>41830</v>
      </c>
      <c r="C369">
        <v>10.199999999999999</v>
      </c>
      <c r="D369">
        <v>0.27</v>
      </c>
      <c r="E369">
        <v>6</v>
      </c>
    </row>
    <row r="370" spans="1:5" x14ac:dyDescent="0.25">
      <c r="A370" s="1">
        <v>41809</v>
      </c>
      <c r="B370" s="1">
        <v>41821</v>
      </c>
      <c r="C370">
        <v>16.55</v>
      </c>
      <c r="D370">
        <v>0.44</v>
      </c>
      <c r="E370">
        <v>3</v>
      </c>
    </row>
    <row r="371" spans="1:5" x14ac:dyDescent="0.25">
      <c r="A371" s="1">
        <v>41809</v>
      </c>
      <c r="B371" s="1">
        <v>41829</v>
      </c>
      <c r="C371">
        <v>8.9499999999999993</v>
      </c>
      <c r="D371">
        <v>0.24</v>
      </c>
      <c r="E371">
        <v>6</v>
      </c>
    </row>
    <row r="372" spans="1:5" x14ac:dyDescent="0.25">
      <c r="A372" s="1">
        <v>41815</v>
      </c>
      <c r="B372" s="1">
        <v>41825</v>
      </c>
      <c r="C372">
        <v>5.64</v>
      </c>
      <c r="D372">
        <v>0.15</v>
      </c>
      <c r="E372">
        <v>4</v>
      </c>
    </row>
    <row r="373" spans="1:5" x14ac:dyDescent="0.25">
      <c r="A373" s="1">
        <v>41815</v>
      </c>
      <c r="B373" s="1">
        <v>41840</v>
      </c>
      <c r="C373">
        <v>6.34</v>
      </c>
      <c r="D373">
        <v>0.17</v>
      </c>
      <c r="E373">
        <v>3</v>
      </c>
    </row>
    <row r="374" spans="1:5" x14ac:dyDescent="0.25">
      <c r="A374" s="1">
        <v>41815</v>
      </c>
      <c r="B374" s="1">
        <v>41832</v>
      </c>
      <c r="C374">
        <v>11.69</v>
      </c>
      <c r="D374">
        <v>0.31</v>
      </c>
      <c r="E374">
        <v>6</v>
      </c>
    </row>
    <row r="375" spans="1:5" x14ac:dyDescent="0.25">
      <c r="A375" s="1">
        <v>41815</v>
      </c>
      <c r="B375" s="1">
        <v>41839</v>
      </c>
      <c r="C375">
        <v>11.42</v>
      </c>
      <c r="D375">
        <v>0.3</v>
      </c>
      <c r="E375">
        <v>5</v>
      </c>
    </row>
    <row r="376" spans="1:5" x14ac:dyDescent="0.25">
      <c r="A376" s="1">
        <v>41815</v>
      </c>
      <c r="B376" s="1">
        <v>41822</v>
      </c>
      <c r="C376">
        <v>8.5399999999999991</v>
      </c>
      <c r="D376">
        <v>0.22</v>
      </c>
      <c r="E376">
        <v>6</v>
      </c>
    </row>
    <row r="377" spans="1:5" x14ac:dyDescent="0.25">
      <c r="A377" s="1">
        <v>41815</v>
      </c>
      <c r="B377" s="1">
        <v>41831</v>
      </c>
      <c r="C377">
        <v>10.199999999999999</v>
      </c>
      <c r="D377">
        <v>0.27</v>
      </c>
      <c r="E377">
        <v>3</v>
      </c>
    </row>
    <row r="378" spans="1:5" x14ac:dyDescent="0.25">
      <c r="A378" s="1">
        <v>41815</v>
      </c>
      <c r="B378" s="1">
        <v>41833</v>
      </c>
      <c r="C378">
        <v>8.39</v>
      </c>
      <c r="D378">
        <v>0.22</v>
      </c>
      <c r="E378">
        <v>6</v>
      </c>
    </row>
    <row r="379" spans="1:5" x14ac:dyDescent="0.25">
      <c r="A379" s="1">
        <v>41815</v>
      </c>
      <c r="B379" s="1">
        <v>41826</v>
      </c>
      <c r="C379">
        <v>9.4600000000000009</v>
      </c>
      <c r="D379">
        <v>0.25</v>
      </c>
      <c r="E379">
        <v>4</v>
      </c>
    </row>
    <row r="380" spans="1:5" x14ac:dyDescent="0.25">
      <c r="A380" s="1">
        <v>41815</v>
      </c>
      <c r="B380" s="1">
        <v>41843</v>
      </c>
      <c r="C380">
        <v>11.37</v>
      </c>
      <c r="D380">
        <v>0.3</v>
      </c>
      <c r="E380">
        <v>5</v>
      </c>
    </row>
    <row r="381" spans="1:5" x14ac:dyDescent="0.25">
      <c r="A381" s="1">
        <v>41815</v>
      </c>
      <c r="B381" s="1">
        <v>41841</v>
      </c>
      <c r="C381">
        <v>3.79</v>
      </c>
      <c r="D381">
        <v>0.1</v>
      </c>
      <c r="E381">
        <v>5</v>
      </c>
    </row>
    <row r="382" spans="1:5" x14ac:dyDescent="0.25">
      <c r="A382" s="1">
        <v>41815</v>
      </c>
      <c r="B382" s="1">
        <v>41835</v>
      </c>
      <c r="C382">
        <v>8.84</v>
      </c>
      <c r="D382">
        <v>0.23</v>
      </c>
      <c r="E382">
        <v>2</v>
      </c>
    </row>
    <row r="383" spans="1:5" x14ac:dyDescent="0.25">
      <c r="A383" s="1">
        <v>41815</v>
      </c>
      <c r="B383" s="1">
        <v>41825</v>
      </c>
      <c r="C383">
        <v>19.54</v>
      </c>
      <c r="D383">
        <v>0.51</v>
      </c>
      <c r="E383">
        <v>4</v>
      </c>
    </row>
    <row r="384" spans="1:5" x14ac:dyDescent="0.25">
      <c r="A384" s="1">
        <v>41815</v>
      </c>
      <c r="B384" s="1">
        <v>41821</v>
      </c>
      <c r="C384">
        <v>3.79</v>
      </c>
      <c r="D384">
        <v>0.1</v>
      </c>
      <c r="E384">
        <v>5</v>
      </c>
    </row>
    <row r="385" spans="1:5" x14ac:dyDescent="0.25">
      <c r="A385" s="1">
        <v>41815</v>
      </c>
      <c r="B385" s="1">
        <v>41828</v>
      </c>
      <c r="C385">
        <v>9.74</v>
      </c>
      <c r="D385">
        <v>0.26</v>
      </c>
      <c r="E385">
        <v>6</v>
      </c>
    </row>
    <row r="386" spans="1:5" x14ac:dyDescent="0.25">
      <c r="A386" s="1">
        <v>41815</v>
      </c>
      <c r="B386" s="1">
        <v>41837</v>
      </c>
      <c r="C386">
        <v>10.199999999999999</v>
      </c>
      <c r="D386">
        <v>0.27</v>
      </c>
      <c r="E386">
        <v>2</v>
      </c>
    </row>
    <row r="387" spans="1:5" x14ac:dyDescent="0.25">
      <c r="A387" s="1">
        <v>41815</v>
      </c>
      <c r="B387" s="1">
        <v>41836</v>
      </c>
      <c r="C387">
        <v>3.88</v>
      </c>
      <c r="D387">
        <v>0.1</v>
      </c>
      <c r="E387">
        <v>4</v>
      </c>
    </row>
    <row r="388" spans="1:5" x14ac:dyDescent="0.25">
      <c r="A388" s="1">
        <v>41818</v>
      </c>
      <c r="B388" s="1">
        <v>41835</v>
      </c>
      <c r="C388">
        <v>4.66</v>
      </c>
      <c r="D388">
        <v>0.12</v>
      </c>
      <c r="E388">
        <v>4</v>
      </c>
    </row>
    <row r="389" spans="1:5" x14ac:dyDescent="0.25">
      <c r="A389" s="1">
        <v>41821</v>
      </c>
      <c r="B389" s="1">
        <v>41840</v>
      </c>
      <c r="C389">
        <v>16.55</v>
      </c>
      <c r="D389">
        <v>0.44</v>
      </c>
      <c r="E389">
        <v>6</v>
      </c>
    </row>
    <row r="390" spans="1:5" x14ac:dyDescent="0.25">
      <c r="A390" s="1">
        <v>41821</v>
      </c>
      <c r="B390" s="1">
        <v>41835</v>
      </c>
      <c r="C390">
        <v>13.81</v>
      </c>
      <c r="D390">
        <v>0.36</v>
      </c>
      <c r="E390">
        <v>3</v>
      </c>
    </row>
    <row r="391" spans="1:5" x14ac:dyDescent="0.25">
      <c r="A391" s="1">
        <v>41821</v>
      </c>
      <c r="B391" s="1">
        <v>41837</v>
      </c>
      <c r="C391">
        <v>8.51</v>
      </c>
      <c r="D391">
        <v>0.22</v>
      </c>
      <c r="E391">
        <v>5</v>
      </c>
    </row>
    <row r="392" spans="1:5" x14ac:dyDescent="0.25">
      <c r="A392" s="1">
        <v>41821</v>
      </c>
      <c r="B392" s="1">
        <v>41827</v>
      </c>
      <c r="C392">
        <v>8.65</v>
      </c>
      <c r="D392">
        <v>0.23</v>
      </c>
      <c r="E392">
        <v>2</v>
      </c>
    </row>
    <row r="393" spans="1:5" x14ac:dyDescent="0.25">
      <c r="A393" s="1">
        <v>41821</v>
      </c>
      <c r="B393" s="1">
        <v>41832</v>
      </c>
      <c r="C393">
        <v>11.69</v>
      </c>
      <c r="D393">
        <v>0.31</v>
      </c>
      <c r="E393">
        <v>4</v>
      </c>
    </row>
    <row r="394" spans="1:5" x14ac:dyDescent="0.25">
      <c r="A394" s="1">
        <v>41821</v>
      </c>
      <c r="B394" s="1">
        <v>41828</v>
      </c>
      <c r="C394">
        <v>7.06</v>
      </c>
      <c r="D394">
        <v>0.19</v>
      </c>
      <c r="E394">
        <v>3</v>
      </c>
    </row>
    <row r="395" spans="1:5" x14ac:dyDescent="0.25">
      <c r="A395" s="1">
        <v>41827</v>
      </c>
      <c r="B395" s="1">
        <v>41837</v>
      </c>
      <c r="C395">
        <v>11.44</v>
      </c>
      <c r="D395">
        <v>0.3</v>
      </c>
      <c r="E395">
        <v>5</v>
      </c>
    </row>
    <row r="396" spans="1:5" x14ac:dyDescent="0.25">
      <c r="A396" s="1">
        <v>41827</v>
      </c>
      <c r="B396" s="1">
        <v>41831</v>
      </c>
      <c r="C396">
        <v>8.9499999999999993</v>
      </c>
      <c r="D396">
        <v>0.24</v>
      </c>
      <c r="E396">
        <v>4</v>
      </c>
    </row>
    <row r="397" spans="1:5" x14ac:dyDescent="0.25">
      <c r="A397" s="1">
        <v>41827</v>
      </c>
      <c r="B397" s="1">
        <v>41847</v>
      </c>
      <c r="C397">
        <v>9.4600000000000009</v>
      </c>
      <c r="D397">
        <v>0.25</v>
      </c>
      <c r="E397">
        <v>6</v>
      </c>
    </row>
    <row r="398" spans="1:5" x14ac:dyDescent="0.25">
      <c r="A398" s="1">
        <v>41827</v>
      </c>
      <c r="B398" s="1">
        <v>41841</v>
      </c>
      <c r="C398">
        <v>5.23</v>
      </c>
      <c r="D398">
        <v>0.14000000000000001</v>
      </c>
      <c r="E398">
        <v>3</v>
      </c>
    </row>
    <row r="399" spans="1:5" x14ac:dyDescent="0.25">
      <c r="A399" s="1">
        <v>41827</v>
      </c>
      <c r="B399" s="1">
        <v>41847</v>
      </c>
      <c r="C399">
        <v>11.78</v>
      </c>
      <c r="D399">
        <v>0.31</v>
      </c>
      <c r="E399">
        <v>4</v>
      </c>
    </row>
    <row r="400" spans="1:5" x14ac:dyDescent="0.25">
      <c r="A400" s="1">
        <v>41827</v>
      </c>
      <c r="B400" s="1">
        <v>41836</v>
      </c>
      <c r="C400">
        <v>5.64</v>
      </c>
      <c r="D400">
        <v>0.15</v>
      </c>
      <c r="E400">
        <v>3</v>
      </c>
    </row>
    <row r="401" spans="1:5" x14ac:dyDescent="0.25">
      <c r="A401" s="1">
        <v>41827</v>
      </c>
      <c r="B401" s="1">
        <v>41839</v>
      </c>
      <c r="C401">
        <v>10.199999999999999</v>
      </c>
      <c r="D401">
        <v>0.27</v>
      </c>
      <c r="E401">
        <v>2</v>
      </c>
    </row>
    <row r="402" spans="1:5" x14ac:dyDescent="0.25">
      <c r="A402" s="1">
        <v>41827</v>
      </c>
      <c r="B402" s="1">
        <v>41852</v>
      </c>
      <c r="C402">
        <v>3.88</v>
      </c>
      <c r="D402">
        <v>0.1</v>
      </c>
      <c r="E402">
        <v>5</v>
      </c>
    </row>
    <row r="403" spans="1:5" x14ac:dyDescent="0.25">
      <c r="A403" s="1">
        <v>41827</v>
      </c>
      <c r="B403" s="1">
        <v>41835</v>
      </c>
      <c r="C403">
        <v>4.66</v>
      </c>
      <c r="D403">
        <v>0.12</v>
      </c>
      <c r="E403">
        <v>4</v>
      </c>
    </row>
    <row r="404" spans="1:5" x14ac:dyDescent="0.25">
      <c r="A404" s="1">
        <v>41827</v>
      </c>
      <c r="B404" s="1">
        <v>41838</v>
      </c>
      <c r="C404">
        <v>10.19</v>
      </c>
      <c r="D404">
        <v>0.27</v>
      </c>
      <c r="E404">
        <v>6</v>
      </c>
    </row>
    <row r="405" spans="1:5" x14ac:dyDescent="0.25">
      <c r="A405" s="1">
        <v>41827</v>
      </c>
      <c r="B405" s="1">
        <v>41844</v>
      </c>
      <c r="C405">
        <v>10.19</v>
      </c>
      <c r="D405">
        <v>0.27</v>
      </c>
      <c r="E405">
        <v>6</v>
      </c>
    </row>
    <row r="406" spans="1:5" x14ac:dyDescent="0.25">
      <c r="A406" s="1">
        <v>41827</v>
      </c>
      <c r="B406" s="1">
        <v>41848</v>
      </c>
      <c r="C406">
        <v>3.79</v>
      </c>
      <c r="D406">
        <v>0.1</v>
      </c>
      <c r="E406">
        <v>6</v>
      </c>
    </row>
    <row r="407" spans="1:5" x14ac:dyDescent="0.25">
      <c r="A407" s="1">
        <v>41827</v>
      </c>
      <c r="B407" s="1">
        <v>41847</v>
      </c>
      <c r="C407">
        <v>9.06</v>
      </c>
      <c r="D407">
        <v>0.24</v>
      </c>
      <c r="E407">
        <v>2</v>
      </c>
    </row>
    <row r="408" spans="1:5" x14ac:dyDescent="0.25">
      <c r="A408" s="1">
        <v>41827</v>
      </c>
      <c r="B408" s="1">
        <v>41831</v>
      </c>
      <c r="C408">
        <v>6.23</v>
      </c>
      <c r="D408">
        <v>0.16</v>
      </c>
      <c r="E408">
        <v>3</v>
      </c>
    </row>
    <row r="409" spans="1:5" x14ac:dyDescent="0.25">
      <c r="A409" s="1">
        <v>41827</v>
      </c>
      <c r="B409" s="1">
        <v>41852</v>
      </c>
      <c r="C409">
        <v>10.79</v>
      </c>
      <c r="D409">
        <v>0.28000000000000003</v>
      </c>
      <c r="E409">
        <v>3</v>
      </c>
    </row>
    <row r="410" spans="1:5" x14ac:dyDescent="0.25">
      <c r="A410" s="1">
        <v>41830</v>
      </c>
      <c r="B410" s="1">
        <v>41847</v>
      </c>
      <c r="C410">
        <v>5.67</v>
      </c>
      <c r="D410">
        <v>0.15</v>
      </c>
      <c r="E410">
        <v>5</v>
      </c>
    </row>
    <row r="411" spans="1:5" x14ac:dyDescent="0.25">
      <c r="A411" s="1">
        <v>41831</v>
      </c>
      <c r="B411" s="1">
        <v>41855</v>
      </c>
      <c r="C411">
        <v>2.29</v>
      </c>
      <c r="D411">
        <v>0.06</v>
      </c>
      <c r="E411">
        <v>3</v>
      </c>
    </row>
    <row r="412" spans="1:5" x14ac:dyDescent="0.25">
      <c r="A412" s="1">
        <v>41833</v>
      </c>
      <c r="B412" s="1">
        <v>41853</v>
      </c>
      <c r="C412">
        <v>10.93</v>
      </c>
      <c r="D412">
        <v>0.28999999999999998</v>
      </c>
      <c r="E412">
        <v>2</v>
      </c>
    </row>
    <row r="413" spans="1:5" x14ac:dyDescent="0.25">
      <c r="A413" s="1">
        <v>41833</v>
      </c>
      <c r="B413" s="1">
        <v>41841</v>
      </c>
      <c r="C413">
        <v>16.55</v>
      </c>
      <c r="D413">
        <v>0.44</v>
      </c>
      <c r="E413">
        <v>4</v>
      </c>
    </row>
    <row r="414" spans="1:5" x14ac:dyDescent="0.25">
      <c r="A414" s="1">
        <v>41834</v>
      </c>
      <c r="B414" s="1">
        <v>41836</v>
      </c>
      <c r="C414">
        <v>6.43</v>
      </c>
      <c r="D414">
        <v>0.17</v>
      </c>
      <c r="E414">
        <v>6</v>
      </c>
    </row>
    <row r="415" spans="1:5" x14ac:dyDescent="0.25">
      <c r="A415" s="1">
        <v>41835</v>
      </c>
      <c r="B415" s="1">
        <v>41863</v>
      </c>
      <c r="C415">
        <v>3.94</v>
      </c>
      <c r="D415">
        <v>0.1</v>
      </c>
      <c r="E415">
        <v>6</v>
      </c>
    </row>
    <row r="416" spans="1:5" x14ac:dyDescent="0.25">
      <c r="A416" s="1">
        <v>41835</v>
      </c>
      <c r="B416" s="1">
        <v>41847</v>
      </c>
      <c r="C416">
        <v>3.79</v>
      </c>
      <c r="D416">
        <v>0.1</v>
      </c>
      <c r="E416">
        <v>3</v>
      </c>
    </row>
    <row r="417" spans="1:5" x14ac:dyDescent="0.25">
      <c r="A417" s="1">
        <v>41835</v>
      </c>
      <c r="B417" s="1">
        <v>41856</v>
      </c>
      <c r="C417">
        <v>6.58</v>
      </c>
      <c r="D417">
        <v>0.17</v>
      </c>
      <c r="E417">
        <v>3</v>
      </c>
    </row>
    <row r="418" spans="1:5" x14ac:dyDescent="0.25">
      <c r="A418" s="1">
        <v>41837</v>
      </c>
      <c r="B418" s="1">
        <v>41853</v>
      </c>
      <c r="C418">
        <v>5.67</v>
      </c>
      <c r="D418">
        <v>0.15</v>
      </c>
      <c r="E418">
        <v>2</v>
      </c>
    </row>
    <row r="419" spans="1:5" x14ac:dyDescent="0.25">
      <c r="A419" s="1">
        <v>41839</v>
      </c>
      <c r="B419" s="1">
        <v>41857</v>
      </c>
      <c r="C419">
        <v>10.19</v>
      </c>
      <c r="D419">
        <v>0.27</v>
      </c>
      <c r="E419">
        <v>6</v>
      </c>
    </row>
    <row r="420" spans="1:5" x14ac:dyDescent="0.25">
      <c r="A420" s="1">
        <v>41839</v>
      </c>
      <c r="B420" s="1">
        <v>41848</v>
      </c>
      <c r="C420">
        <v>7.06</v>
      </c>
      <c r="D420">
        <v>0.19</v>
      </c>
      <c r="E420">
        <v>2</v>
      </c>
    </row>
    <row r="421" spans="1:5" x14ac:dyDescent="0.25">
      <c r="A421" s="1">
        <v>41839</v>
      </c>
      <c r="B421" s="1">
        <v>41860</v>
      </c>
      <c r="C421">
        <v>6.75</v>
      </c>
      <c r="D421">
        <v>0.18</v>
      </c>
      <c r="E421">
        <v>5</v>
      </c>
    </row>
    <row r="422" spans="1:5" x14ac:dyDescent="0.25">
      <c r="A422" s="1">
        <v>41839</v>
      </c>
      <c r="B422" s="1">
        <v>41861</v>
      </c>
      <c r="C422">
        <v>8.83</v>
      </c>
      <c r="D422">
        <v>0.23</v>
      </c>
      <c r="E422">
        <v>6</v>
      </c>
    </row>
    <row r="423" spans="1:5" x14ac:dyDescent="0.25">
      <c r="A423" s="1">
        <v>41839</v>
      </c>
      <c r="B423" s="1">
        <v>41860</v>
      </c>
      <c r="C423">
        <v>8.39</v>
      </c>
      <c r="D423">
        <v>0.22</v>
      </c>
      <c r="E423">
        <v>2</v>
      </c>
    </row>
    <row r="424" spans="1:5" x14ac:dyDescent="0.25">
      <c r="A424" s="1">
        <v>41839</v>
      </c>
      <c r="B424" s="1">
        <v>41853</v>
      </c>
      <c r="C424">
        <v>6.23</v>
      </c>
      <c r="D424">
        <v>0.16</v>
      </c>
      <c r="E424">
        <v>3</v>
      </c>
    </row>
    <row r="425" spans="1:5" x14ac:dyDescent="0.25">
      <c r="A425" s="1">
        <v>41839</v>
      </c>
      <c r="B425" s="1">
        <v>41859</v>
      </c>
      <c r="C425">
        <v>3.79</v>
      </c>
      <c r="D425">
        <v>0.1</v>
      </c>
      <c r="E425">
        <v>4</v>
      </c>
    </row>
    <row r="426" spans="1:5" x14ac:dyDescent="0.25">
      <c r="A426" s="1">
        <v>41839</v>
      </c>
      <c r="B426" s="1">
        <v>41866</v>
      </c>
      <c r="C426">
        <v>11.37</v>
      </c>
      <c r="D426">
        <v>0.3</v>
      </c>
      <c r="E426">
        <v>5</v>
      </c>
    </row>
    <row r="427" spans="1:5" x14ac:dyDescent="0.25">
      <c r="A427" s="1">
        <v>41839</v>
      </c>
      <c r="B427" s="1">
        <v>41847</v>
      </c>
      <c r="C427">
        <v>5.64</v>
      </c>
      <c r="D427">
        <v>0.15</v>
      </c>
      <c r="E427">
        <v>5</v>
      </c>
    </row>
    <row r="428" spans="1:5" x14ac:dyDescent="0.25">
      <c r="A428" s="1">
        <v>41839</v>
      </c>
      <c r="B428" s="1">
        <v>41858</v>
      </c>
      <c r="C428">
        <v>7.55</v>
      </c>
      <c r="D428">
        <v>0.2</v>
      </c>
      <c r="E428">
        <v>2</v>
      </c>
    </row>
    <row r="429" spans="1:5" x14ac:dyDescent="0.25">
      <c r="A429" s="1">
        <v>41839</v>
      </c>
      <c r="B429" s="1">
        <v>41853</v>
      </c>
      <c r="C429">
        <v>10.199999999999999</v>
      </c>
      <c r="D429">
        <v>0.27</v>
      </c>
      <c r="E429">
        <v>4</v>
      </c>
    </row>
    <row r="430" spans="1:5" x14ac:dyDescent="0.25">
      <c r="A430" s="1">
        <v>41839</v>
      </c>
      <c r="B430" s="1">
        <v>41862</v>
      </c>
      <c r="C430">
        <v>2.0099999999999998</v>
      </c>
      <c r="D430">
        <v>0.05</v>
      </c>
      <c r="E430">
        <v>6</v>
      </c>
    </row>
    <row r="431" spans="1:5" x14ac:dyDescent="0.25">
      <c r="A431" s="1">
        <v>41839</v>
      </c>
      <c r="B431" s="1">
        <v>41862</v>
      </c>
      <c r="C431">
        <v>13.81</v>
      </c>
      <c r="D431">
        <v>0.36</v>
      </c>
      <c r="E431">
        <v>3</v>
      </c>
    </row>
    <row r="432" spans="1:5" x14ac:dyDescent="0.25">
      <c r="A432" s="1">
        <v>41841</v>
      </c>
      <c r="B432" s="1">
        <v>41868</v>
      </c>
      <c r="C432">
        <v>8.7200000000000006</v>
      </c>
      <c r="D432">
        <v>0.23</v>
      </c>
      <c r="E432">
        <v>2</v>
      </c>
    </row>
    <row r="433" spans="1:5" x14ac:dyDescent="0.25">
      <c r="A433" s="1">
        <v>41841</v>
      </c>
      <c r="B433" s="1">
        <v>41859</v>
      </c>
      <c r="C433">
        <v>11.44</v>
      </c>
      <c r="D433">
        <v>0.3</v>
      </c>
      <c r="E433">
        <v>3</v>
      </c>
    </row>
    <row r="434" spans="1:5" x14ac:dyDescent="0.25">
      <c r="A434" s="1">
        <v>41841</v>
      </c>
      <c r="B434" s="1">
        <v>41854</v>
      </c>
      <c r="C434">
        <v>3.94</v>
      </c>
      <c r="D434">
        <v>0.1</v>
      </c>
      <c r="E434">
        <v>2</v>
      </c>
    </row>
    <row r="435" spans="1:5" x14ac:dyDescent="0.25">
      <c r="A435" s="1">
        <v>41845</v>
      </c>
      <c r="B435" s="1">
        <v>41871</v>
      </c>
      <c r="C435">
        <v>9.4600000000000009</v>
      </c>
      <c r="D435">
        <v>0.25</v>
      </c>
      <c r="E435">
        <v>3</v>
      </c>
    </row>
    <row r="436" spans="1:5" x14ac:dyDescent="0.25">
      <c r="A436" s="1">
        <v>41845</v>
      </c>
      <c r="B436" s="1">
        <v>41853</v>
      </c>
      <c r="C436">
        <v>11.69</v>
      </c>
      <c r="D436">
        <v>0.31</v>
      </c>
      <c r="E436">
        <v>4</v>
      </c>
    </row>
    <row r="437" spans="1:5" x14ac:dyDescent="0.25">
      <c r="A437" s="1">
        <v>41845</v>
      </c>
      <c r="B437" s="1">
        <v>41870</v>
      </c>
      <c r="C437">
        <v>8.83</v>
      </c>
      <c r="D437">
        <v>0.23</v>
      </c>
      <c r="E437">
        <v>2</v>
      </c>
    </row>
    <row r="438" spans="1:5" x14ac:dyDescent="0.25">
      <c r="A438" s="1">
        <v>41845</v>
      </c>
      <c r="B438" s="1">
        <v>41866</v>
      </c>
      <c r="C438">
        <v>8.83</v>
      </c>
      <c r="D438">
        <v>0.23</v>
      </c>
      <c r="E438">
        <v>6</v>
      </c>
    </row>
    <row r="439" spans="1:5" x14ac:dyDescent="0.25">
      <c r="A439" s="1">
        <v>41845</v>
      </c>
      <c r="B439" s="1">
        <v>41866</v>
      </c>
      <c r="C439">
        <v>9.1300000000000008</v>
      </c>
      <c r="D439">
        <v>0.24</v>
      </c>
      <c r="E439">
        <v>4</v>
      </c>
    </row>
    <row r="440" spans="1:5" x14ac:dyDescent="0.25">
      <c r="A440" s="1">
        <v>41845</v>
      </c>
      <c r="B440" s="1">
        <v>41873</v>
      </c>
      <c r="C440">
        <v>9.06</v>
      </c>
      <c r="D440">
        <v>0.24</v>
      </c>
      <c r="E440">
        <v>5</v>
      </c>
    </row>
    <row r="441" spans="1:5" x14ac:dyDescent="0.25">
      <c r="A441" s="1">
        <v>41851</v>
      </c>
      <c r="B441" s="1">
        <v>41873</v>
      </c>
      <c r="C441">
        <v>10.19</v>
      </c>
      <c r="D441">
        <v>0.27</v>
      </c>
      <c r="E441">
        <v>5</v>
      </c>
    </row>
    <row r="442" spans="1:5" x14ac:dyDescent="0.25">
      <c r="A442" s="1">
        <v>41851</v>
      </c>
      <c r="B442" s="1">
        <v>41872</v>
      </c>
      <c r="C442">
        <v>14</v>
      </c>
      <c r="D442">
        <v>0.37</v>
      </c>
      <c r="E442">
        <v>4</v>
      </c>
    </row>
    <row r="443" spans="1:5" x14ac:dyDescent="0.25">
      <c r="A443" s="1">
        <v>41851</v>
      </c>
      <c r="B443" s="1">
        <v>41858</v>
      </c>
      <c r="C443">
        <v>11.44</v>
      </c>
      <c r="D443">
        <v>0.3</v>
      </c>
      <c r="E443">
        <v>5</v>
      </c>
    </row>
    <row r="444" spans="1:5" x14ac:dyDescent="0.25">
      <c r="A444" s="1">
        <v>41851</v>
      </c>
      <c r="B444" s="1">
        <v>41871</v>
      </c>
      <c r="C444">
        <v>7.31</v>
      </c>
      <c r="D444">
        <v>0.19</v>
      </c>
      <c r="E444">
        <v>2</v>
      </c>
    </row>
    <row r="445" spans="1:5" x14ac:dyDescent="0.25">
      <c r="A445" s="1">
        <v>41851</v>
      </c>
      <c r="B445" s="1">
        <v>41863</v>
      </c>
      <c r="C445">
        <v>9.4600000000000009</v>
      </c>
      <c r="D445">
        <v>0.25</v>
      </c>
      <c r="E445">
        <v>2</v>
      </c>
    </row>
    <row r="446" spans="1:5" x14ac:dyDescent="0.25">
      <c r="A446" s="1">
        <v>41851</v>
      </c>
      <c r="B446" s="1">
        <v>41856</v>
      </c>
      <c r="C446">
        <v>8.83</v>
      </c>
      <c r="D446">
        <v>0.23</v>
      </c>
      <c r="E446">
        <v>3</v>
      </c>
    </row>
    <row r="447" spans="1:5" x14ac:dyDescent="0.25">
      <c r="A447" s="1">
        <v>41851</v>
      </c>
      <c r="B447" s="1">
        <v>41855</v>
      </c>
      <c r="C447">
        <v>6.88</v>
      </c>
      <c r="D447">
        <v>0.18</v>
      </c>
      <c r="E447">
        <v>2</v>
      </c>
    </row>
    <row r="448" spans="1:5" x14ac:dyDescent="0.25">
      <c r="A448" s="1">
        <v>41851</v>
      </c>
      <c r="B448" s="1">
        <v>41853</v>
      </c>
      <c r="C448">
        <v>6.75</v>
      </c>
      <c r="D448">
        <v>0.18</v>
      </c>
      <c r="E448">
        <v>3</v>
      </c>
    </row>
    <row r="449" spans="1:5" x14ac:dyDescent="0.25">
      <c r="A449" s="1">
        <v>41851</v>
      </c>
      <c r="B449" s="1">
        <v>41869</v>
      </c>
      <c r="C449">
        <v>19.54</v>
      </c>
      <c r="D449">
        <v>0.51</v>
      </c>
      <c r="E449">
        <v>3</v>
      </c>
    </row>
    <row r="450" spans="1:5" x14ac:dyDescent="0.25">
      <c r="A450" s="1">
        <v>41851</v>
      </c>
      <c r="B450" s="1">
        <v>41856</v>
      </c>
      <c r="C450">
        <v>14.31</v>
      </c>
      <c r="D450">
        <v>0.38</v>
      </c>
      <c r="E450">
        <v>6</v>
      </c>
    </row>
    <row r="451" spans="1:5" x14ac:dyDescent="0.25">
      <c r="A451" s="1">
        <v>41851</v>
      </c>
      <c r="B451" s="1">
        <v>41870</v>
      </c>
      <c r="C451">
        <v>3.79</v>
      </c>
      <c r="D451">
        <v>0.1</v>
      </c>
      <c r="E451">
        <v>2</v>
      </c>
    </row>
    <row r="452" spans="1:5" x14ac:dyDescent="0.25">
      <c r="A452" s="1">
        <v>41851</v>
      </c>
      <c r="B452" s="1">
        <v>41868</v>
      </c>
      <c r="C452">
        <v>8.89</v>
      </c>
      <c r="D452">
        <v>0.23</v>
      </c>
      <c r="E452">
        <v>5</v>
      </c>
    </row>
    <row r="453" spans="1:5" x14ac:dyDescent="0.25">
      <c r="A453" s="1">
        <v>41851</v>
      </c>
      <c r="B453" s="1">
        <v>41867</v>
      </c>
      <c r="C453">
        <v>7.71</v>
      </c>
      <c r="D453">
        <v>0.2</v>
      </c>
      <c r="E453">
        <v>5</v>
      </c>
    </row>
    <row r="454" spans="1:5" x14ac:dyDescent="0.25">
      <c r="A454" s="1">
        <v>41851</v>
      </c>
      <c r="B454" s="1">
        <v>41864</v>
      </c>
      <c r="C454">
        <v>16.829999999999998</v>
      </c>
      <c r="D454">
        <v>0.44</v>
      </c>
      <c r="E454">
        <v>6</v>
      </c>
    </row>
    <row r="455" spans="1:5" x14ac:dyDescent="0.25">
      <c r="A455" s="1">
        <v>41851</v>
      </c>
      <c r="B455" s="1">
        <v>41857</v>
      </c>
      <c r="C455">
        <v>5.23</v>
      </c>
      <c r="D455">
        <v>0.14000000000000001</v>
      </c>
      <c r="E455">
        <v>6</v>
      </c>
    </row>
    <row r="456" spans="1:5" x14ac:dyDescent="0.25">
      <c r="A456" s="1">
        <v>41851</v>
      </c>
      <c r="B456" s="1">
        <v>41853</v>
      </c>
      <c r="C456">
        <v>10.79</v>
      </c>
      <c r="D456">
        <v>0.28000000000000003</v>
      </c>
      <c r="E456">
        <v>5</v>
      </c>
    </row>
    <row r="457" spans="1:5" x14ac:dyDescent="0.25">
      <c r="A457" s="1">
        <v>41851</v>
      </c>
      <c r="B457" s="1">
        <v>41868</v>
      </c>
      <c r="C457">
        <v>12.23</v>
      </c>
      <c r="D457">
        <v>0.32</v>
      </c>
      <c r="E457">
        <v>2</v>
      </c>
    </row>
    <row r="458" spans="1:5" x14ac:dyDescent="0.25">
      <c r="A458" s="1">
        <v>41851</v>
      </c>
      <c r="B458" s="1">
        <v>41870</v>
      </c>
      <c r="C458">
        <v>5.78</v>
      </c>
      <c r="D458">
        <v>0.15</v>
      </c>
      <c r="E458">
        <v>6</v>
      </c>
    </row>
    <row r="459" spans="1:5" x14ac:dyDescent="0.25">
      <c r="A459" s="1">
        <v>41857</v>
      </c>
      <c r="B459" s="1">
        <v>41865</v>
      </c>
      <c r="C459">
        <v>5.23</v>
      </c>
      <c r="D459">
        <v>0.14000000000000001</v>
      </c>
      <c r="E459">
        <v>3</v>
      </c>
    </row>
    <row r="460" spans="1:5" x14ac:dyDescent="0.25">
      <c r="A460" s="1">
        <v>41857</v>
      </c>
      <c r="B460" s="1">
        <v>41868</v>
      </c>
      <c r="C460">
        <v>9.06</v>
      </c>
      <c r="D460">
        <v>0.24</v>
      </c>
      <c r="E460">
        <v>2</v>
      </c>
    </row>
    <row r="461" spans="1:5" x14ac:dyDescent="0.25">
      <c r="A461" s="1">
        <v>41857</v>
      </c>
      <c r="B461" s="1">
        <v>41885</v>
      </c>
      <c r="C461">
        <v>12.23</v>
      </c>
      <c r="D461">
        <v>0.32</v>
      </c>
      <c r="E461">
        <v>4</v>
      </c>
    </row>
    <row r="462" spans="1:5" x14ac:dyDescent="0.25">
      <c r="A462" s="1">
        <v>41857</v>
      </c>
      <c r="B462" s="1">
        <v>41881</v>
      </c>
      <c r="C462">
        <v>8.83</v>
      </c>
      <c r="D462">
        <v>0.23</v>
      </c>
      <c r="E462">
        <v>4</v>
      </c>
    </row>
    <row r="463" spans="1:5" x14ac:dyDescent="0.25">
      <c r="A463" s="1">
        <v>41857</v>
      </c>
      <c r="B463" s="1">
        <v>41876</v>
      </c>
      <c r="C463">
        <v>10.93</v>
      </c>
      <c r="D463">
        <v>0.28999999999999998</v>
      </c>
      <c r="E463">
        <v>5</v>
      </c>
    </row>
    <row r="464" spans="1:5" x14ac:dyDescent="0.25">
      <c r="A464" s="1">
        <v>41860</v>
      </c>
      <c r="B464" s="1">
        <v>41874</v>
      </c>
      <c r="C464">
        <v>3.94</v>
      </c>
      <c r="D464">
        <v>0.1</v>
      </c>
      <c r="E464">
        <v>2</v>
      </c>
    </row>
    <row r="465" spans="1:5" x14ac:dyDescent="0.25">
      <c r="A465" s="1">
        <v>41863</v>
      </c>
      <c r="B465" s="1">
        <v>41885</v>
      </c>
      <c r="C465">
        <v>19.54</v>
      </c>
      <c r="D465">
        <v>0.51</v>
      </c>
      <c r="E465">
        <v>6</v>
      </c>
    </row>
    <row r="466" spans="1:5" x14ac:dyDescent="0.25">
      <c r="A466" s="1">
        <v>41863</v>
      </c>
      <c r="B466" s="1">
        <v>41872</v>
      </c>
      <c r="C466">
        <v>6.75</v>
      </c>
      <c r="D466">
        <v>0.18</v>
      </c>
      <c r="E466">
        <v>2</v>
      </c>
    </row>
    <row r="467" spans="1:5" x14ac:dyDescent="0.25">
      <c r="A467" s="1">
        <v>41863</v>
      </c>
      <c r="B467" s="1">
        <v>41888</v>
      </c>
      <c r="C467">
        <v>7.55</v>
      </c>
      <c r="D467">
        <v>0.2</v>
      </c>
      <c r="E467">
        <v>5</v>
      </c>
    </row>
    <row r="468" spans="1:5" x14ac:dyDescent="0.25">
      <c r="A468" s="1">
        <v>41863</v>
      </c>
      <c r="B468" s="1">
        <v>41886</v>
      </c>
      <c r="C468">
        <v>3.73</v>
      </c>
      <c r="D468">
        <v>0.1</v>
      </c>
      <c r="E468">
        <v>5</v>
      </c>
    </row>
    <row r="469" spans="1:5" x14ac:dyDescent="0.25">
      <c r="A469" s="1">
        <v>41863</v>
      </c>
      <c r="B469" s="1">
        <v>41874</v>
      </c>
      <c r="C469">
        <v>8.51</v>
      </c>
      <c r="D469">
        <v>0.22</v>
      </c>
      <c r="E469">
        <v>2</v>
      </c>
    </row>
    <row r="470" spans="1:5" x14ac:dyDescent="0.25">
      <c r="A470" s="1">
        <v>41863</v>
      </c>
      <c r="B470" s="1">
        <v>41878</v>
      </c>
      <c r="C470">
        <v>6.88</v>
      </c>
      <c r="D470">
        <v>0.18</v>
      </c>
      <c r="E470">
        <v>3</v>
      </c>
    </row>
    <row r="471" spans="1:5" x14ac:dyDescent="0.25">
      <c r="A471" s="1">
        <v>41863</v>
      </c>
      <c r="B471" s="1">
        <v>41874</v>
      </c>
      <c r="C471">
        <v>6.75</v>
      </c>
      <c r="D471">
        <v>0.18</v>
      </c>
      <c r="E471">
        <v>4</v>
      </c>
    </row>
    <row r="472" spans="1:5" x14ac:dyDescent="0.25">
      <c r="A472" s="1">
        <v>41863</v>
      </c>
      <c r="B472" s="1">
        <v>41875</v>
      </c>
      <c r="C472">
        <v>11.42</v>
      </c>
      <c r="D472">
        <v>0.3</v>
      </c>
      <c r="E472">
        <v>5</v>
      </c>
    </row>
    <row r="473" spans="1:5" x14ac:dyDescent="0.25">
      <c r="A473" s="1">
        <v>41863</v>
      </c>
      <c r="B473" s="1">
        <v>41866</v>
      </c>
      <c r="C473">
        <v>16.940000000000001</v>
      </c>
      <c r="D473">
        <v>0.45</v>
      </c>
      <c r="E473">
        <v>3</v>
      </c>
    </row>
    <row r="474" spans="1:5" x14ac:dyDescent="0.25">
      <c r="A474" s="1">
        <v>41863</v>
      </c>
      <c r="B474" s="1">
        <v>41867</v>
      </c>
      <c r="C474">
        <v>6.34</v>
      </c>
      <c r="D474">
        <v>0.17</v>
      </c>
      <c r="E474">
        <v>6</v>
      </c>
    </row>
    <row r="475" spans="1:5" x14ac:dyDescent="0.25">
      <c r="A475" s="1">
        <v>41863</v>
      </c>
      <c r="B475" s="1">
        <v>41870</v>
      </c>
      <c r="C475">
        <v>8.83</v>
      </c>
      <c r="D475">
        <v>0.23</v>
      </c>
      <c r="E475">
        <v>4</v>
      </c>
    </row>
    <row r="476" spans="1:5" x14ac:dyDescent="0.25">
      <c r="A476" s="1">
        <v>41863</v>
      </c>
      <c r="B476" s="1">
        <v>41876</v>
      </c>
      <c r="C476">
        <v>6.34</v>
      </c>
      <c r="D476">
        <v>0.17</v>
      </c>
      <c r="E476">
        <v>3</v>
      </c>
    </row>
    <row r="477" spans="1:5" x14ac:dyDescent="0.25">
      <c r="A477" s="1">
        <v>41863</v>
      </c>
      <c r="B477" s="1">
        <v>41880</v>
      </c>
      <c r="C477">
        <v>8.84</v>
      </c>
      <c r="D477">
        <v>0.23</v>
      </c>
      <c r="E477">
        <v>3</v>
      </c>
    </row>
    <row r="478" spans="1:5" x14ac:dyDescent="0.25">
      <c r="A478" s="1">
        <v>41863</v>
      </c>
      <c r="B478" s="1">
        <v>41869</v>
      </c>
      <c r="C478">
        <v>8.65</v>
      </c>
      <c r="D478">
        <v>0.23</v>
      </c>
      <c r="E478">
        <v>2</v>
      </c>
    </row>
    <row r="479" spans="1:5" x14ac:dyDescent="0.25">
      <c r="A479" s="1">
        <v>41863</v>
      </c>
      <c r="B479" s="1">
        <v>41887</v>
      </c>
      <c r="C479">
        <v>8.51</v>
      </c>
      <c r="D479">
        <v>0.22</v>
      </c>
      <c r="E479">
        <v>4</v>
      </c>
    </row>
    <row r="480" spans="1:5" x14ac:dyDescent="0.25">
      <c r="A480" s="1">
        <v>41863</v>
      </c>
      <c r="B480" s="1">
        <v>41890</v>
      </c>
      <c r="C480">
        <v>9.74</v>
      </c>
      <c r="D480">
        <v>0.26</v>
      </c>
      <c r="E480">
        <v>5</v>
      </c>
    </row>
    <row r="481" spans="1:5" x14ac:dyDescent="0.25">
      <c r="A481" s="1">
        <v>41863</v>
      </c>
      <c r="B481" s="1">
        <v>41887</v>
      </c>
      <c r="C481">
        <v>13.02</v>
      </c>
      <c r="D481">
        <v>0.34</v>
      </c>
      <c r="E481">
        <v>2</v>
      </c>
    </row>
    <row r="482" spans="1:5" x14ac:dyDescent="0.25">
      <c r="A482" s="1">
        <v>41865</v>
      </c>
      <c r="B482" s="1">
        <v>41869</v>
      </c>
      <c r="C482">
        <v>4.66</v>
      </c>
      <c r="D482">
        <v>0.12</v>
      </c>
      <c r="E482">
        <v>3</v>
      </c>
    </row>
    <row r="483" spans="1:5" x14ac:dyDescent="0.25">
      <c r="A483" s="1">
        <v>41869</v>
      </c>
      <c r="B483" s="1">
        <v>41884</v>
      </c>
      <c r="C483">
        <v>14.13</v>
      </c>
      <c r="D483">
        <v>0.37</v>
      </c>
      <c r="E483">
        <v>4</v>
      </c>
    </row>
    <row r="484" spans="1:5" x14ac:dyDescent="0.25">
      <c r="A484" s="1">
        <v>41869</v>
      </c>
      <c r="B484" s="1">
        <v>41892</v>
      </c>
      <c r="C484">
        <v>11.37</v>
      </c>
      <c r="D484">
        <v>0.3</v>
      </c>
      <c r="E484">
        <v>2</v>
      </c>
    </row>
    <row r="485" spans="1:5" x14ac:dyDescent="0.25">
      <c r="A485" s="1">
        <v>41869</v>
      </c>
      <c r="B485" s="1">
        <v>41890</v>
      </c>
      <c r="C485">
        <v>3.79</v>
      </c>
      <c r="D485">
        <v>0.1</v>
      </c>
      <c r="E485">
        <v>3</v>
      </c>
    </row>
    <row r="486" spans="1:5" x14ac:dyDescent="0.25">
      <c r="A486" s="1">
        <v>41869</v>
      </c>
      <c r="B486" s="1">
        <v>41875</v>
      </c>
      <c r="C486">
        <v>11.42</v>
      </c>
      <c r="D486">
        <v>0.3</v>
      </c>
      <c r="E486">
        <v>6</v>
      </c>
    </row>
    <row r="487" spans="1:5" x14ac:dyDescent="0.25">
      <c r="A487" s="1">
        <v>41869</v>
      </c>
      <c r="B487" s="1">
        <v>41892</v>
      </c>
      <c r="C487">
        <v>8.84</v>
      </c>
      <c r="D487">
        <v>0.23</v>
      </c>
      <c r="E487">
        <v>3</v>
      </c>
    </row>
    <row r="488" spans="1:5" x14ac:dyDescent="0.25">
      <c r="A488" s="1">
        <v>41869</v>
      </c>
      <c r="B488" s="1">
        <v>41875</v>
      </c>
      <c r="C488">
        <v>11.69</v>
      </c>
      <c r="D488">
        <v>0.31</v>
      </c>
      <c r="E488">
        <v>6</v>
      </c>
    </row>
    <row r="489" spans="1:5" x14ac:dyDescent="0.25">
      <c r="A489" s="1">
        <v>41875</v>
      </c>
      <c r="B489" s="1">
        <v>41879</v>
      </c>
      <c r="C489">
        <v>5.78</v>
      </c>
      <c r="D489">
        <v>0.15</v>
      </c>
      <c r="E489">
        <v>4</v>
      </c>
    </row>
    <row r="490" spans="1:5" x14ac:dyDescent="0.25">
      <c r="A490" s="1">
        <v>41875</v>
      </c>
      <c r="B490" s="1">
        <v>41877</v>
      </c>
      <c r="C490">
        <v>19.54</v>
      </c>
      <c r="D490">
        <v>0.51</v>
      </c>
      <c r="E490">
        <v>5</v>
      </c>
    </row>
    <row r="491" spans="1:5" x14ac:dyDescent="0.25">
      <c r="A491" s="1">
        <v>41875</v>
      </c>
      <c r="B491" s="1">
        <v>41891</v>
      </c>
      <c r="C491">
        <v>9.06</v>
      </c>
      <c r="D491">
        <v>0.24</v>
      </c>
      <c r="E491">
        <v>2</v>
      </c>
    </row>
    <row r="492" spans="1:5" x14ac:dyDescent="0.25">
      <c r="A492" s="1">
        <v>41875</v>
      </c>
      <c r="B492" s="1">
        <v>41890</v>
      </c>
      <c r="C492">
        <v>13.81</v>
      </c>
      <c r="D492">
        <v>0.36</v>
      </c>
      <c r="E492">
        <v>6</v>
      </c>
    </row>
    <row r="493" spans="1:5" x14ac:dyDescent="0.25">
      <c r="A493" s="1">
        <v>41875</v>
      </c>
      <c r="B493" s="1">
        <v>41886</v>
      </c>
      <c r="C493">
        <v>11.42</v>
      </c>
      <c r="D493">
        <v>0.3</v>
      </c>
      <c r="E493">
        <v>5</v>
      </c>
    </row>
    <row r="494" spans="1:5" x14ac:dyDescent="0.25">
      <c r="A494" s="1">
        <v>41875</v>
      </c>
      <c r="B494" s="1">
        <v>41881</v>
      </c>
      <c r="C494">
        <v>14.31</v>
      </c>
      <c r="D494">
        <v>0.38</v>
      </c>
      <c r="E494">
        <v>2</v>
      </c>
    </row>
    <row r="495" spans="1:5" x14ac:dyDescent="0.25">
      <c r="A495" s="1">
        <v>41875</v>
      </c>
      <c r="B495" s="1">
        <v>41894</v>
      </c>
      <c r="C495">
        <v>8.83</v>
      </c>
      <c r="D495">
        <v>0.23</v>
      </c>
      <c r="E495">
        <v>3</v>
      </c>
    </row>
    <row r="496" spans="1:5" x14ac:dyDescent="0.25">
      <c r="A496" s="1">
        <v>41875</v>
      </c>
      <c r="B496" s="1">
        <v>41885</v>
      </c>
      <c r="C496">
        <v>14.31</v>
      </c>
      <c r="D496">
        <v>0.38</v>
      </c>
      <c r="E496">
        <v>3</v>
      </c>
    </row>
    <row r="497" spans="1:5" x14ac:dyDescent="0.25">
      <c r="A497" s="1">
        <v>41875</v>
      </c>
      <c r="B497" s="1">
        <v>41895</v>
      </c>
      <c r="C497">
        <v>11.37</v>
      </c>
      <c r="D497">
        <v>0.3</v>
      </c>
      <c r="E497">
        <v>2</v>
      </c>
    </row>
    <row r="498" spans="1:5" x14ac:dyDescent="0.25">
      <c r="A498" s="1">
        <v>41875</v>
      </c>
      <c r="B498" s="1">
        <v>41894</v>
      </c>
      <c r="C498">
        <v>11.44</v>
      </c>
      <c r="D498">
        <v>0.3</v>
      </c>
      <c r="E498">
        <v>2</v>
      </c>
    </row>
    <row r="499" spans="1:5" x14ac:dyDescent="0.25">
      <c r="A499" s="1">
        <v>41875</v>
      </c>
      <c r="B499" s="1">
        <v>41902</v>
      </c>
      <c r="C499">
        <v>8.65</v>
      </c>
      <c r="D499">
        <v>0.23</v>
      </c>
      <c r="E499">
        <v>4</v>
      </c>
    </row>
    <row r="500" spans="1:5" x14ac:dyDescent="0.25">
      <c r="A500" s="1">
        <v>41876</v>
      </c>
      <c r="B500" s="1">
        <v>41886</v>
      </c>
      <c r="C500">
        <v>11.42</v>
      </c>
      <c r="D500">
        <v>0.3</v>
      </c>
      <c r="E500">
        <v>5</v>
      </c>
    </row>
    <row r="501" spans="1:5" x14ac:dyDescent="0.25">
      <c r="A501" s="1">
        <v>41876</v>
      </c>
      <c r="B501" s="1">
        <v>41886</v>
      </c>
      <c r="C501">
        <v>8.39</v>
      </c>
      <c r="D501">
        <v>0.22</v>
      </c>
      <c r="E501">
        <v>2</v>
      </c>
    </row>
    <row r="502" spans="1:5" x14ac:dyDescent="0.25">
      <c r="A502" s="1">
        <v>41876</v>
      </c>
      <c r="B502" s="1">
        <v>41887</v>
      </c>
      <c r="C502">
        <v>9.74</v>
      </c>
      <c r="D502">
        <v>0.26</v>
      </c>
      <c r="E502">
        <v>4</v>
      </c>
    </row>
    <row r="503" spans="1:5" x14ac:dyDescent="0.25">
      <c r="A503" s="1">
        <v>41876</v>
      </c>
      <c r="B503" s="1">
        <v>41903</v>
      </c>
      <c r="C503">
        <v>5.23</v>
      </c>
      <c r="D503">
        <v>0.14000000000000001</v>
      </c>
      <c r="E503">
        <v>6</v>
      </c>
    </row>
    <row r="504" spans="1:5" x14ac:dyDescent="0.25">
      <c r="A504" s="1">
        <v>41876</v>
      </c>
      <c r="B504" s="1">
        <v>41894</v>
      </c>
      <c r="C504">
        <v>8.39</v>
      </c>
      <c r="D504">
        <v>0.22</v>
      </c>
      <c r="E504">
        <v>3</v>
      </c>
    </row>
    <row r="505" spans="1:5" x14ac:dyDescent="0.25">
      <c r="A505" s="1">
        <v>41877</v>
      </c>
      <c r="B505" s="1">
        <v>41896</v>
      </c>
      <c r="C505">
        <v>5.23</v>
      </c>
      <c r="D505">
        <v>0.14000000000000001</v>
      </c>
      <c r="E505">
        <v>4</v>
      </c>
    </row>
    <row r="506" spans="1:5" x14ac:dyDescent="0.25">
      <c r="A506" s="1">
        <v>41878</v>
      </c>
      <c r="B506" s="1">
        <v>41884</v>
      </c>
      <c r="C506">
        <v>6.34</v>
      </c>
      <c r="D506">
        <v>0.17</v>
      </c>
      <c r="E506">
        <v>4</v>
      </c>
    </row>
    <row r="507" spans="1:5" x14ac:dyDescent="0.25">
      <c r="A507" s="1">
        <v>41881</v>
      </c>
      <c r="B507" s="1">
        <v>41908</v>
      </c>
      <c r="C507">
        <v>10.93</v>
      </c>
      <c r="D507">
        <v>0.28999999999999998</v>
      </c>
      <c r="E507">
        <v>4</v>
      </c>
    </row>
    <row r="508" spans="1:5" x14ac:dyDescent="0.25">
      <c r="A508" s="1">
        <v>41881</v>
      </c>
      <c r="B508" s="1">
        <v>41894</v>
      </c>
      <c r="C508">
        <v>8.89</v>
      </c>
      <c r="D508">
        <v>0.23</v>
      </c>
      <c r="E508">
        <v>2</v>
      </c>
    </row>
    <row r="509" spans="1:5" x14ac:dyDescent="0.25">
      <c r="A509" s="1">
        <v>41881</v>
      </c>
      <c r="B509" s="1">
        <v>41883</v>
      </c>
      <c r="C509">
        <v>5.57</v>
      </c>
      <c r="D509">
        <v>0.15</v>
      </c>
      <c r="E509">
        <v>2</v>
      </c>
    </row>
    <row r="510" spans="1:5" x14ac:dyDescent="0.25">
      <c r="A510" s="1">
        <v>41881</v>
      </c>
      <c r="B510" s="1">
        <v>41907</v>
      </c>
      <c r="C510">
        <v>6.23</v>
      </c>
      <c r="D510">
        <v>0.16</v>
      </c>
      <c r="E510">
        <v>3</v>
      </c>
    </row>
    <row r="511" spans="1:5" x14ac:dyDescent="0.25">
      <c r="A511" s="1">
        <v>41881</v>
      </c>
      <c r="B511" s="1">
        <v>41896</v>
      </c>
      <c r="C511">
        <v>11.42</v>
      </c>
      <c r="D511">
        <v>0.3</v>
      </c>
      <c r="E511">
        <v>4</v>
      </c>
    </row>
    <row r="512" spans="1:5" x14ac:dyDescent="0.25">
      <c r="A512" s="1">
        <v>41881</v>
      </c>
      <c r="B512" s="1">
        <v>41903</v>
      </c>
      <c r="C512">
        <v>16.940000000000001</v>
      </c>
      <c r="D512">
        <v>0.45</v>
      </c>
      <c r="E512">
        <v>3</v>
      </c>
    </row>
    <row r="513" spans="1:5" x14ac:dyDescent="0.25">
      <c r="A513" s="1">
        <v>41885</v>
      </c>
      <c r="B513" s="1">
        <v>41901</v>
      </c>
      <c r="C513">
        <v>7.06</v>
      </c>
      <c r="D513">
        <v>0.19</v>
      </c>
      <c r="E513">
        <v>4</v>
      </c>
    </row>
    <row r="514" spans="1:5" x14ac:dyDescent="0.25">
      <c r="A514" s="1">
        <v>41886</v>
      </c>
      <c r="B514" s="1">
        <v>41899</v>
      </c>
      <c r="C514">
        <v>5.64</v>
      </c>
      <c r="D514">
        <v>0.15</v>
      </c>
      <c r="E514">
        <v>4</v>
      </c>
    </row>
    <row r="515" spans="1:5" x14ac:dyDescent="0.25">
      <c r="A515" s="1">
        <v>41886</v>
      </c>
      <c r="B515" s="1">
        <v>41898</v>
      </c>
      <c r="C515">
        <v>7.3</v>
      </c>
      <c r="D515">
        <v>0.19</v>
      </c>
      <c r="E515">
        <v>3</v>
      </c>
    </row>
    <row r="516" spans="1:5" x14ac:dyDescent="0.25">
      <c r="A516" s="1">
        <v>41886</v>
      </c>
      <c r="B516" s="1">
        <v>41896</v>
      </c>
      <c r="C516">
        <v>7.06</v>
      </c>
      <c r="D516">
        <v>0.19</v>
      </c>
      <c r="E516">
        <v>3</v>
      </c>
    </row>
    <row r="517" spans="1:5" x14ac:dyDescent="0.25">
      <c r="A517" s="1">
        <v>41886</v>
      </c>
      <c r="B517" s="1">
        <v>41896</v>
      </c>
      <c r="C517">
        <v>5.64</v>
      </c>
      <c r="D517">
        <v>0.15</v>
      </c>
      <c r="E517">
        <v>5</v>
      </c>
    </row>
    <row r="518" spans="1:5" x14ac:dyDescent="0.25">
      <c r="A518" s="1">
        <v>41886</v>
      </c>
      <c r="B518" s="1">
        <v>41889</v>
      </c>
      <c r="C518">
        <v>3.73</v>
      </c>
      <c r="D518">
        <v>0.1</v>
      </c>
      <c r="E518">
        <v>6</v>
      </c>
    </row>
    <row r="519" spans="1:5" x14ac:dyDescent="0.25">
      <c r="A519" s="1">
        <v>41886</v>
      </c>
      <c r="B519" s="1">
        <v>41908</v>
      </c>
      <c r="C519">
        <v>13.81</v>
      </c>
      <c r="D519">
        <v>0.36</v>
      </c>
      <c r="E519">
        <v>6</v>
      </c>
    </row>
    <row r="520" spans="1:5" x14ac:dyDescent="0.25">
      <c r="A520" s="1">
        <v>41886</v>
      </c>
      <c r="B520" s="1">
        <v>41896</v>
      </c>
      <c r="C520">
        <v>5.47</v>
      </c>
      <c r="D520">
        <v>0.14000000000000001</v>
      </c>
      <c r="E520">
        <v>2</v>
      </c>
    </row>
    <row r="521" spans="1:5" x14ac:dyDescent="0.25">
      <c r="A521" s="1">
        <v>41886</v>
      </c>
      <c r="B521" s="1">
        <v>41914</v>
      </c>
      <c r="C521">
        <v>7.31</v>
      </c>
      <c r="D521">
        <v>0.19</v>
      </c>
      <c r="E521">
        <v>6</v>
      </c>
    </row>
    <row r="522" spans="1:5" x14ac:dyDescent="0.25">
      <c r="A522" s="1">
        <v>41886</v>
      </c>
      <c r="B522" s="1">
        <v>41888</v>
      </c>
      <c r="C522">
        <v>3.73</v>
      </c>
      <c r="D522">
        <v>0.1</v>
      </c>
      <c r="E522">
        <v>3</v>
      </c>
    </row>
    <row r="523" spans="1:5" x14ac:dyDescent="0.25">
      <c r="A523" s="1">
        <v>41886</v>
      </c>
      <c r="B523" s="1">
        <v>41907</v>
      </c>
      <c r="C523">
        <v>8.39</v>
      </c>
      <c r="D523">
        <v>0.22</v>
      </c>
      <c r="E523">
        <v>4</v>
      </c>
    </row>
    <row r="524" spans="1:5" x14ac:dyDescent="0.25">
      <c r="A524" s="1">
        <v>41886</v>
      </c>
      <c r="B524" s="1">
        <v>41897</v>
      </c>
      <c r="C524">
        <v>13.07</v>
      </c>
      <c r="D524">
        <v>0.34</v>
      </c>
      <c r="E524">
        <v>2</v>
      </c>
    </row>
    <row r="525" spans="1:5" x14ac:dyDescent="0.25">
      <c r="A525" s="1">
        <v>41886</v>
      </c>
      <c r="B525" s="1">
        <v>41891</v>
      </c>
      <c r="C525">
        <v>7.35</v>
      </c>
      <c r="D525">
        <v>0.19</v>
      </c>
      <c r="E525">
        <v>3</v>
      </c>
    </row>
    <row r="526" spans="1:5" x14ac:dyDescent="0.25">
      <c r="A526" s="1">
        <v>41886</v>
      </c>
      <c r="B526" s="1">
        <v>41896</v>
      </c>
      <c r="C526">
        <v>14.31</v>
      </c>
      <c r="D526">
        <v>0.38</v>
      </c>
      <c r="E526">
        <v>5</v>
      </c>
    </row>
    <row r="527" spans="1:5" x14ac:dyDescent="0.25">
      <c r="A527" s="1">
        <v>41886</v>
      </c>
      <c r="B527" s="1">
        <v>41914</v>
      </c>
      <c r="C527">
        <v>5.57</v>
      </c>
      <c r="D527">
        <v>0.15</v>
      </c>
      <c r="E527">
        <v>4</v>
      </c>
    </row>
    <row r="528" spans="1:5" x14ac:dyDescent="0.25">
      <c r="A528" s="1">
        <v>41886</v>
      </c>
      <c r="B528" s="1">
        <v>41888</v>
      </c>
      <c r="C528">
        <v>5.23</v>
      </c>
      <c r="D528">
        <v>0.14000000000000001</v>
      </c>
      <c r="E528">
        <v>2</v>
      </c>
    </row>
    <row r="529" spans="1:5" x14ac:dyDescent="0.25">
      <c r="A529" s="1">
        <v>41886</v>
      </c>
      <c r="B529" s="1">
        <v>41900</v>
      </c>
      <c r="C529">
        <v>10.79</v>
      </c>
      <c r="D529">
        <v>0.28000000000000003</v>
      </c>
      <c r="E529">
        <v>4</v>
      </c>
    </row>
    <row r="530" spans="1:5" x14ac:dyDescent="0.25">
      <c r="A530" s="1">
        <v>41886</v>
      </c>
      <c r="B530" s="1">
        <v>41892</v>
      </c>
      <c r="C530">
        <v>2.72</v>
      </c>
      <c r="D530">
        <v>7.0000000000000007E-2</v>
      </c>
      <c r="E530">
        <v>2</v>
      </c>
    </row>
    <row r="531" spans="1:5" x14ac:dyDescent="0.25">
      <c r="A531" s="1">
        <v>41887</v>
      </c>
      <c r="B531" s="1">
        <v>41913</v>
      </c>
      <c r="C531">
        <v>7.55</v>
      </c>
      <c r="D531">
        <v>0.2</v>
      </c>
      <c r="E531">
        <v>3</v>
      </c>
    </row>
    <row r="532" spans="1:5" x14ac:dyDescent="0.25">
      <c r="A532" s="1">
        <v>41887</v>
      </c>
      <c r="B532" s="1">
        <v>41906</v>
      </c>
      <c r="C532">
        <v>6.43</v>
      </c>
      <c r="D532">
        <v>0.17</v>
      </c>
      <c r="E532">
        <v>2</v>
      </c>
    </row>
    <row r="533" spans="1:5" x14ac:dyDescent="0.25">
      <c r="A533" s="1">
        <v>41887</v>
      </c>
      <c r="B533" s="1">
        <v>41905</v>
      </c>
      <c r="C533">
        <v>3.88</v>
      </c>
      <c r="D533">
        <v>0.1</v>
      </c>
      <c r="E533">
        <v>6</v>
      </c>
    </row>
    <row r="534" spans="1:5" x14ac:dyDescent="0.25">
      <c r="A534" s="1">
        <v>41887</v>
      </c>
      <c r="B534" s="1">
        <v>41889</v>
      </c>
      <c r="C534">
        <v>5.67</v>
      </c>
      <c r="D534">
        <v>0.15</v>
      </c>
      <c r="E534">
        <v>4</v>
      </c>
    </row>
    <row r="535" spans="1:5" x14ac:dyDescent="0.25">
      <c r="A535" s="1">
        <v>41887</v>
      </c>
      <c r="B535" s="1">
        <v>41889</v>
      </c>
      <c r="C535">
        <v>12.01</v>
      </c>
      <c r="D535">
        <v>0.32</v>
      </c>
      <c r="E535">
        <v>4</v>
      </c>
    </row>
    <row r="536" spans="1:5" x14ac:dyDescent="0.25">
      <c r="A536" s="1">
        <v>41887</v>
      </c>
      <c r="B536" s="1">
        <v>41908</v>
      </c>
      <c r="C536">
        <v>6.58</v>
      </c>
      <c r="D536">
        <v>0.17</v>
      </c>
      <c r="E536">
        <v>6</v>
      </c>
    </row>
    <row r="537" spans="1:5" x14ac:dyDescent="0.25">
      <c r="A537" s="1">
        <v>41887</v>
      </c>
      <c r="B537" s="1">
        <v>41914</v>
      </c>
      <c r="C537">
        <v>3.79</v>
      </c>
      <c r="D537">
        <v>0.1</v>
      </c>
      <c r="E537">
        <v>3</v>
      </c>
    </row>
    <row r="538" spans="1:5" x14ac:dyDescent="0.25">
      <c r="A538" s="1">
        <v>41887</v>
      </c>
      <c r="B538" s="1">
        <v>41891</v>
      </c>
      <c r="C538">
        <v>8.83</v>
      </c>
      <c r="D538">
        <v>0.23</v>
      </c>
      <c r="E538">
        <v>2</v>
      </c>
    </row>
    <row r="539" spans="1:5" x14ac:dyDescent="0.25">
      <c r="A539" s="1">
        <v>41887</v>
      </c>
      <c r="B539" s="1">
        <v>41891</v>
      </c>
      <c r="C539">
        <v>14.31</v>
      </c>
      <c r="D539">
        <v>0.38</v>
      </c>
      <c r="E539">
        <v>3</v>
      </c>
    </row>
    <row r="540" spans="1:5" x14ac:dyDescent="0.25">
      <c r="A540" s="1">
        <v>41887</v>
      </c>
      <c r="B540" s="1">
        <v>41900</v>
      </c>
      <c r="C540">
        <v>5.47</v>
      </c>
      <c r="D540">
        <v>0.14000000000000001</v>
      </c>
      <c r="E540">
        <v>3</v>
      </c>
    </row>
    <row r="541" spans="1:5" x14ac:dyDescent="0.25">
      <c r="A541" s="1">
        <v>41887</v>
      </c>
      <c r="B541" s="1">
        <v>41907</v>
      </c>
      <c r="C541">
        <v>8.9499999999999993</v>
      </c>
      <c r="D541">
        <v>0.24</v>
      </c>
      <c r="E541">
        <v>4</v>
      </c>
    </row>
    <row r="542" spans="1:5" x14ac:dyDescent="0.25">
      <c r="A542" s="1">
        <v>41887</v>
      </c>
      <c r="B542" s="1">
        <v>41912</v>
      </c>
      <c r="C542">
        <v>4.25</v>
      </c>
      <c r="D542">
        <v>0.11</v>
      </c>
      <c r="E542">
        <v>5</v>
      </c>
    </row>
    <row r="543" spans="1:5" x14ac:dyDescent="0.25">
      <c r="A543" s="1">
        <v>41887</v>
      </c>
      <c r="B543" s="1">
        <v>41894</v>
      </c>
      <c r="C543">
        <v>6.88</v>
      </c>
      <c r="D543">
        <v>0.18</v>
      </c>
      <c r="E543">
        <v>5</v>
      </c>
    </row>
    <row r="544" spans="1:5" x14ac:dyDescent="0.25">
      <c r="A544" s="1">
        <v>41887</v>
      </c>
      <c r="B544" s="1">
        <v>41911</v>
      </c>
      <c r="C544">
        <v>8.89</v>
      </c>
      <c r="D544">
        <v>0.23</v>
      </c>
      <c r="E544">
        <v>3</v>
      </c>
    </row>
    <row r="545" spans="1:5" x14ac:dyDescent="0.25">
      <c r="A545" s="1">
        <v>41889</v>
      </c>
      <c r="B545" s="1">
        <v>41916</v>
      </c>
      <c r="C545">
        <v>6.43</v>
      </c>
      <c r="D545">
        <v>0.17</v>
      </c>
      <c r="E545">
        <v>5</v>
      </c>
    </row>
    <row r="546" spans="1:5" x14ac:dyDescent="0.25">
      <c r="A546" s="1">
        <v>41890</v>
      </c>
      <c r="B546" s="1">
        <v>41918</v>
      </c>
      <c r="C546">
        <v>6.58</v>
      </c>
      <c r="D546">
        <v>0.17</v>
      </c>
      <c r="E546">
        <v>5</v>
      </c>
    </row>
    <row r="547" spans="1:5" x14ac:dyDescent="0.25">
      <c r="A547" s="1">
        <v>41890</v>
      </c>
      <c r="B547" s="1">
        <v>41898</v>
      </c>
      <c r="C547">
        <v>5.67</v>
      </c>
      <c r="D547">
        <v>0.15</v>
      </c>
      <c r="E547">
        <v>2</v>
      </c>
    </row>
    <row r="548" spans="1:5" x14ac:dyDescent="0.25">
      <c r="A548" s="1">
        <v>41890</v>
      </c>
      <c r="B548" s="1">
        <v>41912</v>
      </c>
      <c r="C548">
        <v>3.57</v>
      </c>
      <c r="D548">
        <v>0.09</v>
      </c>
      <c r="E548">
        <v>3</v>
      </c>
    </row>
    <row r="549" spans="1:5" x14ac:dyDescent="0.25">
      <c r="A549" s="1">
        <v>41890</v>
      </c>
      <c r="B549" s="1">
        <v>41895</v>
      </c>
      <c r="C549">
        <v>3.73</v>
      </c>
      <c r="D549">
        <v>0.1</v>
      </c>
      <c r="E549">
        <v>3</v>
      </c>
    </row>
    <row r="550" spans="1:5" x14ac:dyDescent="0.25">
      <c r="A550" s="1">
        <v>41893</v>
      </c>
      <c r="B550" s="1">
        <v>41900</v>
      </c>
      <c r="C550">
        <v>8.5399999999999991</v>
      </c>
      <c r="D550">
        <v>0.22</v>
      </c>
      <c r="E550">
        <v>4</v>
      </c>
    </row>
    <row r="551" spans="1:5" x14ac:dyDescent="0.25">
      <c r="A551" s="1">
        <v>41893</v>
      </c>
      <c r="B551" s="1">
        <v>41898</v>
      </c>
      <c r="C551">
        <v>16.829999999999998</v>
      </c>
      <c r="D551">
        <v>0.44</v>
      </c>
      <c r="E551">
        <v>3</v>
      </c>
    </row>
    <row r="552" spans="1:5" x14ac:dyDescent="0.25">
      <c r="A552" s="1">
        <v>41893</v>
      </c>
      <c r="B552" s="1">
        <v>41918</v>
      </c>
      <c r="C552">
        <v>11.42</v>
      </c>
      <c r="D552">
        <v>0.3</v>
      </c>
      <c r="E552">
        <v>6</v>
      </c>
    </row>
    <row r="553" spans="1:5" x14ac:dyDescent="0.25">
      <c r="A553" s="1">
        <v>41893</v>
      </c>
      <c r="B553" s="1">
        <v>41899</v>
      </c>
      <c r="C553">
        <v>8.84</v>
      </c>
      <c r="D553">
        <v>0.23</v>
      </c>
      <c r="E553">
        <v>2</v>
      </c>
    </row>
    <row r="554" spans="1:5" x14ac:dyDescent="0.25">
      <c r="A554" s="1">
        <v>41893</v>
      </c>
      <c r="B554" s="1">
        <v>41906</v>
      </c>
      <c r="C554">
        <v>6.75</v>
      </c>
      <c r="D554">
        <v>0.18</v>
      </c>
      <c r="E554">
        <v>6</v>
      </c>
    </row>
    <row r="555" spans="1:5" x14ac:dyDescent="0.25">
      <c r="A555" s="1">
        <v>41893</v>
      </c>
      <c r="B555" s="1">
        <v>41919</v>
      </c>
      <c r="C555">
        <v>7.35</v>
      </c>
      <c r="D555">
        <v>0.19</v>
      </c>
      <c r="E555">
        <v>5</v>
      </c>
    </row>
    <row r="556" spans="1:5" x14ac:dyDescent="0.25">
      <c r="A556" s="1">
        <v>41897</v>
      </c>
      <c r="B556" s="1">
        <v>41921</v>
      </c>
      <c r="C556">
        <v>3.57</v>
      </c>
      <c r="D556">
        <v>0.09</v>
      </c>
      <c r="E556">
        <v>4</v>
      </c>
    </row>
    <row r="557" spans="1:5" x14ac:dyDescent="0.25">
      <c r="A557" s="1">
        <v>41897</v>
      </c>
      <c r="B557" s="1">
        <v>41905</v>
      </c>
      <c r="C557">
        <v>9.06</v>
      </c>
      <c r="D557">
        <v>0.24</v>
      </c>
      <c r="E557">
        <v>5</v>
      </c>
    </row>
    <row r="558" spans="1:5" x14ac:dyDescent="0.25">
      <c r="A558" s="1">
        <v>41898</v>
      </c>
      <c r="B558" s="1">
        <v>41906</v>
      </c>
      <c r="C558">
        <v>9.4600000000000009</v>
      </c>
      <c r="D558">
        <v>0.25</v>
      </c>
      <c r="E558">
        <v>4</v>
      </c>
    </row>
    <row r="559" spans="1:5" x14ac:dyDescent="0.25">
      <c r="A559" s="1">
        <v>41898</v>
      </c>
      <c r="B559" s="1">
        <v>41924</v>
      </c>
      <c r="C559">
        <v>8.9499999999999993</v>
      </c>
      <c r="D559">
        <v>0.24</v>
      </c>
      <c r="E559">
        <v>5</v>
      </c>
    </row>
    <row r="560" spans="1:5" x14ac:dyDescent="0.25">
      <c r="A560" s="1">
        <v>41898</v>
      </c>
      <c r="B560" s="1">
        <v>41923</v>
      </c>
      <c r="C560">
        <v>9.06</v>
      </c>
      <c r="D560">
        <v>0.24</v>
      </c>
      <c r="E560">
        <v>2</v>
      </c>
    </row>
    <row r="561" spans="1:5" x14ac:dyDescent="0.25">
      <c r="A561" s="1">
        <v>41898</v>
      </c>
      <c r="B561" s="1">
        <v>41904</v>
      </c>
      <c r="C561">
        <v>6.88</v>
      </c>
      <c r="D561">
        <v>0.18</v>
      </c>
      <c r="E561">
        <v>3</v>
      </c>
    </row>
    <row r="562" spans="1:5" x14ac:dyDescent="0.25">
      <c r="A562" s="1">
        <v>41898</v>
      </c>
      <c r="B562" s="1">
        <v>41917</v>
      </c>
      <c r="C562">
        <v>9.1300000000000008</v>
      </c>
      <c r="D562">
        <v>0.24</v>
      </c>
      <c r="E562">
        <v>4</v>
      </c>
    </row>
    <row r="563" spans="1:5" x14ac:dyDescent="0.25">
      <c r="A563" s="1">
        <v>41898</v>
      </c>
      <c r="B563" s="1">
        <v>41924</v>
      </c>
      <c r="C563">
        <v>12.01</v>
      </c>
      <c r="D563">
        <v>0.32</v>
      </c>
      <c r="E563">
        <v>3</v>
      </c>
    </row>
    <row r="564" spans="1:5" x14ac:dyDescent="0.25">
      <c r="A564" s="1">
        <v>41898</v>
      </c>
      <c r="B564" s="1">
        <v>41920</v>
      </c>
      <c r="C564">
        <v>19.54</v>
      </c>
      <c r="D564">
        <v>0.51</v>
      </c>
      <c r="E564">
        <v>5</v>
      </c>
    </row>
    <row r="565" spans="1:5" x14ac:dyDescent="0.25">
      <c r="A565" s="1">
        <v>41898</v>
      </c>
      <c r="B565" s="1">
        <v>41918</v>
      </c>
      <c r="C565">
        <v>10.199999999999999</v>
      </c>
      <c r="D565">
        <v>0.27</v>
      </c>
      <c r="E565">
        <v>5</v>
      </c>
    </row>
    <row r="566" spans="1:5" x14ac:dyDescent="0.25">
      <c r="A566" s="1">
        <v>41898</v>
      </c>
      <c r="B566" s="1">
        <v>41910</v>
      </c>
      <c r="C566">
        <v>14.31</v>
      </c>
      <c r="D566">
        <v>0.38</v>
      </c>
      <c r="E566">
        <v>6</v>
      </c>
    </row>
    <row r="567" spans="1:5" x14ac:dyDescent="0.25">
      <c r="A567" s="1">
        <v>41898</v>
      </c>
      <c r="B567" s="1">
        <v>41924</v>
      </c>
      <c r="C567">
        <v>8.89</v>
      </c>
      <c r="D567">
        <v>0.23</v>
      </c>
      <c r="E567">
        <v>6</v>
      </c>
    </row>
    <row r="568" spans="1:5" x14ac:dyDescent="0.25">
      <c r="A568" s="1">
        <v>41898</v>
      </c>
      <c r="B568" s="1">
        <v>41925</v>
      </c>
      <c r="C568">
        <v>11.44</v>
      </c>
      <c r="D568">
        <v>0.3</v>
      </c>
      <c r="E568">
        <v>2</v>
      </c>
    </row>
    <row r="569" spans="1:5" x14ac:dyDescent="0.25">
      <c r="A569" s="1">
        <v>41898</v>
      </c>
      <c r="B569" s="1">
        <v>41911</v>
      </c>
      <c r="C569">
        <v>6.43</v>
      </c>
      <c r="D569">
        <v>0.17</v>
      </c>
      <c r="E569">
        <v>5</v>
      </c>
    </row>
    <row r="570" spans="1:5" x14ac:dyDescent="0.25">
      <c r="A570" s="1">
        <v>41898</v>
      </c>
      <c r="B570" s="1">
        <v>41907</v>
      </c>
      <c r="C570">
        <v>7.31</v>
      </c>
      <c r="D570">
        <v>0.19</v>
      </c>
      <c r="E570">
        <v>5</v>
      </c>
    </row>
    <row r="571" spans="1:5" x14ac:dyDescent="0.25">
      <c r="A571" s="1">
        <v>41898</v>
      </c>
      <c r="B571" s="1">
        <v>41924</v>
      </c>
      <c r="C571">
        <v>8.5399999999999991</v>
      </c>
      <c r="D571">
        <v>0.22</v>
      </c>
      <c r="E571">
        <v>4</v>
      </c>
    </row>
    <row r="572" spans="1:5" x14ac:dyDescent="0.25">
      <c r="A572" s="1">
        <v>41898</v>
      </c>
      <c r="B572" s="1">
        <v>41901</v>
      </c>
      <c r="C572">
        <v>4.25</v>
      </c>
      <c r="D572">
        <v>0.11</v>
      </c>
      <c r="E572">
        <v>6</v>
      </c>
    </row>
    <row r="573" spans="1:5" x14ac:dyDescent="0.25">
      <c r="A573" s="1">
        <v>41898</v>
      </c>
      <c r="B573" s="1">
        <v>41922</v>
      </c>
      <c r="C573">
        <v>7.3</v>
      </c>
      <c r="D573">
        <v>0.19</v>
      </c>
      <c r="E573">
        <v>2</v>
      </c>
    </row>
    <row r="574" spans="1:5" x14ac:dyDescent="0.25">
      <c r="A574" s="1">
        <v>41898</v>
      </c>
      <c r="B574" s="1">
        <v>41919</v>
      </c>
      <c r="C574">
        <v>11.37</v>
      </c>
      <c r="D574">
        <v>0.3</v>
      </c>
      <c r="E574">
        <v>6</v>
      </c>
    </row>
    <row r="575" spans="1:5" x14ac:dyDescent="0.25">
      <c r="A575" s="1">
        <v>41898</v>
      </c>
      <c r="B575" s="1">
        <v>41903</v>
      </c>
      <c r="C575">
        <v>14.13</v>
      </c>
      <c r="D575">
        <v>0.37</v>
      </c>
      <c r="E575">
        <v>2</v>
      </c>
    </row>
    <row r="576" spans="1:5" x14ac:dyDescent="0.25">
      <c r="A576" s="1">
        <v>41898</v>
      </c>
      <c r="B576" s="1">
        <v>41925</v>
      </c>
      <c r="C576">
        <v>11.44</v>
      </c>
      <c r="D576">
        <v>0.3</v>
      </c>
      <c r="E576">
        <v>2</v>
      </c>
    </row>
    <row r="577" spans="1:5" x14ac:dyDescent="0.25">
      <c r="A577" s="1">
        <v>41899</v>
      </c>
      <c r="B577" s="1">
        <v>41927</v>
      </c>
      <c r="C577">
        <v>9.4600000000000009</v>
      </c>
      <c r="D577">
        <v>0.25</v>
      </c>
      <c r="E577">
        <v>6</v>
      </c>
    </row>
    <row r="578" spans="1:5" x14ac:dyDescent="0.25">
      <c r="A578" s="1">
        <v>41899</v>
      </c>
      <c r="B578" s="1">
        <v>41902</v>
      </c>
      <c r="C578">
        <v>4.25</v>
      </c>
      <c r="D578">
        <v>0.11</v>
      </c>
      <c r="E578">
        <v>2</v>
      </c>
    </row>
    <row r="579" spans="1:5" x14ac:dyDescent="0.25">
      <c r="A579" s="1">
        <v>41899</v>
      </c>
      <c r="B579" s="1">
        <v>41911</v>
      </c>
      <c r="C579">
        <v>7.31</v>
      </c>
      <c r="D579">
        <v>0.19</v>
      </c>
      <c r="E579">
        <v>4</v>
      </c>
    </row>
    <row r="580" spans="1:5" x14ac:dyDescent="0.25">
      <c r="A580" s="1">
        <v>41899</v>
      </c>
      <c r="B580" s="1">
        <v>41913</v>
      </c>
      <c r="C580">
        <v>14</v>
      </c>
      <c r="D580">
        <v>0.37</v>
      </c>
      <c r="E580">
        <v>6</v>
      </c>
    </row>
    <row r="581" spans="1:5" x14ac:dyDescent="0.25">
      <c r="A581" s="1">
        <v>41899</v>
      </c>
      <c r="B581" s="1">
        <v>41907</v>
      </c>
      <c r="C581">
        <v>6.23</v>
      </c>
      <c r="D581">
        <v>0.16</v>
      </c>
      <c r="E581">
        <v>2</v>
      </c>
    </row>
    <row r="582" spans="1:5" x14ac:dyDescent="0.25">
      <c r="A582" s="1">
        <v>41899</v>
      </c>
      <c r="B582" s="1">
        <v>41904</v>
      </c>
      <c r="C582">
        <v>9.1300000000000008</v>
      </c>
      <c r="D582">
        <v>0.24</v>
      </c>
      <c r="E582">
        <v>3</v>
      </c>
    </row>
    <row r="583" spans="1:5" x14ac:dyDescent="0.25">
      <c r="A583" s="1">
        <v>41899</v>
      </c>
      <c r="B583" s="1">
        <v>41919</v>
      </c>
      <c r="C583">
        <v>10.59</v>
      </c>
      <c r="D583">
        <v>0.28000000000000003</v>
      </c>
      <c r="E583">
        <v>5</v>
      </c>
    </row>
    <row r="584" spans="1:5" x14ac:dyDescent="0.25">
      <c r="A584" s="1">
        <v>41899</v>
      </c>
      <c r="B584" s="1">
        <v>41902</v>
      </c>
      <c r="C584">
        <v>9.06</v>
      </c>
      <c r="D584">
        <v>0.24</v>
      </c>
      <c r="E584">
        <v>2</v>
      </c>
    </row>
    <row r="585" spans="1:5" x14ac:dyDescent="0.25">
      <c r="A585" s="1">
        <v>41899</v>
      </c>
      <c r="B585" s="1">
        <v>41901</v>
      </c>
      <c r="C585">
        <v>7.06</v>
      </c>
      <c r="D585">
        <v>0.19</v>
      </c>
      <c r="E585">
        <v>2</v>
      </c>
    </row>
    <row r="586" spans="1:5" x14ac:dyDescent="0.25">
      <c r="A586" s="1">
        <v>41899</v>
      </c>
      <c r="B586" s="1">
        <v>41916</v>
      </c>
      <c r="C586">
        <v>6.75</v>
      </c>
      <c r="D586">
        <v>0.18</v>
      </c>
      <c r="E586">
        <v>5</v>
      </c>
    </row>
    <row r="587" spans="1:5" x14ac:dyDescent="0.25">
      <c r="A587" s="1">
        <v>41899</v>
      </c>
      <c r="B587" s="1">
        <v>41911</v>
      </c>
      <c r="C587">
        <v>7.3</v>
      </c>
      <c r="D587">
        <v>0.19</v>
      </c>
      <c r="E587">
        <v>4</v>
      </c>
    </row>
    <row r="588" spans="1:5" x14ac:dyDescent="0.25">
      <c r="A588" s="1">
        <v>41899</v>
      </c>
      <c r="B588" s="1">
        <v>41902</v>
      </c>
      <c r="C588">
        <v>13.02</v>
      </c>
      <c r="D588">
        <v>0.34</v>
      </c>
      <c r="E588">
        <v>5</v>
      </c>
    </row>
    <row r="589" spans="1:5" x14ac:dyDescent="0.25">
      <c r="A589" s="1">
        <v>41899</v>
      </c>
      <c r="B589" s="1">
        <v>41905</v>
      </c>
      <c r="C589">
        <v>14.13</v>
      </c>
      <c r="D589">
        <v>0.37</v>
      </c>
      <c r="E589">
        <v>3</v>
      </c>
    </row>
    <row r="590" spans="1:5" x14ac:dyDescent="0.25">
      <c r="A590" s="1">
        <v>41899</v>
      </c>
      <c r="B590" s="1">
        <v>41906</v>
      </c>
      <c r="C590">
        <v>10.59</v>
      </c>
      <c r="D590">
        <v>0.28000000000000003</v>
      </c>
      <c r="E590">
        <v>3</v>
      </c>
    </row>
    <row r="591" spans="1:5" x14ac:dyDescent="0.25">
      <c r="A591" s="1">
        <v>41899</v>
      </c>
      <c r="B591" s="1">
        <v>41917</v>
      </c>
      <c r="C591">
        <v>5.57</v>
      </c>
      <c r="D591">
        <v>0.15</v>
      </c>
      <c r="E591">
        <v>6</v>
      </c>
    </row>
    <row r="592" spans="1:5" x14ac:dyDescent="0.25">
      <c r="A592" s="1">
        <v>41900</v>
      </c>
      <c r="B592" s="1">
        <v>41906</v>
      </c>
      <c r="C592">
        <v>5.57</v>
      </c>
      <c r="D592">
        <v>0.15</v>
      </c>
      <c r="E592">
        <v>2</v>
      </c>
    </row>
    <row r="593" spans="1:5" x14ac:dyDescent="0.25">
      <c r="A593" s="1">
        <v>41901</v>
      </c>
      <c r="B593" s="1">
        <v>41919</v>
      </c>
      <c r="C593">
        <v>8.7200000000000006</v>
      </c>
      <c r="D593">
        <v>0.23</v>
      </c>
      <c r="E593">
        <v>2</v>
      </c>
    </row>
    <row r="594" spans="1:5" x14ac:dyDescent="0.25">
      <c r="A594" s="1">
        <v>41902</v>
      </c>
      <c r="B594" s="1">
        <v>41904</v>
      </c>
      <c r="C594">
        <v>6.43</v>
      </c>
      <c r="D594">
        <v>0.17</v>
      </c>
      <c r="E594">
        <v>4</v>
      </c>
    </row>
    <row r="595" spans="1:5" x14ac:dyDescent="0.25">
      <c r="A595" s="1">
        <v>41904</v>
      </c>
      <c r="B595" s="1">
        <v>41929</v>
      </c>
      <c r="C595">
        <v>3.57</v>
      </c>
      <c r="D595">
        <v>0.09</v>
      </c>
      <c r="E595">
        <v>2</v>
      </c>
    </row>
    <row r="596" spans="1:5" x14ac:dyDescent="0.25">
      <c r="A596" s="1">
        <v>41905</v>
      </c>
      <c r="B596" s="1">
        <v>41924</v>
      </c>
      <c r="C596">
        <v>13.82</v>
      </c>
      <c r="D596">
        <v>0.36</v>
      </c>
      <c r="E596">
        <v>4</v>
      </c>
    </row>
    <row r="597" spans="1:5" x14ac:dyDescent="0.25">
      <c r="A597" s="1">
        <v>41905</v>
      </c>
      <c r="B597" s="1">
        <v>41910</v>
      </c>
      <c r="C597">
        <v>11.37</v>
      </c>
      <c r="D597">
        <v>0.3</v>
      </c>
      <c r="E597">
        <v>5</v>
      </c>
    </row>
    <row r="598" spans="1:5" x14ac:dyDescent="0.25">
      <c r="A598" s="1">
        <v>41905</v>
      </c>
      <c r="B598" s="1">
        <v>41925</v>
      </c>
      <c r="C598">
        <v>6.58</v>
      </c>
      <c r="D598">
        <v>0.17</v>
      </c>
      <c r="E598">
        <v>4</v>
      </c>
    </row>
    <row r="599" spans="1:5" x14ac:dyDescent="0.25">
      <c r="A599" s="1">
        <v>41905</v>
      </c>
      <c r="B599" s="1">
        <v>41927</v>
      </c>
      <c r="C599">
        <v>11.69</v>
      </c>
      <c r="D599">
        <v>0.31</v>
      </c>
      <c r="E599">
        <v>5</v>
      </c>
    </row>
    <row r="600" spans="1:5" x14ac:dyDescent="0.25">
      <c r="A600" s="1">
        <v>41905</v>
      </c>
      <c r="B600" s="1">
        <v>41907</v>
      </c>
      <c r="C600">
        <v>12.01</v>
      </c>
      <c r="D600">
        <v>0.32</v>
      </c>
      <c r="E600">
        <v>3</v>
      </c>
    </row>
    <row r="601" spans="1:5" x14ac:dyDescent="0.25">
      <c r="A601" s="1">
        <v>41905</v>
      </c>
      <c r="B601" s="1">
        <v>41924</v>
      </c>
      <c r="C601">
        <v>6.43</v>
      </c>
      <c r="D601">
        <v>0.17</v>
      </c>
      <c r="E601">
        <v>2</v>
      </c>
    </row>
    <row r="602" spans="1:5" x14ac:dyDescent="0.25">
      <c r="A602" s="1">
        <v>41906</v>
      </c>
      <c r="B602" s="1">
        <v>41921</v>
      </c>
      <c r="C602">
        <v>14.13</v>
      </c>
      <c r="D602">
        <v>0.37</v>
      </c>
      <c r="E602">
        <v>2</v>
      </c>
    </row>
    <row r="603" spans="1:5" x14ac:dyDescent="0.25">
      <c r="A603" s="1">
        <v>41908</v>
      </c>
      <c r="B603" s="1">
        <v>41928</v>
      </c>
      <c r="C603">
        <v>3.73</v>
      </c>
      <c r="D603">
        <v>0.1</v>
      </c>
      <c r="E603">
        <v>2</v>
      </c>
    </row>
    <row r="604" spans="1:5" x14ac:dyDescent="0.25">
      <c r="A604" s="1">
        <v>41910</v>
      </c>
      <c r="B604" s="1">
        <v>41936</v>
      </c>
      <c r="C604">
        <v>2.29</v>
      </c>
      <c r="D604">
        <v>0.06</v>
      </c>
      <c r="E604">
        <v>6</v>
      </c>
    </row>
    <row r="605" spans="1:5" x14ac:dyDescent="0.25">
      <c r="A605" s="1">
        <v>41910</v>
      </c>
      <c r="B605" s="1">
        <v>41926</v>
      </c>
      <c r="C605">
        <v>14.13</v>
      </c>
      <c r="D605">
        <v>0.37</v>
      </c>
      <c r="E605">
        <v>3</v>
      </c>
    </row>
    <row r="606" spans="1:5" x14ac:dyDescent="0.25">
      <c r="A606" s="1">
        <v>41910</v>
      </c>
      <c r="B606" s="1">
        <v>41925</v>
      </c>
      <c r="C606">
        <v>11.37</v>
      </c>
      <c r="D606">
        <v>0.3</v>
      </c>
      <c r="E606">
        <v>4</v>
      </c>
    </row>
    <row r="607" spans="1:5" x14ac:dyDescent="0.25">
      <c r="A607" s="1">
        <v>41910</v>
      </c>
      <c r="B607" s="1">
        <v>41917</v>
      </c>
      <c r="C607">
        <v>16.940000000000001</v>
      </c>
      <c r="D607">
        <v>0.45</v>
      </c>
      <c r="E607">
        <v>2</v>
      </c>
    </row>
    <row r="608" spans="1:5" x14ac:dyDescent="0.25">
      <c r="A608" s="1">
        <v>41910</v>
      </c>
      <c r="B608" s="1">
        <v>41913</v>
      </c>
      <c r="C608">
        <v>11.42</v>
      </c>
      <c r="D608">
        <v>0.3</v>
      </c>
      <c r="E608">
        <v>3</v>
      </c>
    </row>
    <row r="609" spans="1:5" x14ac:dyDescent="0.25">
      <c r="A609" s="1">
        <v>41910</v>
      </c>
      <c r="B609" s="1">
        <v>41913</v>
      </c>
      <c r="C609">
        <v>4.25</v>
      </c>
      <c r="D609">
        <v>0.11</v>
      </c>
      <c r="E609">
        <v>4</v>
      </c>
    </row>
    <row r="610" spans="1:5" x14ac:dyDescent="0.25">
      <c r="A610" s="1">
        <v>41910</v>
      </c>
      <c r="B610" s="1">
        <v>41930</v>
      </c>
      <c r="C610">
        <v>5.78</v>
      </c>
      <c r="D610">
        <v>0.15</v>
      </c>
      <c r="E610">
        <v>2</v>
      </c>
    </row>
    <row r="611" spans="1:5" x14ac:dyDescent="0.25">
      <c r="A611" s="1">
        <v>41910</v>
      </c>
      <c r="B611" s="1">
        <v>41918</v>
      </c>
      <c r="C611">
        <v>5.23</v>
      </c>
      <c r="D611">
        <v>0.14000000000000001</v>
      </c>
      <c r="E611">
        <v>5</v>
      </c>
    </row>
    <row r="612" spans="1:5" x14ac:dyDescent="0.25">
      <c r="A612" s="1">
        <v>41910</v>
      </c>
      <c r="B612" s="1">
        <v>41933</v>
      </c>
      <c r="C612">
        <v>10.79</v>
      </c>
      <c r="D612">
        <v>0.28000000000000003</v>
      </c>
      <c r="E612">
        <v>3</v>
      </c>
    </row>
    <row r="613" spans="1:5" x14ac:dyDescent="0.25">
      <c r="A613" s="1">
        <v>41910</v>
      </c>
      <c r="B613" s="1">
        <v>41923</v>
      </c>
      <c r="C613">
        <v>5.78</v>
      </c>
      <c r="D613">
        <v>0.15</v>
      </c>
      <c r="E613">
        <v>6</v>
      </c>
    </row>
    <row r="614" spans="1:5" x14ac:dyDescent="0.25">
      <c r="A614" s="1">
        <v>41911</v>
      </c>
      <c r="B614" s="1">
        <v>41919</v>
      </c>
      <c r="C614">
        <v>11.37</v>
      </c>
      <c r="D614">
        <v>0.3</v>
      </c>
      <c r="E614">
        <v>4</v>
      </c>
    </row>
    <row r="615" spans="1:5" x14ac:dyDescent="0.25">
      <c r="A615" s="1">
        <v>41911</v>
      </c>
      <c r="B615" s="1">
        <v>41927</v>
      </c>
      <c r="C615">
        <v>8.9499999999999993</v>
      </c>
      <c r="D615">
        <v>0.24</v>
      </c>
      <c r="E615">
        <v>3</v>
      </c>
    </row>
    <row r="616" spans="1:5" x14ac:dyDescent="0.25">
      <c r="A616" s="1">
        <v>41911</v>
      </c>
      <c r="B616" s="1">
        <v>41929</v>
      </c>
      <c r="C616">
        <v>10.199999999999999</v>
      </c>
      <c r="D616">
        <v>0.27</v>
      </c>
      <c r="E616">
        <v>3</v>
      </c>
    </row>
    <row r="617" spans="1:5" x14ac:dyDescent="0.25">
      <c r="A617" s="1">
        <v>41911</v>
      </c>
      <c r="B617" s="1">
        <v>41921</v>
      </c>
      <c r="C617">
        <v>9.1300000000000008</v>
      </c>
      <c r="D617">
        <v>0.24</v>
      </c>
      <c r="E617">
        <v>4</v>
      </c>
    </row>
    <row r="618" spans="1:5" x14ac:dyDescent="0.25">
      <c r="A618" s="1">
        <v>41911</v>
      </c>
      <c r="B618" s="1">
        <v>41932</v>
      </c>
      <c r="C618">
        <v>6.23</v>
      </c>
      <c r="D618">
        <v>0.16</v>
      </c>
      <c r="E618">
        <v>6</v>
      </c>
    </row>
    <row r="619" spans="1:5" x14ac:dyDescent="0.25">
      <c r="A619" s="1">
        <v>41911</v>
      </c>
      <c r="B619" s="1">
        <v>41932</v>
      </c>
      <c r="C619">
        <v>8.84</v>
      </c>
      <c r="D619">
        <v>0.23</v>
      </c>
      <c r="E619">
        <v>4</v>
      </c>
    </row>
    <row r="620" spans="1:5" x14ac:dyDescent="0.25">
      <c r="A620" s="1">
        <v>41911</v>
      </c>
      <c r="B620" s="1">
        <v>41919</v>
      </c>
      <c r="C620">
        <v>6.88</v>
      </c>
      <c r="D620">
        <v>0.18</v>
      </c>
      <c r="E620">
        <v>6</v>
      </c>
    </row>
    <row r="621" spans="1:5" x14ac:dyDescent="0.25">
      <c r="A621" s="1">
        <v>41911</v>
      </c>
      <c r="B621" s="1">
        <v>41921</v>
      </c>
      <c r="C621">
        <v>8.84</v>
      </c>
      <c r="D621">
        <v>0.23</v>
      </c>
      <c r="E621">
        <v>2</v>
      </c>
    </row>
    <row r="622" spans="1:5" x14ac:dyDescent="0.25">
      <c r="A622" s="1">
        <v>41911</v>
      </c>
      <c r="B622" s="1">
        <v>41917</v>
      </c>
      <c r="C622">
        <v>3.57</v>
      </c>
      <c r="D622">
        <v>0.09</v>
      </c>
      <c r="E622">
        <v>5</v>
      </c>
    </row>
    <row r="623" spans="1:5" x14ac:dyDescent="0.25">
      <c r="A623" s="1">
        <v>41911</v>
      </c>
      <c r="B623" s="1">
        <v>41926</v>
      </c>
      <c r="C623">
        <v>5.64</v>
      </c>
      <c r="D623">
        <v>0.15</v>
      </c>
      <c r="E623">
        <v>5</v>
      </c>
    </row>
    <row r="624" spans="1:5" x14ac:dyDescent="0.25">
      <c r="A624" s="1">
        <v>41911</v>
      </c>
      <c r="B624" s="1">
        <v>41938</v>
      </c>
      <c r="C624">
        <v>9.06</v>
      </c>
      <c r="D624">
        <v>0.24</v>
      </c>
      <c r="E624">
        <v>6</v>
      </c>
    </row>
    <row r="625" spans="1:5" x14ac:dyDescent="0.25">
      <c r="A625" s="1">
        <v>41911</v>
      </c>
      <c r="B625" s="1">
        <v>41916</v>
      </c>
      <c r="C625">
        <v>7.55</v>
      </c>
      <c r="D625">
        <v>0.2</v>
      </c>
      <c r="E625">
        <v>2</v>
      </c>
    </row>
    <row r="626" spans="1:5" x14ac:dyDescent="0.25">
      <c r="A626" s="1">
        <v>41911</v>
      </c>
      <c r="B626" s="1">
        <v>41929</v>
      </c>
      <c r="C626">
        <v>13.02</v>
      </c>
      <c r="D626">
        <v>0.34</v>
      </c>
      <c r="E626">
        <v>5</v>
      </c>
    </row>
    <row r="627" spans="1:5" x14ac:dyDescent="0.25">
      <c r="A627" s="1">
        <v>41911</v>
      </c>
      <c r="B627" s="1">
        <v>41913</v>
      </c>
      <c r="C627">
        <v>8.9499999999999993</v>
      </c>
      <c r="D627">
        <v>0.24</v>
      </c>
      <c r="E627">
        <v>4</v>
      </c>
    </row>
    <row r="628" spans="1:5" x14ac:dyDescent="0.25">
      <c r="A628" s="1">
        <v>41911</v>
      </c>
      <c r="B628" s="1">
        <v>41918</v>
      </c>
      <c r="C628">
        <v>10.93</v>
      </c>
      <c r="D628">
        <v>0.28999999999999998</v>
      </c>
      <c r="E628">
        <v>3</v>
      </c>
    </row>
    <row r="629" spans="1:5" x14ac:dyDescent="0.25">
      <c r="A629" s="1">
        <v>41911</v>
      </c>
      <c r="B629" s="1">
        <v>41931</v>
      </c>
      <c r="C629">
        <v>7.3</v>
      </c>
      <c r="D629">
        <v>0.19</v>
      </c>
      <c r="E629">
        <v>5</v>
      </c>
    </row>
    <row r="630" spans="1:5" x14ac:dyDescent="0.25">
      <c r="A630" s="1">
        <v>41911</v>
      </c>
      <c r="B630" s="1">
        <v>41939</v>
      </c>
      <c r="C630">
        <v>7.31</v>
      </c>
      <c r="D630">
        <v>0.19</v>
      </c>
      <c r="E630">
        <v>6</v>
      </c>
    </row>
    <row r="631" spans="1:5" x14ac:dyDescent="0.25">
      <c r="A631" s="1">
        <v>41911</v>
      </c>
      <c r="B631" s="1">
        <v>41918</v>
      </c>
      <c r="C631">
        <v>13.07</v>
      </c>
      <c r="D631">
        <v>0.34</v>
      </c>
      <c r="E631">
        <v>5</v>
      </c>
    </row>
    <row r="632" spans="1:5" x14ac:dyDescent="0.25">
      <c r="A632" s="1">
        <v>41911</v>
      </c>
      <c r="B632" s="1">
        <v>41923</v>
      </c>
      <c r="C632">
        <v>5.67</v>
      </c>
      <c r="D632">
        <v>0.15</v>
      </c>
      <c r="E632">
        <v>4</v>
      </c>
    </row>
    <row r="633" spans="1:5" x14ac:dyDescent="0.25">
      <c r="A633" s="1">
        <v>41912</v>
      </c>
      <c r="B633" s="1">
        <v>41925</v>
      </c>
      <c r="C633">
        <v>2.72</v>
      </c>
      <c r="D633">
        <v>7.0000000000000007E-2</v>
      </c>
      <c r="E633">
        <v>6</v>
      </c>
    </row>
    <row r="634" spans="1:5" x14ac:dyDescent="0.25">
      <c r="A634" s="1">
        <v>41913</v>
      </c>
      <c r="B634" s="1">
        <v>41919</v>
      </c>
      <c r="C634">
        <v>5.67</v>
      </c>
      <c r="D634">
        <v>0.15</v>
      </c>
      <c r="E634">
        <v>4</v>
      </c>
    </row>
    <row r="635" spans="1:5" x14ac:dyDescent="0.25">
      <c r="A635" s="1">
        <v>41913</v>
      </c>
      <c r="B635" s="1">
        <v>41928</v>
      </c>
      <c r="C635">
        <v>5.67</v>
      </c>
      <c r="D635">
        <v>0.15</v>
      </c>
      <c r="E635">
        <v>5</v>
      </c>
    </row>
    <row r="636" spans="1:5" x14ac:dyDescent="0.25">
      <c r="A636" s="1">
        <v>41914</v>
      </c>
      <c r="B636" s="1">
        <v>41917</v>
      </c>
      <c r="C636">
        <v>3.94</v>
      </c>
      <c r="D636">
        <v>0.1</v>
      </c>
      <c r="E636">
        <v>5</v>
      </c>
    </row>
    <row r="637" spans="1:5" x14ac:dyDescent="0.25">
      <c r="A637" s="1">
        <v>41914</v>
      </c>
      <c r="B637" s="1">
        <v>41942</v>
      </c>
      <c r="C637">
        <v>5.64</v>
      </c>
      <c r="D637">
        <v>0.15</v>
      </c>
      <c r="E637">
        <v>3</v>
      </c>
    </row>
    <row r="638" spans="1:5" x14ac:dyDescent="0.25">
      <c r="A638" s="1">
        <v>41915</v>
      </c>
      <c r="B638" s="1">
        <v>41932</v>
      </c>
      <c r="C638">
        <v>2.0099999999999998</v>
      </c>
      <c r="D638">
        <v>0.05</v>
      </c>
      <c r="E638">
        <v>6</v>
      </c>
    </row>
    <row r="639" spans="1:5" x14ac:dyDescent="0.25">
      <c r="A639" s="1">
        <v>41915</v>
      </c>
      <c r="B639" s="1">
        <v>41938</v>
      </c>
      <c r="C639">
        <v>3.73</v>
      </c>
      <c r="D639">
        <v>0.1</v>
      </c>
      <c r="E639">
        <v>4</v>
      </c>
    </row>
    <row r="640" spans="1:5" x14ac:dyDescent="0.25">
      <c r="A640" s="1">
        <v>41915</v>
      </c>
      <c r="B640" s="1">
        <v>41921</v>
      </c>
      <c r="C640">
        <v>3.73</v>
      </c>
      <c r="D640">
        <v>0.1</v>
      </c>
      <c r="E640">
        <v>2</v>
      </c>
    </row>
    <row r="641" spans="1:5" x14ac:dyDescent="0.25">
      <c r="A641" s="1">
        <v>41917</v>
      </c>
      <c r="B641" s="1">
        <v>41937</v>
      </c>
      <c r="C641">
        <v>4.25</v>
      </c>
      <c r="D641">
        <v>0.11</v>
      </c>
      <c r="E641">
        <v>5</v>
      </c>
    </row>
    <row r="642" spans="1:5" x14ac:dyDescent="0.25">
      <c r="A642" s="1">
        <v>41917</v>
      </c>
      <c r="B642" s="1">
        <v>41928</v>
      </c>
      <c r="C642">
        <v>11.42</v>
      </c>
      <c r="D642">
        <v>0.3</v>
      </c>
      <c r="E642">
        <v>4</v>
      </c>
    </row>
    <row r="643" spans="1:5" x14ac:dyDescent="0.25">
      <c r="A643" s="1">
        <v>41917</v>
      </c>
      <c r="B643" s="1">
        <v>41939</v>
      </c>
      <c r="C643">
        <v>13.07</v>
      </c>
      <c r="D643">
        <v>0.34</v>
      </c>
      <c r="E643">
        <v>3</v>
      </c>
    </row>
    <row r="644" spans="1:5" x14ac:dyDescent="0.25">
      <c r="A644" s="1">
        <v>41918</v>
      </c>
      <c r="B644" s="1">
        <v>41939</v>
      </c>
      <c r="C644">
        <v>5.67</v>
      </c>
      <c r="D644">
        <v>0.15</v>
      </c>
      <c r="E644">
        <v>2</v>
      </c>
    </row>
    <row r="645" spans="1:5" x14ac:dyDescent="0.25">
      <c r="A645" s="1">
        <v>41918</v>
      </c>
      <c r="B645" s="1">
        <v>41922</v>
      </c>
      <c r="C645">
        <v>6.23</v>
      </c>
      <c r="D645">
        <v>0.16</v>
      </c>
      <c r="E645">
        <v>4</v>
      </c>
    </row>
    <row r="646" spans="1:5" x14ac:dyDescent="0.25">
      <c r="A646" s="1">
        <v>41918</v>
      </c>
      <c r="B646" s="1">
        <v>41940</v>
      </c>
      <c r="C646">
        <v>19.940000000000001</v>
      </c>
      <c r="D646">
        <v>0.52</v>
      </c>
      <c r="E646">
        <v>4</v>
      </c>
    </row>
    <row r="647" spans="1:5" x14ac:dyDescent="0.25">
      <c r="A647" s="1">
        <v>41918</v>
      </c>
      <c r="B647" s="1">
        <v>41925</v>
      </c>
      <c r="C647">
        <v>6.88</v>
      </c>
      <c r="D647">
        <v>0.18</v>
      </c>
      <c r="E647">
        <v>3</v>
      </c>
    </row>
    <row r="648" spans="1:5" x14ac:dyDescent="0.25">
      <c r="A648" s="1">
        <v>41918</v>
      </c>
      <c r="B648" s="1">
        <v>41929</v>
      </c>
      <c r="C648">
        <v>8.39</v>
      </c>
      <c r="D648">
        <v>0.22</v>
      </c>
      <c r="E648">
        <v>6</v>
      </c>
    </row>
    <row r="649" spans="1:5" x14ac:dyDescent="0.25">
      <c r="A649" s="1">
        <v>41922</v>
      </c>
      <c r="B649" s="1">
        <v>41936</v>
      </c>
      <c r="C649">
        <v>11.44</v>
      </c>
      <c r="D649">
        <v>0.3</v>
      </c>
      <c r="E649">
        <v>4</v>
      </c>
    </row>
    <row r="650" spans="1:5" x14ac:dyDescent="0.25">
      <c r="A650" s="1">
        <v>41922</v>
      </c>
      <c r="B650" s="1">
        <v>41937</v>
      </c>
      <c r="C650">
        <v>9.4600000000000009</v>
      </c>
      <c r="D650">
        <v>0.25</v>
      </c>
      <c r="E650">
        <v>5</v>
      </c>
    </row>
    <row r="651" spans="1:5" x14ac:dyDescent="0.25">
      <c r="A651" s="1">
        <v>41922</v>
      </c>
      <c r="B651" s="1">
        <v>41926</v>
      </c>
      <c r="C651">
        <v>5.67</v>
      </c>
      <c r="D651">
        <v>0.15</v>
      </c>
      <c r="E651">
        <v>4</v>
      </c>
    </row>
    <row r="652" spans="1:5" x14ac:dyDescent="0.25">
      <c r="A652" s="1">
        <v>41922</v>
      </c>
      <c r="B652" s="1">
        <v>41947</v>
      </c>
      <c r="C652">
        <v>13.82</v>
      </c>
      <c r="D652">
        <v>0.36</v>
      </c>
      <c r="E652">
        <v>2</v>
      </c>
    </row>
    <row r="653" spans="1:5" x14ac:dyDescent="0.25">
      <c r="A653" s="1">
        <v>41922</v>
      </c>
      <c r="B653" s="1">
        <v>41929</v>
      </c>
      <c r="C653">
        <v>6.43</v>
      </c>
      <c r="D653">
        <v>0.17</v>
      </c>
      <c r="E653">
        <v>5</v>
      </c>
    </row>
    <row r="654" spans="1:5" x14ac:dyDescent="0.25">
      <c r="A654" s="1">
        <v>41922</v>
      </c>
      <c r="B654" s="1">
        <v>41928</v>
      </c>
      <c r="C654">
        <v>2.0099999999999998</v>
      </c>
      <c r="D654">
        <v>0.05</v>
      </c>
      <c r="E654">
        <v>2</v>
      </c>
    </row>
    <row r="655" spans="1:5" x14ac:dyDescent="0.25">
      <c r="A655" s="1">
        <v>41922</v>
      </c>
      <c r="B655" s="1">
        <v>41950</v>
      </c>
      <c r="C655">
        <v>6.43</v>
      </c>
      <c r="D655">
        <v>0.17</v>
      </c>
      <c r="E655">
        <v>5</v>
      </c>
    </row>
    <row r="656" spans="1:5" x14ac:dyDescent="0.25">
      <c r="A656" s="1">
        <v>41922</v>
      </c>
      <c r="B656" s="1">
        <v>41944</v>
      </c>
      <c r="C656">
        <v>7.35</v>
      </c>
      <c r="D656">
        <v>0.19</v>
      </c>
      <c r="E656">
        <v>6</v>
      </c>
    </row>
    <row r="657" spans="1:5" x14ac:dyDescent="0.25">
      <c r="A657" s="1">
        <v>41922</v>
      </c>
      <c r="B657" s="1">
        <v>41947</v>
      </c>
      <c r="C657">
        <v>16.55</v>
      </c>
      <c r="D657">
        <v>0.44</v>
      </c>
      <c r="E657">
        <v>6</v>
      </c>
    </row>
    <row r="658" spans="1:5" x14ac:dyDescent="0.25">
      <c r="A658" s="1">
        <v>41922</v>
      </c>
      <c r="B658" s="1">
        <v>41928</v>
      </c>
      <c r="C658">
        <v>9.06</v>
      </c>
      <c r="D658">
        <v>0.24</v>
      </c>
      <c r="E658">
        <v>6</v>
      </c>
    </row>
    <row r="659" spans="1:5" x14ac:dyDescent="0.25">
      <c r="A659" s="1">
        <v>41922</v>
      </c>
      <c r="B659" s="1">
        <v>41945</v>
      </c>
      <c r="C659">
        <v>10.59</v>
      </c>
      <c r="D659">
        <v>0.28000000000000003</v>
      </c>
      <c r="E659">
        <v>4</v>
      </c>
    </row>
    <row r="660" spans="1:5" x14ac:dyDescent="0.25">
      <c r="A660" s="1">
        <v>41922</v>
      </c>
      <c r="B660" s="1">
        <v>41930</v>
      </c>
      <c r="C660">
        <v>7.71</v>
      </c>
      <c r="D660">
        <v>0.2</v>
      </c>
      <c r="E660">
        <v>3</v>
      </c>
    </row>
    <row r="661" spans="1:5" x14ac:dyDescent="0.25">
      <c r="A661" s="1">
        <v>41922</v>
      </c>
      <c r="B661" s="1">
        <v>41949</v>
      </c>
      <c r="C661">
        <v>10.19</v>
      </c>
      <c r="D661">
        <v>0.27</v>
      </c>
      <c r="E661">
        <v>4</v>
      </c>
    </row>
    <row r="662" spans="1:5" x14ac:dyDescent="0.25">
      <c r="A662" s="1">
        <v>41922</v>
      </c>
      <c r="B662" s="1">
        <v>41928</v>
      </c>
      <c r="C662">
        <v>4.25</v>
      </c>
      <c r="D662">
        <v>0.11</v>
      </c>
      <c r="E662">
        <v>4</v>
      </c>
    </row>
    <row r="663" spans="1:5" x14ac:dyDescent="0.25">
      <c r="A663" s="1">
        <v>41922</v>
      </c>
      <c r="B663" s="1">
        <v>41926</v>
      </c>
      <c r="C663">
        <v>9.06</v>
      </c>
      <c r="D663">
        <v>0.24</v>
      </c>
      <c r="E663">
        <v>3</v>
      </c>
    </row>
    <row r="664" spans="1:5" x14ac:dyDescent="0.25">
      <c r="A664" s="1">
        <v>41923</v>
      </c>
      <c r="B664" s="1">
        <v>41932</v>
      </c>
      <c r="C664">
        <v>8.65</v>
      </c>
      <c r="D664">
        <v>0.23</v>
      </c>
      <c r="E664">
        <v>4</v>
      </c>
    </row>
    <row r="665" spans="1:5" x14ac:dyDescent="0.25">
      <c r="A665" s="1">
        <v>41923</v>
      </c>
      <c r="B665" s="1">
        <v>41935</v>
      </c>
      <c r="C665">
        <v>8.84</v>
      </c>
      <c r="D665">
        <v>0.23</v>
      </c>
      <c r="E665">
        <v>4</v>
      </c>
    </row>
    <row r="666" spans="1:5" x14ac:dyDescent="0.25">
      <c r="A666" s="1">
        <v>41923</v>
      </c>
      <c r="B666" s="1">
        <v>41932</v>
      </c>
      <c r="C666">
        <v>4.25</v>
      </c>
      <c r="D666">
        <v>0.11</v>
      </c>
      <c r="E666">
        <v>5</v>
      </c>
    </row>
    <row r="667" spans="1:5" x14ac:dyDescent="0.25">
      <c r="A667" s="1">
        <v>41923</v>
      </c>
      <c r="B667" s="1">
        <v>41927</v>
      </c>
      <c r="C667">
        <v>5.47</v>
      </c>
      <c r="D667">
        <v>0.14000000000000001</v>
      </c>
      <c r="E667">
        <v>5</v>
      </c>
    </row>
    <row r="668" spans="1:5" x14ac:dyDescent="0.25">
      <c r="A668" s="1">
        <v>41923</v>
      </c>
      <c r="B668" s="1">
        <v>41937</v>
      </c>
      <c r="C668">
        <v>14.31</v>
      </c>
      <c r="D668">
        <v>0.38</v>
      </c>
      <c r="E668">
        <v>3</v>
      </c>
    </row>
    <row r="669" spans="1:5" x14ac:dyDescent="0.25">
      <c r="A669" s="1">
        <v>41923</v>
      </c>
      <c r="B669" s="1">
        <v>41949</v>
      </c>
      <c r="C669">
        <v>13.81</v>
      </c>
      <c r="D669">
        <v>0.36</v>
      </c>
      <c r="E669">
        <v>6</v>
      </c>
    </row>
    <row r="670" spans="1:5" x14ac:dyDescent="0.25">
      <c r="A670" s="1">
        <v>41923</v>
      </c>
      <c r="B670" s="1">
        <v>41943</v>
      </c>
      <c r="C670">
        <v>9.74</v>
      </c>
      <c r="D670">
        <v>0.26</v>
      </c>
      <c r="E670">
        <v>3</v>
      </c>
    </row>
    <row r="671" spans="1:5" x14ac:dyDescent="0.25">
      <c r="A671" s="1">
        <v>41923</v>
      </c>
      <c r="B671" s="1">
        <v>41951</v>
      </c>
      <c r="C671">
        <v>9.4600000000000009</v>
      </c>
      <c r="D671">
        <v>0.25</v>
      </c>
      <c r="E671">
        <v>5</v>
      </c>
    </row>
    <row r="672" spans="1:5" x14ac:dyDescent="0.25">
      <c r="A672" s="1">
        <v>41923</v>
      </c>
      <c r="B672" s="1">
        <v>41940</v>
      </c>
      <c r="C672">
        <v>7.31</v>
      </c>
      <c r="D672">
        <v>0.19</v>
      </c>
      <c r="E672">
        <v>2</v>
      </c>
    </row>
    <row r="673" spans="1:5" x14ac:dyDescent="0.25">
      <c r="A673" s="1">
        <v>41923</v>
      </c>
      <c r="B673" s="1">
        <v>41945</v>
      </c>
      <c r="C673">
        <v>11.78</v>
      </c>
      <c r="D673">
        <v>0.31</v>
      </c>
      <c r="E673">
        <v>4</v>
      </c>
    </row>
    <row r="674" spans="1:5" x14ac:dyDescent="0.25">
      <c r="A674" s="1">
        <v>41923</v>
      </c>
      <c r="B674" s="1">
        <v>41940</v>
      </c>
      <c r="C674">
        <v>13.82</v>
      </c>
      <c r="D674">
        <v>0.36</v>
      </c>
      <c r="E674">
        <v>4</v>
      </c>
    </row>
    <row r="675" spans="1:5" x14ac:dyDescent="0.25">
      <c r="A675" s="1">
        <v>41925</v>
      </c>
      <c r="B675" s="1">
        <v>41950</v>
      </c>
      <c r="C675">
        <v>3.94</v>
      </c>
      <c r="D675">
        <v>0.1</v>
      </c>
      <c r="E675">
        <v>5</v>
      </c>
    </row>
    <row r="676" spans="1:5" x14ac:dyDescent="0.25">
      <c r="A676" s="1">
        <v>41925</v>
      </c>
      <c r="B676" s="1">
        <v>41934</v>
      </c>
      <c r="C676">
        <v>6.58</v>
      </c>
      <c r="D676">
        <v>0.17</v>
      </c>
      <c r="E676">
        <v>5</v>
      </c>
    </row>
    <row r="677" spans="1:5" x14ac:dyDescent="0.25">
      <c r="A677" s="1">
        <v>41925</v>
      </c>
      <c r="B677" s="1">
        <v>41931</v>
      </c>
      <c r="C677">
        <v>6.34</v>
      </c>
      <c r="D677">
        <v>0.17</v>
      </c>
      <c r="E677">
        <v>4</v>
      </c>
    </row>
    <row r="678" spans="1:5" x14ac:dyDescent="0.25">
      <c r="A678" s="1">
        <v>41925</v>
      </c>
      <c r="B678" s="1">
        <v>41943</v>
      </c>
      <c r="C678">
        <v>6.58</v>
      </c>
      <c r="D678">
        <v>0.17</v>
      </c>
      <c r="E678">
        <v>4</v>
      </c>
    </row>
    <row r="679" spans="1:5" x14ac:dyDescent="0.25">
      <c r="A679" s="1">
        <v>41925</v>
      </c>
      <c r="B679" s="1">
        <v>41949</v>
      </c>
      <c r="C679">
        <v>6.34</v>
      </c>
      <c r="D679">
        <v>0.17</v>
      </c>
      <c r="E679">
        <v>3</v>
      </c>
    </row>
    <row r="680" spans="1:5" x14ac:dyDescent="0.25">
      <c r="A680" s="1">
        <v>41926</v>
      </c>
      <c r="B680" s="1">
        <v>41941</v>
      </c>
      <c r="C680">
        <v>6.43</v>
      </c>
      <c r="D680">
        <v>0.17</v>
      </c>
      <c r="E680">
        <v>6</v>
      </c>
    </row>
    <row r="681" spans="1:5" x14ac:dyDescent="0.25">
      <c r="A681" s="1">
        <v>41927</v>
      </c>
      <c r="B681" s="1">
        <v>41954</v>
      </c>
      <c r="C681">
        <v>2.0099999999999998</v>
      </c>
      <c r="D681">
        <v>0.05</v>
      </c>
      <c r="E681">
        <v>6</v>
      </c>
    </row>
    <row r="682" spans="1:5" x14ac:dyDescent="0.25">
      <c r="A682" s="1">
        <v>41927</v>
      </c>
      <c r="B682" s="1">
        <v>41953</v>
      </c>
      <c r="C682">
        <v>2.72</v>
      </c>
      <c r="D682">
        <v>7.0000000000000007E-2</v>
      </c>
      <c r="E682">
        <v>4</v>
      </c>
    </row>
    <row r="683" spans="1:5" x14ac:dyDescent="0.25">
      <c r="A683" s="1">
        <v>41928</v>
      </c>
      <c r="B683" s="1">
        <v>41934</v>
      </c>
      <c r="C683">
        <v>3.73</v>
      </c>
      <c r="D683">
        <v>0.1</v>
      </c>
      <c r="E683">
        <v>5</v>
      </c>
    </row>
    <row r="684" spans="1:5" x14ac:dyDescent="0.25">
      <c r="A684" s="1">
        <v>41929</v>
      </c>
      <c r="B684" s="1">
        <v>41937</v>
      </c>
      <c r="C684">
        <v>5.64</v>
      </c>
      <c r="D684">
        <v>0.15</v>
      </c>
      <c r="E684">
        <v>6</v>
      </c>
    </row>
    <row r="685" spans="1:5" x14ac:dyDescent="0.25">
      <c r="A685" s="1">
        <v>41929</v>
      </c>
      <c r="B685" s="1">
        <v>41942</v>
      </c>
      <c r="C685">
        <v>11.78</v>
      </c>
      <c r="D685">
        <v>0.31</v>
      </c>
      <c r="E685">
        <v>5</v>
      </c>
    </row>
    <row r="686" spans="1:5" x14ac:dyDescent="0.25">
      <c r="A686" s="1">
        <v>41929</v>
      </c>
      <c r="B686" s="1">
        <v>41931</v>
      </c>
      <c r="C686">
        <v>9.4600000000000009</v>
      </c>
      <c r="D686">
        <v>0.25</v>
      </c>
      <c r="E686">
        <v>5</v>
      </c>
    </row>
    <row r="687" spans="1:5" x14ac:dyDescent="0.25">
      <c r="A687" s="1">
        <v>41929</v>
      </c>
      <c r="B687" s="1">
        <v>41945</v>
      </c>
      <c r="C687">
        <v>4.25</v>
      </c>
      <c r="D687">
        <v>0.11</v>
      </c>
      <c r="E687">
        <v>3</v>
      </c>
    </row>
    <row r="688" spans="1:5" x14ac:dyDescent="0.25">
      <c r="A688" s="1">
        <v>41929</v>
      </c>
      <c r="B688" s="1">
        <v>41955</v>
      </c>
      <c r="C688">
        <v>11.42</v>
      </c>
      <c r="D688">
        <v>0.3</v>
      </c>
      <c r="E688">
        <v>4</v>
      </c>
    </row>
    <row r="689" spans="1:5" x14ac:dyDescent="0.25">
      <c r="A689" s="1">
        <v>41929</v>
      </c>
      <c r="B689" s="1">
        <v>41955</v>
      </c>
      <c r="C689">
        <v>8.5399999999999991</v>
      </c>
      <c r="D689">
        <v>0.22</v>
      </c>
      <c r="E689">
        <v>3</v>
      </c>
    </row>
    <row r="690" spans="1:5" x14ac:dyDescent="0.25">
      <c r="A690" s="1">
        <v>41930</v>
      </c>
      <c r="B690" s="1">
        <v>41936</v>
      </c>
      <c r="C690">
        <v>2.72</v>
      </c>
      <c r="D690">
        <v>7.0000000000000007E-2</v>
      </c>
      <c r="E690">
        <v>2</v>
      </c>
    </row>
    <row r="691" spans="1:5" x14ac:dyDescent="0.25">
      <c r="A691" s="1">
        <v>41934</v>
      </c>
      <c r="B691" s="1">
        <v>41941</v>
      </c>
      <c r="C691">
        <v>11.78</v>
      </c>
      <c r="D691">
        <v>0.31</v>
      </c>
      <c r="E691">
        <v>3</v>
      </c>
    </row>
    <row r="692" spans="1:5" x14ac:dyDescent="0.25">
      <c r="A692" s="1">
        <v>41934</v>
      </c>
      <c r="B692" s="1">
        <v>41959</v>
      </c>
      <c r="C692">
        <v>8.89</v>
      </c>
      <c r="D692">
        <v>0.23</v>
      </c>
      <c r="E692">
        <v>4</v>
      </c>
    </row>
    <row r="693" spans="1:5" x14ac:dyDescent="0.25">
      <c r="A693" s="1">
        <v>41934</v>
      </c>
      <c r="B693" s="1">
        <v>41937</v>
      </c>
      <c r="C693">
        <v>3.94</v>
      </c>
      <c r="D693">
        <v>0.1</v>
      </c>
      <c r="E693">
        <v>5</v>
      </c>
    </row>
    <row r="694" spans="1:5" x14ac:dyDescent="0.25">
      <c r="A694" s="1">
        <v>41934</v>
      </c>
      <c r="B694" s="1">
        <v>41960</v>
      </c>
      <c r="C694">
        <v>6.23</v>
      </c>
      <c r="D694">
        <v>0.16</v>
      </c>
      <c r="E694">
        <v>5</v>
      </c>
    </row>
    <row r="695" spans="1:5" x14ac:dyDescent="0.25">
      <c r="A695" s="1">
        <v>41934</v>
      </c>
      <c r="B695" s="1">
        <v>41961</v>
      </c>
      <c r="C695">
        <v>9.4600000000000009</v>
      </c>
      <c r="D695">
        <v>0.25</v>
      </c>
      <c r="E695">
        <v>6</v>
      </c>
    </row>
    <row r="696" spans="1:5" x14ac:dyDescent="0.25">
      <c r="A696" s="1">
        <v>41934</v>
      </c>
      <c r="B696" s="1">
        <v>41942</v>
      </c>
      <c r="C696">
        <v>11.42</v>
      </c>
      <c r="D696">
        <v>0.3</v>
      </c>
      <c r="E696">
        <v>6</v>
      </c>
    </row>
    <row r="697" spans="1:5" x14ac:dyDescent="0.25">
      <c r="A697" s="1">
        <v>41934</v>
      </c>
      <c r="B697" s="1">
        <v>41949</v>
      </c>
      <c r="C697">
        <v>8.84</v>
      </c>
      <c r="D697">
        <v>0.23</v>
      </c>
      <c r="E697">
        <v>3</v>
      </c>
    </row>
    <row r="698" spans="1:5" x14ac:dyDescent="0.25">
      <c r="A698" s="1">
        <v>41934</v>
      </c>
      <c r="B698" s="1">
        <v>41949</v>
      </c>
      <c r="C698">
        <v>6.34</v>
      </c>
      <c r="D698">
        <v>0.17</v>
      </c>
      <c r="E698">
        <v>2</v>
      </c>
    </row>
    <row r="699" spans="1:5" x14ac:dyDescent="0.25">
      <c r="A699" s="1">
        <v>41934</v>
      </c>
      <c r="B699" s="1">
        <v>41943</v>
      </c>
      <c r="C699">
        <v>5.67</v>
      </c>
      <c r="D699">
        <v>0.15</v>
      </c>
      <c r="E699">
        <v>2</v>
      </c>
    </row>
    <row r="700" spans="1:5" x14ac:dyDescent="0.25">
      <c r="A700" s="1">
        <v>41934</v>
      </c>
      <c r="B700" s="1">
        <v>41954</v>
      </c>
      <c r="C700">
        <v>11.78</v>
      </c>
      <c r="D700">
        <v>0.31</v>
      </c>
      <c r="E700">
        <v>5</v>
      </c>
    </row>
    <row r="701" spans="1:5" x14ac:dyDescent="0.25">
      <c r="A701" s="1">
        <v>41934</v>
      </c>
      <c r="B701" s="1">
        <v>41944</v>
      </c>
      <c r="C701">
        <v>13.82</v>
      </c>
      <c r="D701">
        <v>0.36</v>
      </c>
      <c r="E701">
        <v>3</v>
      </c>
    </row>
    <row r="702" spans="1:5" x14ac:dyDescent="0.25">
      <c r="A702" s="1">
        <v>41934</v>
      </c>
      <c r="B702" s="1">
        <v>41958</v>
      </c>
      <c r="C702">
        <v>3.57</v>
      </c>
      <c r="D702">
        <v>0.09</v>
      </c>
      <c r="E702">
        <v>3</v>
      </c>
    </row>
    <row r="703" spans="1:5" x14ac:dyDescent="0.25">
      <c r="A703" s="1">
        <v>41934</v>
      </c>
      <c r="B703" s="1">
        <v>41954</v>
      </c>
      <c r="C703">
        <v>6.88</v>
      </c>
      <c r="D703">
        <v>0.18</v>
      </c>
      <c r="E703">
        <v>3</v>
      </c>
    </row>
    <row r="704" spans="1:5" x14ac:dyDescent="0.25">
      <c r="A704" s="1">
        <v>41934</v>
      </c>
      <c r="B704" s="1">
        <v>41958</v>
      </c>
      <c r="C704">
        <v>7.3</v>
      </c>
      <c r="D704">
        <v>0.19</v>
      </c>
      <c r="E704">
        <v>5</v>
      </c>
    </row>
    <row r="705" spans="1:5" x14ac:dyDescent="0.25">
      <c r="A705" s="1">
        <v>41934</v>
      </c>
      <c r="B705" s="1">
        <v>41955</v>
      </c>
      <c r="C705">
        <v>9.74</v>
      </c>
      <c r="D705">
        <v>0.26</v>
      </c>
      <c r="E705">
        <v>2</v>
      </c>
    </row>
    <row r="706" spans="1:5" x14ac:dyDescent="0.25">
      <c r="A706" s="1">
        <v>41934</v>
      </c>
      <c r="B706" s="1">
        <v>41945</v>
      </c>
      <c r="C706">
        <v>8.65</v>
      </c>
      <c r="D706">
        <v>0.23</v>
      </c>
      <c r="E706">
        <v>2</v>
      </c>
    </row>
    <row r="707" spans="1:5" x14ac:dyDescent="0.25">
      <c r="A707" s="1">
        <v>41934</v>
      </c>
      <c r="B707" s="1">
        <v>41954</v>
      </c>
      <c r="C707">
        <v>3.57</v>
      </c>
      <c r="D707">
        <v>0.09</v>
      </c>
      <c r="E707">
        <v>5</v>
      </c>
    </row>
    <row r="708" spans="1:5" x14ac:dyDescent="0.25">
      <c r="A708" s="1">
        <v>41934</v>
      </c>
      <c r="B708" s="1">
        <v>41951</v>
      </c>
      <c r="C708">
        <v>4.25</v>
      </c>
      <c r="D708">
        <v>0.11</v>
      </c>
      <c r="E708">
        <v>6</v>
      </c>
    </row>
    <row r="709" spans="1:5" x14ac:dyDescent="0.25">
      <c r="A709" s="1">
        <v>41934</v>
      </c>
      <c r="B709" s="1">
        <v>41938</v>
      </c>
      <c r="C709">
        <v>13.02</v>
      </c>
      <c r="D709">
        <v>0.34</v>
      </c>
      <c r="E709">
        <v>2</v>
      </c>
    </row>
    <row r="710" spans="1:5" x14ac:dyDescent="0.25">
      <c r="A710" s="1">
        <v>41935</v>
      </c>
      <c r="B710" s="1">
        <v>41945</v>
      </c>
      <c r="C710">
        <v>11.44</v>
      </c>
      <c r="D710">
        <v>0.3</v>
      </c>
      <c r="E710">
        <v>6</v>
      </c>
    </row>
    <row r="711" spans="1:5" x14ac:dyDescent="0.25">
      <c r="A711" s="1">
        <v>41935</v>
      </c>
      <c r="B711" s="1">
        <v>41954</v>
      </c>
      <c r="C711">
        <v>11.78</v>
      </c>
      <c r="D711">
        <v>0.31</v>
      </c>
      <c r="E711">
        <v>5</v>
      </c>
    </row>
    <row r="712" spans="1:5" x14ac:dyDescent="0.25">
      <c r="A712" s="1">
        <v>41935</v>
      </c>
      <c r="B712" s="1">
        <v>41944</v>
      </c>
      <c r="C712">
        <v>7.31</v>
      </c>
      <c r="D712">
        <v>0.19</v>
      </c>
      <c r="E712">
        <v>2</v>
      </c>
    </row>
    <row r="713" spans="1:5" x14ac:dyDescent="0.25">
      <c r="A713" s="1">
        <v>41935</v>
      </c>
      <c r="B713" s="1">
        <v>41940</v>
      </c>
      <c r="C713">
        <v>3.79</v>
      </c>
      <c r="D713">
        <v>0.1</v>
      </c>
      <c r="E713">
        <v>4</v>
      </c>
    </row>
    <row r="714" spans="1:5" x14ac:dyDescent="0.25">
      <c r="A714" s="1">
        <v>41935</v>
      </c>
      <c r="B714" s="1">
        <v>41947</v>
      </c>
      <c r="C714">
        <v>11.42</v>
      </c>
      <c r="D714">
        <v>0.3</v>
      </c>
      <c r="E714">
        <v>3</v>
      </c>
    </row>
    <row r="715" spans="1:5" x14ac:dyDescent="0.25">
      <c r="A715" s="1">
        <v>41935</v>
      </c>
      <c r="B715" s="1">
        <v>41955</v>
      </c>
      <c r="C715">
        <v>7.31</v>
      </c>
      <c r="D715">
        <v>0.19</v>
      </c>
      <c r="E715">
        <v>6</v>
      </c>
    </row>
    <row r="716" spans="1:5" x14ac:dyDescent="0.25">
      <c r="A716" s="1">
        <v>41935</v>
      </c>
      <c r="B716" s="1">
        <v>41940</v>
      </c>
      <c r="C716">
        <v>3.73</v>
      </c>
      <c r="D716">
        <v>0.1</v>
      </c>
      <c r="E716">
        <v>2</v>
      </c>
    </row>
    <row r="717" spans="1:5" x14ac:dyDescent="0.25">
      <c r="A717" s="1">
        <v>41935</v>
      </c>
      <c r="B717" s="1">
        <v>41957</v>
      </c>
      <c r="C717">
        <v>9.06</v>
      </c>
      <c r="D717">
        <v>0.24</v>
      </c>
      <c r="E717">
        <v>2</v>
      </c>
    </row>
    <row r="718" spans="1:5" x14ac:dyDescent="0.25">
      <c r="A718" s="1">
        <v>41935</v>
      </c>
      <c r="B718" s="1">
        <v>41956</v>
      </c>
      <c r="C718">
        <v>11.69</v>
      </c>
      <c r="D718">
        <v>0.31</v>
      </c>
      <c r="E718">
        <v>2</v>
      </c>
    </row>
    <row r="719" spans="1:5" x14ac:dyDescent="0.25">
      <c r="A719" s="1">
        <v>41935</v>
      </c>
      <c r="B719" s="1">
        <v>41960</v>
      </c>
      <c r="C719">
        <v>10.79</v>
      </c>
      <c r="D719">
        <v>0.28000000000000003</v>
      </c>
      <c r="E719">
        <v>3</v>
      </c>
    </row>
    <row r="720" spans="1:5" x14ac:dyDescent="0.25">
      <c r="A720" s="1">
        <v>41935</v>
      </c>
      <c r="B720" s="1">
        <v>41946</v>
      </c>
      <c r="C720">
        <v>14.13</v>
      </c>
      <c r="D720">
        <v>0.37</v>
      </c>
      <c r="E720">
        <v>6</v>
      </c>
    </row>
    <row r="721" spans="1:5" x14ac:dyDescent="0.25">
      <c r="A721" s="1">
        <v>41935</v>
      </c>
      <c r="B721" s="1">
        <v>41959</v>
      </c>
      <c r="C721">
        <v>8.7200000000000006</v>
      </c>
      <c r="D721">
        <v>0.23</v>
      </c>
      <c r="E721">
        <v>2</v>
      </c>
    </row>
    <row r="722" spans="1:5" x14ac:dyDescent="0.25">
      <c r="A722" s="1">
        <v>41936</v>
      </c>
      <c r="B722" s="1">
        <v>41951</v>
      </c>
      <c r="C722">
        <v>3.94</v>
      </c>
      <c r="D722">
        <v>0.1</v>
      </c>
      <c r="E722">
        <v>5</v>
      </c>
    </row>
    <row r="723" spans="1:5" x14ac:dyDescent="0.25">
      <c r="A723" s="1">
        <v>41936</v>
      </c>
      <c r="B723" s="1">
        <v>41964</v>
      </c>
      <c r="C723">
        <v>3.73</v>
      </c>
      <c r="D723">
        <v>0.1</v>
      </c>
      <c r="E723">
        <v>3</v>
      </c>
    </row>
    <row r="724" spans="1:5" x14ac:dyDescent="0.25">
      <c r="A724" s="1">
        <v>41937</v>
      </c>
      <c r="B724" s="1">
        <v>41963</v>
      </c>
      <c r="C724">
        <v>3.94</v>
      </c>
      <c r="D724">
        <v>0.1</v>
      </c>
      <c r="E724">
        <v>4</v>
      </c>
    </row>
    <row r="725" spans="1:5" x14ac:dyDescent="0.25">
      <c r="A725" s="1">
        <v>41937</v>
      </c>
      <c r="B725" s="1">
        <v>41964</v>
      </c>
      <c r="C725">
        <v>3.57</v>
      </c>
      <c r="D725">
        <v>0.09</v>
      </c>
      <c r="E725">
        <v>2</v>
      </c>
    </row>
    <row r="726" spans="1:5" x14ac:dyDescent="0.25">
      <c r="A726" s="1">
        <v>41937</v>
      </c>
      <c r="B726" s="1">
        <v>41943</v>
      </c>
      <c r="C726">
        <v>7.31</v>
      </c>
      <c r="D726">
        <v>0.19</v>
      </c>
      <c r="E726">
        <v>3</v>
      </c>
    </row>
    <row r="727" spans="1:5" x14ac:dyDescent="0.25">
      <c r="A727" s="1">
        <v>41938</v>
      </c>
      <c r="B727" s="1">
        <v>41964</v>
      </c>
      <c r="C727">
        <v>6.58</v>
      </c>
      <c r="D727">
        <v>0.17</v>
      </c>
      <c r="E727">
        <v>5</v>
      </c>
    </row>
    <row r="728" spans="1:5" x14ac:dyDescent="0.25">
      <c r="A728" s="1">
        <v>41939</v>
      </c>
      <c r="B728" s="1">
        <v>41964</v>
      </c>
      <c r="C728">
        <v>3.94</v>
      </c>
      <c r="D728">
        <v>0.1</v>
      </c>
      <c r="E728">
        <v>5</v>
      </c>
    </row>
    <row r="729" spans="1:5" x14ac:dyDescent="0.25">
      <c r="A729" s="1">
        <v>41940</v>
      </c>
      <c r="B729" s="1">
        <v>41946</v>
      </c>
      <c r="C729">
        <v>5.47</v>
      </c>
      <c r="D729">
        <v>0.14000000000000001</v>
      </c>
      <c r="E729">
        <v>5</v>
      </c>
    </row>
    <row r="730" spans="1:5" x14ac:dyDescent="0.25">
      <c r="A730" s="1">
        <v>41941</v>
      </c>
      <c r="B730" s="1">
        <v>41958</v>
      </c>
      <c r="C730">
        <v>5.23</v>
      </c>
      <c r="D730">
        <v>0.14000000000000001</v>
      </c>
      <c r="E730">
        <v>3</v>
      </c>
    </row>
    <row r="731" spans="1:5" x14ac:dyDescent="0.25">
      <c r="A731" s="1">
        <v>41941</v>
      </c>
      <c r="B731" s="1">
        <v>41962</v>
      </c>
      <c r="C731">
        <v>6.58</v>
      </c>
      <c r="D731">
        <v>0.17</v>
      </c>
      <c r="E731">
        <v>5</v>
      </c>
    </row>
    <row r="732" spans="1:5" x14ac:dyDescent="0.25">
      <c r="A732" s="1">
        <v>41941</v>
      </c>
      <c r="B732" s="1">
        <v>41957</v>
      </c>
      <c r="C732">
        <v>3.79</v>
      </c>
      <c r="D732">
        <v>0.1</v>
      </c>
      <c r="E732">
        <v>4</v>
      </c>
    </row>
    <row r="733" spans="1:5" x14ac:dyDescent="0.25">
      <c r="A733" s="1">
        <v>41941</v>
      </c>
      <c r="B733" s="1">
        <v>41953</v>
      </c>
      <c r="C733">
        <v>5.64</v>
      </c>
      <c r="D733">
        <v>0.15</v>
      </c>
      <c r="E733">
        <v>6</v>
      </c>
    </row>
    <row r="734" spans="1:5" x14ac:dyDescent="0.25">
      <c r="A734" s="1">
        <v>41941</v>
      </c>
      <c r="B734" s="1">
        <v>41944</v>
      </c>
      <c r="C734">
        <v>11.37</v>
      </c>
      <c r="D734">
        <v>0.3</v>
      </c>
      <c r="E734">
        <v>2</v>
      </c>
    </row>
    <row r="735" spans="1:5" x14ac:dyDescent="0.25">
      <c r="A735" s="1">
        <v>41941</v>
      </c>
      <c r="B735" s="1">
        <v>41969</v>
      </c>
      <c r="C735">
        <v>8.9499999999999993</v>
      </c>
      <c r="D735">
        <v>0.24</v>
      </c>
      <c r="E735">
        <v>2</v>
      </c>
    </row>
    <row r="736" spans="1:5" x14ac:dyDescent="0.25">
      <c r="A736" s="1">
        <v>41941</v>
      </c>
      <c r="B736" s="1">
        <v>41961</v>
      </c>
      <c r="C736">
        <v>3.94</v>
      </c>
      <c r="D736">
        <v>0.1</v>
      </c>
      <c r="E736">
        <v>5</v>
      </c>
    </row>
    <row r="737" spans="1:5" x14ac:dyDescent="0.25">
      <c r="A737" s="1">
        <v>41946</v>
      </c>
      <c r="B737" s="1">
        <v>41962</v>
      </c>
      <c r="C737">
        <v>3.79</v>
      </c>
      <c r="D737">
        <v>0.1</v>
      </c>
      <c r="E737">
        <v>5</v>
      </c>
    </row>
    <row r="738" spans="1:5" x14ac:dyDescent="0.25">
      <c r="A738" s="1">
        <v>41946</v>
      </c>
      <c r="B738" s="1">
        <v>41971</v>
      </c>
      <c r="C738">
        <v>6.43</v>
      </c>
      <c r="D738">
        <v>0.17</v>
      </c>
      <c r="E738">
        <v>2</v>
      </c>
    </row>
    <row r="739" spans="1:5" x14ac:dyDescent="0.25">
      <c r="A739" s="1">
        <v>41946</v>
      </c>
      <c r="B739" s="1">
        <v>41948</v>
      </c>
      <c r="C739">
        <v>8.5399999999999991</v>
      </c>
      <c r="D739">
        <v>0.22</v>
      </c>
      <c r="E739">
        <v>6</v>
      </c>
    </row>
    <row r="740" spans="1:5" x14ac:dyDescent="0.25">
      <c r="A740" s="1">
        <v>41946</v>
      </c>
      <c r="B740" s="1">
        <v>41956</v>
      </c>
      <c r="C740">
        <v>13.02</v>
      </c>
      <c r="D740">
        <v>0.34</v>
      </c>
      <c r="E740">
        <v>3</v>
      </c>
    </row>
    <row r="741" spans="1:5" x14ac:dyDescent="0.25">
      <c r="A741" s="1">
        <v>41946</v>
      </c>
      <c r="B741" s="1">
        <v>41960</v>
      </c>
      <c r="C741">
        <v>5.64</v>
      </c>
      <c r="D741">
        <v>0.15</v>
      </c>
      <c r="E741">
        <v>4</v>
      </c>
    </row>
    <row r="742" spans="1:5" x14ac:dyDescent="0.25">
      <c r="A742" s="1">
        <v>41946</v>
      </c>
      <c r="B742" s="1">
        <v>41966</v>
      </c>
      <c r="C742">
        <v>4.66</v>
      </c>
      <c r="D742">
        <v>0.12</v>
      </c>
      <c r="E742">
        <v>6</v>
      </c>
    </row>
    <row r="743" spans="1:5" x14ac:dyDescent="0.25">
      <c r="A743" s="1">
        <v>41946</v>
      </c>
      <c r="B743" s="1">
        <v>41968</v>
      </c>
      <c r="C743">
        <v>7.71</v>
      </c>
      <c r="D743">
        <v>0.2</v>
      </c>
      <c r="E743">
        <v>5</v>
      </c>
    </row>
    <row r="744" spans="1:5" x14ac:dyDescent="0.25">
      <c r="A744" s="1">
        <v>41946</v>
      </c>
      <c r="B744" s="1">
        <v>41951</v>
      </c>
      <c r="C744">
        <v>7.71</v>
      </c>
      <c r="D744">
        <v>0.2</v>
      </c>
      <c r="E744">
        <v>6</v>
      </c>
    </row>
    <row r="745" spans="1:5" x14ac:dyDescent="0.25">
      <c r="A745" s="1">
        <v>41946</v>
      </c>
      <c r="B745" s="1">
        <v>41957</v>
      </c>
      <c r="C745">
        <v>6.34</v>
      </c>
      <c r="D745">
        <v>0.17</v>
      </c>
      <c r="E745">
        <v>3</v>
      </c>
    </row>
    <row r="746" spans="1:5" x14ac:dyDescent="0.25">
      <c r="A746" s="1">
        <v>41946</v>
      </c>
      <c r="B746" s="1">
        <v>41954</v>
      </c>
      <c r="C746">
        <v>11.37</v>
      </c>
      <c r="D746">
        <v>0.3</v>
      </c>
      <c r="E746">
        <v>2</v>
      </c>
    </row>
    <row r="747" spans="1:5" x14ac:dyDescent="0.25">
      <c r="A747" s="1">
        <v>41946</v>
      </c>
      <c r="B747" s="1">
        <v>41953</v>
      </c>
      <c r="C747">
        <v>6.34</v>
      </c>
      <c r="D747">
        <v>0.17</v>
      </c>
      <c r="E747">
        <v>2</v>
      </c>
    </row>
    <row r="748" spans="1:5" x14ac:dyDescent="0.25">
      <c r="A748" s="1">
        <v>41946</v>
      </c>
      <c r="B748" s="1">
        <v>41955</v>
      </c>
      <c r="C748">
        <v>3.57</v>
      </c>
      <c r="D748">
        <v>0.09</v>
      </c>
      <c r="E748">
        <v>6</v>
      </c>
    </row>
    <row r="749" spans="1:5" x14ac:dyDescent="0.25">
      <c r="A749" s="1">
        <v>41946</v>
      </c>
      <c r="B749" s="1">
        <v>41964</v>
      </c>
      <c r="C749">
        <v>7.31</v>
      </c>
      <c r="D749">
        <v>0.19</v>
      </c>
      <c r="E749">
        <v>3</v>
      </c>
    </row>
    <row r="750" spans="1:5" x14ac:dyDescent="0.25">
      <c r="A750" s="1">
        <v>41946</v>
      </c>
      <c r="B750" s="1">
        <v>41966</v>
      </c>
      <c r="C750">
        <v>5.64</v>
      </c>
      <c r="D750">
        <v>0.15</v>
      </c>
      <c r="E750">
        <v>6</v>
      </c>
    </row>
    <row r="751" spans="1:5" x14ac:dyDescent="0.25">
      <c r="A751" s="1">
        <v>41946</v>
      </c>
      <c r="B751" s="1">
        <v>41964</v>
      </c>
      <c r="C751">
        <v>4.25</v>
      </c>
      <c r="D751">
        <v>0.11</v>
      </c>
      <c r="E751">
        <v>6</v>
      </c>
    </row>
    <row r="752" spans="1:5" x14ac:dyDescent="0.25">
      <c r="A752" s="1">
        <v>41946</v>
      </c>
      <c r="B752" s="1">
        <v>41953</v>
      </c>
      <c r="C752">
        <v>9.1300000000000008</v>
      </c>
      <c r="D752">
        <v>0.24</v>
      </c>
      <c r="E752">
        <v>5</v>
      </c>
    </row>
    <row r="753" spans="1:5" x14ac:dyDescent="0.25">
      <c r="A753" s="1">
        <v>41946</v>
      </c>
      <c r="B753" s="1">
        <v>41956</v>
      </c>
      <c r="C753">
        <v>3.79</v>
      </c>
      <c r="D753">
        <v>0.1</v>
      </c>
      <c r="E753">
        <v>6</v>
      </c>
    </row>
    <row r="754" spans="1:5" x14ac:dyDescent="0.25">
      <c r="A754" s="1">
        <v>41946</v>
      </c>
      <c r="B754" s="1">
        <v>41948</v>
      </c>
      <c r="C754">
        <v>9.1300000000000008</v>
      </c>
      <c r="D754">
        <v>0.24</v>
      </c>
      <c r="E754">
        <v>4</v>
      </c>
    </row>
    <row r="755" spans="1:5" x14ac:dyDescent="0.25">
      <c r="A755" s="1">
        <v>41947</v>
      </c>
      <c r="B755" s="1">
        <v>41960</v>
      </c>
      <c r="C755">
        <v>11.44</v>
      </c>
      <c r="D755">
        <v>0.3</v>
      </c>
      <c r="E755">
        <v>6</v>
      </c>
    </row>
    <row r="756" spans="1:5" x14ac:dyDescent="0.25">
      <c r="A756" s="1">
        <v>41947</v>
      </c>
      <c r="B756" s="1">
        <v>41972</v>
      </c>
      <c r="C756">
        <v>5.47</v>
      </c>
      <c r="D756">
        <v>0.14000000000000001</v>
      </c>
      <c r="E756">
        <v>6</v>
      </c>
    </row>
    <row r="757" spans="1:5" x14ac:dyDescent="0.25">
      <c r="A757" s="1">
        <v>41947</v>
      </c>
      <c r="B757" s="1">
        <v>41968</v>
      </c>
      <c r="C757">
        <v>14.13</v>
      </c>
      <c r="D757">
        <v>0.37</v>
      </c>
      <c r="E757">
        <v>2</v>
      </c>
    </row>
    <row r="758" spans="1:5" x14ac:dyDescent="0.25">
      <c r="A758" s="1">
        <v>41947</v>
      </c>
      <c r="B758" s="1">
        <v>41956</v>
      </c>
      <c r="C758">
        <v>11.69</v>
      </c>
      <c r="D758">
        <v>0.31</v>
      </c>
      <c r="E758">
        <v>3</v>
      </c>
    </row>
    <row r="759" spans="1:5" x14ac:dyDescent="0.25">
      <c r="A759" s="1">
        <v>41947</v>
      </c>
      <c r="B759" s="1">
        <v>41970</v>
      </c>
      <c r="C759">
        <v>6.75</v>
      </c>
      <c r="D759">
        <v>0.18</v>
      </c>
      <c r="E759">
        <v>2</v>
      </c>
    </row>
    <row r="760" spans="1:5" x14ac:dyDescent="0.25">
      <c r="A760" s="1">
        <v>41947</v>
      </c>
      <c r="B760" s="1">
        <v>41962</v>
      </c>
      <c r="C760">
        <v>8.65</v>
      </c>
      <c r="D760">
        <v>0.23</v>
      </c>
      <c r="E760">
        <v>6</v>
      </c>
    </row>
    <row r="761" spans="1:5" x14ac:dyDescent="0.25">
      <c r="A761" s="1">
        <v>41947</v>
      </c>
      <c r="B761" s="1">
        <v>41975</v>
      </c>
      <c r="C761">
        <v>10.93</v>
      </c>
      <c r="D761">
        <v>0.28999999999999998</v>
      </c>
      <c r="E761">
        <v>5</v>
      </c>
    </row>
    <row r="762" spans="1:5" x14ac:dyDescent="0.25">
      <c r="A762" s="1">
        <v>41947</v>
      </c>
      <c r="B762" s="1">
        <v>41962</v>
      </c>
      <c r="C762">
        <v>16.55</v>
      </c>
      <c r="D762">
        <v>0.44</v>
      </c>
      <c r="E762">
        <v>6</v>
      </c>
    </row>
    <row r="763" spans="1:5" x14ac:dyDescent="0.25">
      <c r="A763" s="1">
        <v>41947</v>
      </c>
      <c r="B763" s="1">
        <v>41960</v>
      </c>
      <c r="C763">
        <v>9.06</v>
      </c>
      <c r="D763">
        <v>0.24</v>
      </c>
      <c r="E763">
        <v>4</v>
      </c>
    </row>
    <row r="764" spans="1:5" x14ac:dyDescent="0.25">
      <c r="A764" s="1">
        <v>41947</v>
      </c>
      <c r="B764" s="1">
        <v>41974</v>
      </c>
      <c r="C764">
        <v>9.06</v>
      </c>
      <c r="D764">
        <v>0.24</v>
      </c>
      <c r="E764">
        <v>4</v>
      </c>
    </row>
    <row r="765" spans="1:5" x14ac:dyDescent="0.25">
      <c r="A765" s="1">
        <v>41947</v>
      </c>
      <c r="B765" s="1">
        <v>41969</v>
      </c>
      <c r="C765">
        <v>6.43</v>
      </c>
      <c r="D765">
        <v>0.17</v>
      </c>
      <c r="E765">
        <v>2</v>
      </c>
    </row>
    <row r="766" spans="1:5" x14ac:dyDescent="0.25">
      <c r="A766" s="1">
        <v>41947</v>
      </c>
      <c r="B766" s="1">
        <v>41954</v>
      </c>
      <c r="C766">
        <v>6.23</v>
      </c>
      <c r="D766">
        <v>0.16</v>
      </c>
      <c r="E766">
        <v>3</v>
      </c>
    </row>
    <row r="767" spans="1:5" x14ac:dyDescent="0.25">
      <c r="A767" s="1">
        <v>41947</v>
      </c>
      <c r="B767" s="1">
        <v>41952</v>
      </c>
      <c r="C767">
        <v>6.75</v>
      </c>
      <c r="D767">
        <v>0.18</v>
      </c>
      <c r="E767">
        <v>3</v>
      </c>
    </row>
    <row r="768" spans="1:5" x14ac:dyDescent="0.25">
      <c r="A768" s="1">
        <v>41947</v>
      </c>
      <c r="B768" s="1">
        <v>41953</v>
      </c>
      <c r="C768">
        <v>10.79</v>
      </c>
      <c r="D768">
        <v>0.28000000000000003</v>
      </c>
      <c r="E768">
        <v>6</v>
      </c>
    </row>
    <row r="769" spans="1:5" x14ac:dyDescent="0.25">
      <c r="A769" s="1">
        <v>41949</v>
      </c>
      <c r="B769" s="1">
        <v>41956</v>
      </c>
      <c r="C769">
        <v>5.67</v>
      </c>
      <c r="D769">
        <v>0.15</v>
      </c>
      <c r="E769">
        <v>4</v>
      </c>
    </row>
    <row r="770" spans="1:5" x14ac:dyDescent="0.25">
      <c r="A770" s="1">
        <v>41949</v>
      </c>
      <c r="B770" s="1">
        <v>41959</v>
      </c>
      <c r="C770">
        <v>11.44</v>
      </c>
      <c r="D770">
        <v>0.3</v>
      </c>
      <c r="E770">
        <v>4</v>
      </c>
    </row>
    <row r="771" spans="1:5" x14ac:dyDescent="0.25">
      <c r="A771" s="1">
        <v>41950</v>
      </c>
      <c r="B771" s="1">
        <v>41977</v>
      </c>
      <c r="C771">
        <v>4.25</v>
      </c>
      <c r="D771">
        <v>0.11</v>
      </c>
      <c r="E771">
        <v>5</v>
      </c>
    </row>
    <row r="772" spans="1:5" x14ac:dyDescent="0.25">
      <c r="A772" s="1">
        <v>41950</v>
      </c>
      <c r="B772" s="1">
        <v>41953</v>
      </c>
      <c r="C772">
        <v>3.94</v>
      </c>
      <c r="D772">
        <v>0.1</v>
      </c>
      <c r="E772">
        <v>2</v>
      </c>
    </row>
    <row r="773" spans="1:5" x14ac:dyDescent="0.25">
      <c r="A773" s="1">
        <v>41950</v>
      </c>
      <c r="B773" s="1">
        <v>41972</v>
      </c>
      <c r="C773">
        <v>3.57</v>
      </c>
      <c r="D773">
        <v>0.09</v>
      </c>
      <c r="E773">
        <v>4</v>
      </c>
    </row>
    <row r="774" spans="1:5" x14ac:dyDescent="0.25">
      <c r="A774" s="1">
        <v>41950</v>
      </c>
      <c r="B774" s="1">
        <v>41952</v>
      </c>
      <c r="C774">
        <v>5.67</v>
      </c>
      <c r="D774">
        <v>0.15</v>
      </c>
      <c r="E774">
        <v>6</v>
      </c>
    </row>
    <row r="775" spans="1:5" x14ac:dyDescent="0.25">
      <c r="A775" s="1">
        <v>41950</v>
      </c>
      <c r="B775" s="1">
        <v>41967</v>
      </c>
      <c r="C775">
        <v>5.67</v>
      </c>
      <c r="D775">
        <v>0.15</v>
      </c>
      <c r="E775">
        <v>4</v>
      </c>
    </row>
    <row r="776" spans="1:5" x14ac:dyDescent="0.25">
      <c r="A776" s="1">
        <v>41953</v>
      </c>
      <c r="B776" s="1">
        <v>41978</v>
      </c>
      <c r="C776">
        <v>16.829999999999998</v>
      </c>
      <c r="D776">
        <v>0.44</v>
      </c>
      <c r="E776">
        <v>6</v>
      </c>
    </row>
    <row r="777" spans="1:5" x14ac:dyDescent="0.25">
      <c r="A777" s="1">
        <v>41956</v>
      </c>
      <c r="B777" s="1">
        <v>41958</v>
      </c>
      <c r="C777">
        <v>5.23</v>
      </c>
      <c r="D777">
        <v>0.14000000000000001</v>
      </c>
      <c r="E777">
        <v>4</v>
      </c>
    </row>
    <row r="778" spans="1:5" x14ac:dyDescent="0.25">
      <c r="A778" s="1">
        <v>41957</v>
      </c>
      <c r="B778" s="1">
        <v>41966</v>
      </c>
      <c r="C778">
        <v>3.73</v>
      </c>
      <c r="D778">
        <v>0.1</v>
      </c>
      <c r="E778">
        <v>3</v>
      </c>
    </row>
    <row r="779" spans="1:5" x14ac:dyDescent="0.25">
      <c r="A779" s="1">
        <v>41958</v>
      </c>
      <c r="B779" s="1">
        <v>41985</v>
      </c>
      <c r="C779">
        <v>8.7200000000000006</v>
      </c>
      <c r="D779">
        <v>0.23</v>
      </c>
      <c r="E779">
        <v>6</v>
      </c>
    </row>
    <row r="780" spans="1:5" x14ac:dyDescent="0.25">
      <c r="A780" s="1">
        <v>41958</v>
      </c>
      <c r="B780" s="1">
        <v>41975</v>
      </c>
      <c r="C780">
        <v>19.54</v>
      </c>
      <c r="D780">
        <v>0.51</v>
      </c>
      <c r="E780">
        <v>2</v>
      </c>
    </row>
    <row r="781" spans="1:5" x14ac:dyDescent="0.25">
      <c r="A781" s="1">
        <v>41958</v>
      </c>
      <c r="B781" s="1">
        <v>41980</v>
      </c>
      <c r="C781">
        <v>2.29</v>
      </c>
      <c r="D781">
        <v>0.06</v>
      </c>
      <c r="E781">
        <v>4</v>
      </c>
    </row>
    <row r="782" spans="1:5" x14ac:dyDescent="0.25">
      <c r="A782" s="1">
        <v>41958</v>
      </c>
      <c r="B782" s="1">
        <v>41986</v>
      </c>
      <c r="C782">
        <v>8.9499999999999993</v>
      </c>
      <c r="D782">
        <v>0.24</v>
      </c>
      <c r="E782">
        <v>6</v>
      </c>
    </row>
    <row r="783" spans="1:5" x14ac:dyDescent="0.25">
      <c r="A783" s="1">
        <v>41958</v>
      </c>
      <c r="B783" s="1">
        <v>41969</v>
      </c>
      <c r="C783">
        <v>5.67</v>
      </c>
      <c r="D783">
        <v>0.15</v>
      </c>
      <c r="E783">
        <v>6</v>
      </c>
    </row>
    <row r="784" spans="1:5" x14ac:dyDescent="0.25">
      <c r="A784" s="1">
        <v>41958</v>
      </c>
      <c r="B784" s="1">
        <v>41982</v>
      </c>
      <c r="C784">
        <v>8.83</v>
      </c>
      <c r="D784">
        <v>0.23</v>
      </c>
      <c r="E784">
        <v>4</v>
      </c>
    </row>
    <row r="785" spans="1:5" x14ac:dyDescent="0.25">
      <c r="A785" s="1">
        <v>41958</v>
      </c>
      <c r="B785" s="1">
        <v>41963</v>
      </c>
      <c r="C785">
        <v>10.79</v>
      </c>
      <c r="D785">
        <v>0.28000000000000003</v>
      </c>
      <c r="E785">
        <v>4</v>
      </c>
    </row>
    <row r="786" spans="1:5" x14ac:dyDescent="0.25">
      <c r="A786" s="1">
        <v>41958</v>
      </c>
      <c r="B786" s="1">
        <v>41961</v>
      </c>
      <c r="C786">
        <v>5.67</v>
      </c>
      <c r="D786">
        <v>0.15</v>
      </c>
      <c r="E786">
        <v>6</v>
      </c>
    </row>
    <row r="787" spans="1:5" x14ac:dyDescent="0.25">
      <c r="A787" s="1">
        <v>41958</v>
      </c>
      <c r="B787" s="1">
        <v>41972</v>
      </c>
      <c r="C787">
        <v>14.31</v>
      </c>
      <c r="D787">
        <v>0.38</v>
      </c>
      <c r="E787">
        <v>5</v>
      </c>
    </row>
    <row r="788" spans="1:5" x14ac:dyDescent="0.25">
      <c r="A788" s="1">
        <v>41958</v>
      </c>
      <c r="B788" s="1">
        <v>41976</v>
      </c>
      <c r="C788">
        <v>5.67</v>
      </c>
      <c r="D788">
        <v>0.15</v>
      </c>
      <c r="E788">
        <v>6</v>
      </c>
    </row>
    <row r="789" spans="1:5" x14ac:dyDescent="0.25">
      <c r="A789" s="1">
        <v>41958</v>
      </c>
      <c r="B789" s="1">
        <v>41961</v>
      </c>
      <c r="C789">
        <v>6.75</v>
      </c>
      <c r="D789">
        <v>0.18</v>
      </c>
      <c r="E789">
        <v>6</v>
      </c>
    </row>
    <row r="790" spans="1:5" x14ac:dyDescent="0.25">
      <c r="A790" s="1">
        <v>41958</v>
      </c>
      <c r="B790" s="1">
        <v>41964</v>
      </c>
      <c r="C790">
        <v>12.01</v>
      </c>
      <c r="D790">
        <v>0.32</v>
      </c>
      <c r="E790">
        <v>4</v>
      </c>
    </row>
    <row r="791" spans="1:5" x14ac:dyDescent="0.25">
      <c r="A791" s="1">
        <v>41958</v>
      </c>
      <c r="B791" s="1">
        <v>41973</v>
      </c>
      <c r="C791">
        <v>5.23</v>
      </c>
      <c r="D791">
        <v>0.14000000000000001</v>
      </c>
      <c r="E791">
        <v>6</v>
      </c>
    </row>
    <row r="792" spans="1:5" x14ac:dyDescent="0.25">
      <c r="A792" s="1">
        <v>41958</v>
      </c>
      <c r="B792" s="1">
        <v>41978</v>
      </c>
      <c r="C792">
        <v>13.81</v>
      </c>
      <c r="D792">
        <v>0.36</v>
      </c>
      <c r="E792">
        <v>4</v>
      </c>
    </row>
    <row r="793" spans="1:5" x14ac:dyDescent="0.25">
      <c r="A793" s="1">
        <v>41958</v>
      </c>
      <c r="B793" s="1">
        <v>41970</v>
      </c>
      <c r="C793">
        <v>5.23</v>
      </c>
      <c r="D793">
        <v>0.14000000000000001</v>
      </c>
      <c r="E793">
        <v>3</v>
      </c>
    </row>
    <row r="794" spans="1:5" x14ac:dyDescent="0.25">
      <c r="A794" s="1">
        <v>41959</v>
      </c>
      <c r="B794" s="1">
        <v>41968</v>
      </c>
      <c r="C794">
        <v>4.25</v>
      </c>
      <c r="D794">
        <v>0.11</v>
      </c>
      <c r="E794">
        <v>6</v>
      </c>
    </row>
    <row r="795" spans="1:5" x14ac:dyDescent="0.25">
      <c r="A795" s="1">
        <v>41959</v>
      </c>
      <c r="B795" s="1">
        <v>41984</v>
      </c>
      <c r="C795">
        <v>5.23</v>
      </c>
      <c r="D795">
        <v>0.14000000000000001</v>
      </c>
      <c r="E795">
        <v>4</v>
      </c>
    </row>
    <row r="796" spans="1:5" x14ac:dyDescent="0.25">
      <c r="A796" s="1">
        <v>41959</v>
      </c>
      <c r="B796" s="1">
        <v>41983</v>
      </c>
      <c r="C796">
        <v>6.23</v>
      </c>
      <c r="D796">
        <v>0.16</v>
      </c>
      <c r="E796">
        <v>2</v>
      </c>
    </row>
    <row r="797" spans="1:5" x14ac:dyDescent="0.25">
      <c r="A797" s="1">
        <v>41959</v>
      </c>
      <c r="B797" s="1">
        <v>41971</v>
      </c>
      <c r="C797">
        <v>16.55</v>
      </c>
      <c r="D797">
        <v>0.44</v>
      </c>
      <c r="E797">
        <v>5</v>
      </c>
    </row>
    <row r="798" spans="1:5" x14ac:dyDescent="0.25">
      <c r="A798" s="1">
        <v>41959</v>
      </c>
      <c r="B798" s="1">
        <v>41966</v>
      </c>
      <c r="C798">
        <v>5.78</v>
      </c>
      <c r="D798">
        <v>0.15</v>
      </c>
      <c r="E798">
        <v>6</v>
      </c>
    </row>
    <row r="799" spans="1:5" x14ac:dyDescent="0.25">
      <c r="A799" s="1">
        <v>41959</v>
      </c>
      <c r="B799" s="1">
        <v>41978</v>
      </c>
      <c r="C799">
        <v>11.69</v>
      </c>
      <c r="D799">
        <v>0.31</v>
      </c>
      <c r="E799">
        <v>5</v>
      </c>
    </row>
    <row r="800" spans="1:5" x14ac:dyDescent="0.25">
      <c r="A800" s="1">
        <v>41959</v>
      </c>
      <c r="B800" s="1">
        <v>41985</v>
      </c>
      <c r="C800">
        <v>11.78</v>
      </c>
      <c r="D800">
        <v>0.31</v>
      </c>
      <c r="E800">
        <v>2</v>
      </c>
    </row>
    <row r="801" spans="1:5" x14ac:dyDescent="0.25">
      <c r="A801" s="1">
        <v>41959</v>
      </c>
      <c r="B801" s="1">
        <v>41974</v>
      </c>
      <c r="C801">
        <v>8.39</v>
      </c>
      <c r="D801">
        <v>0.22</v>
      </c>
      <c r="E801">
        <v>6</v>
      </c>
    </row>
    <row r="802" spans="1:5" x14ac:dyDescent="0.25">
      <c r="A802" s="1">
        <v>41959</v>
      </c>
      <c r="B802" s="1">
        <v>41976</v>
      </c>
      <c r="C802">
        <v>6.75</v>
      </c>
      <c r="D802">
        <v>0.18</v>
      </c>
      <c r="E802">
        <v>6</v>
      </c>
    </row>
    <row r="803" spans="1:5" x14ac:dyDescent="0.25">
      <c r="A803" s="1">
        <v>41960</v>
      </c>
      <c r="B803" s="1">
        <v>41964</v>
      </c>
      <c r="C803">
        <v>3.94</v>
      </c>
      <c r="D803">
        <v>0.1</v>
      </c>
      <c r="E803">
        <v>6</v>
      </c>
    </row>
    <row r="804" spans="1:5" x14ac:dyDescent="0.25">
      <c r="A804" s="1">
        <v>41960</v>
      </c>
      <c r="B804" s="1">
        <v>41980</v>
      </c>
      <c r="C804">
        <v>3.57</v>
      </c>
      <c r="D804">
        <v>0.09</v>
      </c>
      <c r="E804">
        <v>6</v>
      </c>
    </row>
    <row r="805" spans="1:5" x14ac:dyDescent="0.25">
      <c r="A805" s="1">
        <v>41960</v>
      </c>
      <c r="B805" s="1">
        <v>41980</v>
      </c>
      <c r="C805">
        <v>14.13</v>
      </c>
      <c r="D805">
        <v>0.37</v>
      </c>
      <c r="E805">
        <v>5</v>
      </c>
    </row>
    <row r="806" spans="1:5" x14ac:dyDescent="0.25">
      <c r="A806" s="1">
        <v>41960</v>
      </c>
      <c r="B806" s="1">
        <v>41967</v>
      </c>
      <c r="C806">
        <v>5.57</v>
      </c>
      <c r="D806">
        <v>0.15</v>
      </c>
      <c r="E806">
        <v>2</v>
      </c>
    </row>
    <row r="807" spans="1:5" x14ac:dyDescent="0.25">
      <c r="A807" s="1">
        <v>41960</v>
      </c>
      <c r="B807" s="1">
        <v>41979</v>
      </c>
      <c r="C807">
        <v>8.7200000000000006</v>
      </c>
      <c r="D807">
        <v>0.23</v>
      </c>
      <c r="E807">
        <v>2</v>
      </c>
    </row>
    <row r="808" spans="1:5" x14ac:dyDescent="0.25">
      <c r="A808" s="1">
        <v>41961</v>
      </c>
      <c r="B808" s="1">
        <v>41987</v>
      </c>
      <c r="C808">
        <v>5.67</v>
      </c>
      <c r="D808">
        <v>0.15</v>
      </c>
      <c r="E808">
        <v>3</v>
      </c>
    </row>
    <row r="809" spans="1:5" x14ac:dyDescent="0.25">
      <c r="A809" s="1">
        <v>41961</v>
      </c>
      <c r="B809" s="1">
        <v>41972</v>
      </c>
      <c r="C809">
        <v>3.94</v>
      </c>
      <c r="D809">
        <v>0.1</v>
      </c>
      <c r="E809">
        <v>4</v>
      </c>
    </row>
    <row r="810" spans="1:5" x14ac:dyDescent="0.25">
      <c r="A810" s="1">
        <v>41961</v>
      </c>
      <c r="B810" s="1">
        <v>41966</v>
      </c>
      <c r="C810">
        <v>5.67</v>
      </c>
      <c r="D810">
        <v>0.15</v>
      </c>
      <c r="E810">
        <v>3</v>
      </c>
    </row>
    <row r="811" spans="1:5" x14ac:dyDescent="0.25">
      <c r="A811" s="1">
        <v>41962</v>
      </c>
      <c r="B811" s="1">
        <v>41984</v>
      </c>
      <c r="C811">
        <v>6.34</v>
      </c>
      <c r="D811">
        <v>0.17</v>
      </c>
      <c r="E811">
        <v>6</v>
      </c>
    </row>
    <row r="812" spans="1:5" x14ac:dyDescent="0.25">
      <c r="A812" s="1">
        <v>41962</v>
      </c>
      <c r="B812" s="1">
        <v>41970</v>
      </c>
      <c r="C812">
        <v>2.0099999999999998</v>
      </c>
      <c r="D812">
        <v>0.05</v>
      </c>
      <c r="E812">
        <v>4</v>
      </c>
    </row>
    <row r="813" spans="1:5" x14ac:dyDescent="0.25">
      <c r="A813" s="1">
        <v>41962</v>
      </c>
      <c r="B813" s="1">
        <v>41972</v>
      </c>
      <c r="C813">
        <v>5.67</v>
      </c>
      <c r="D813">
        <v>0.15</v>
      </c>
      <c r="E813">
        <v>3</v>
      </c>
    </row>
    <row r="814" spans="1:5" x14ac:dyDescent="0.25">
      <c r="A814" s="1">
        <v>41962</v>
      </c>
      <c r="B814" s="1">
        <v>41969</v>
      </c>
      <c r="C814">
        <v>6.43</v>
      </c>
      <c r="D814">
        <v>0.17</v>
      </c>
      <c r="E814">
        <v>5</v>
      </c>
    </row>
    <row r="815" spans="1:5" x14ac:dyDescent="0.25">
      <c r="A815" s="1">
        <v>41963</v>
      </c>
      <c r="B815" s="1">
        <v>41971</v>
      </c>
      <c r="C815">
        <v>8.39</v>
      </c>
      <c r="D815">
        <v>0.22</v>
      </c>
      <c r="E815">
        <v>6</v>
      </c>
    </row>
    <row r="816" spans="1:5" x14ac:dyDescent="0.25">
      <c r="A816" s="1">
        <v>41963</v>
      </c>
      <c r="B816" s="1">
        <v>41968</v>
      </c>
      <c r="C816">
        <v>5.67</v>
      </c>
      <c r="D816">
        <v>0.15</v>
      </c>
      <c r="E816">
        <v>5</v>
      </c>
    </row>
    <row r="817" spans="1:5" x14ac:dyDescent="0.25">
      <c r="A817" s="1">
        <v>41963</v>
      </c>
      <c r="B817" s="1">
        <v>41965</v>
      </c>
      <c r="C817">
        <v>2.72</v>
      </c>
      <c r="D817">
        <v>7.0000000000000007E-2</v>
      </c>
      <c r="E817">
        <v>2</v>
      </c>
    </row>
    <row r="818" spans="1:5" x14ac:dyDescent="0.25">
      <c r="A818" s="1">
        <v>41964</v>
      </c>
      <c r="B818" s="1">
        <v>41980</v>
      </c>
      <c r="C818">
        <v>7.31</v>
      </c>
      <c r="D818">
        <v>0.19</v>
      </c>
      <c r="E818">
        <v>4</v>
      </c>
    </row>
    <row r="819" spans="1:5" x14ac:dyDescent="0.25">
      <c r="A819" s="1">
        <v>41964</v>
      </c>
      <c r="B819" s="1">
        <v>41990</v>
      </c>
      <c r="C819">
        <v>5.23</v>
      </c>
      <c r="D819">
        <v>0.14000000000000001</v>
      </c>
      <c r="E819">
        <v>6</v>
      </c>
    </row>
    <row r="820" spans="1:5" x14ac:dyDescent="0.25">
      <c r="A820" s="1">
        <v>41965</v>
      </c>
      <c r="B820" s="1">
        <v>41968</v>
      </c>
      <c r="C820">
        <v>8.83</v>
      </c>
      <c r="D820">
        <v>0.23</v>
      </c>
      <c r="E820">
        <v>6</v>
      </c>
    </row>
    <row r="821" spans="1:5" x14ac:dyDescent="0.25">
      <c r="A821" s="1">
        <v>41965</v>
      </c>
      <c r="B821" s="1">
        <v>41971</v>
      </c>
      <c r="C821">
        <v>2.0099999999999998</v>
      </c>
      <c r="D821">
        <v>0.05</v>
      </c>
      <c r="E821">
        <v>5</v>
      </c>
    </row>
    <row r="822" spans="1:5" x14ac:dyDescent="0.25">
      <c r="A822" s="1">
        <v>41965</v>
      </c>
      <c r="B822" s="1">
        <v>41983</v>
      </c>
      <c r="C822">
        <v>8.89</v>
      </c>
      <c r="D822">
        <v>0.23</v>
      </c>
      <c r="E822">
        <v>6</v>
      </c>
    </row>
    <row r="823" spans="1:5" x14ac:dyDescent="0.25">
      <c r="A823" s="1">
        <v>41965</v>
      </c>
      <c r="B823" s="1">
        <v>41984</v>
      </c>
      <c r="C823">
        <v>6.34</v>
      </c>
      <c r="D823">
        <v>0.17</v>
      </c>
      <c r="E823">
        <v>6</v>
      </c>
    </row>
    <row r="824" spans="1:5" x14ac:dyDescent="0.25">
      <c r="A824" s="1">
        <v>41965</v>
      </c>
      <c r="B824" s="1">
        <v>41968</v>
      </c>
      <c r="C824">
        <v>14.31</v>
      </c>
      <c r="D824">
        <v>0.38</v>
      </c>
      <c r="E824">
        <v>3</v>
      </c>
    </row>
    <row r="825" spans="1:5" x14ac:dyDescent="0.25">
      <c r="A825" s="1">
        <v>41965</v>
      </c>
      <c r="B825" s="1">
        <v>41973</v>
      </c>
      <c r="C825">
        <v>11.42</v>
      </c>
      <c r="D825">
        <v>0.3</v>
      </c>
      <c r="E825">
        <v>6</v>
      </c>
    </row>
    <row r="826" spans="1:5" x14ac:dyDescent="0.25">
      <c r="A826" s="1">
        <v>41965</v>
      </c>
      <c r="B826" s="1">
        <v>41969</v>
      </c>
      <c r="C826">
        <v>9.4600000000000009</v>
      </c>
      <c r="D826">
        <v>0.25</v>
      </c>
      <c r="E826">
        <v>4</v>
      </c>
    </row>
    <row r="827" spans="1:5" x14ac:dyDescent="0.25">
      <c r="A827" s="1">
        <v>41966</v>
      </c>
      <c r="B827" s="1">
        <v>41984</v>
      </c>
      <c r="C827">
        <v>6.58</v>
      </c>
      <c r="D827">
        <v>0.17</v>
      </c>
      <c r="E827">
        <v>5</v>
      </c>
    </row>
    <row r="828" spans="1:5" x14ac:dyDescent="0.25">
      <c r="A828" s="1">
        <v>41967</v>
      </c>
      <c r="B828" s="1">
        <v>41991</v>
      </c>
      <c r="C828">
        <v>11.42</v>
      </c>
      <c r="D828">
        <v>0.3</v>
      </c>
      <c r="E828">
        <v>4</v>
      </c>
    </row>
    <row r="829" spans="1:5" x14ac:dyDescent="0.25">
      <c r="A829" s="1">
        <v>41967</v>
      </c>
      <c r="B829" s="1">
        <v>41988</v>
      </c>
      <c r="C829">
        <v>2.29</v>
      </c>
      <c r="D829">
        <v>0.06</v>
      </c>
      <c r="E829">
        <v>6</v>
      </c>
    </row>
    <row r="830" spans="1:5" x14ac:dyDescent="0.25">
      <c r="A830" s="1">
        <v>41968</v>
      </c>
      <c r="B830" s="1">
        <v>41993</v>
      </c>
      <c r="C830">
        <v>8.7200000000000006</v>
      </c>
      <c r="D830">
        <v>0.23</v>
      </c>
      <c r="E830">
        <v>3</v>
      </c>
    </row>
    <row r="831" spans="1:5" x14ac:dyDescent="0.25">
      <c r="A831" s="1">
        <v>41968</v>
      </c>
      <c r="B831" s="1">
        <v>41974</v>
      </c>
      <c r="C831">
        <v>2.29</v>
      </c>
      <c r="D831">
        <v>0.06</v>
      </c>
      <c r="E831">
        <v>3</v>
      </c>
    </row>
    <row r="832" spans="1:5" x14ac:dyDescent="0.25">
      <c r="A832" s="1">
        <v>41968</v>
      </c>
      <c r="B832" s="1">
        <v>41975</v>
      </c>
      <c r="C832">
        <v>6.58</v>
      </c>
      <c r="D832">
        <v>0.17</v>
      </c>
      <c r="E832">
        <v>3</v>
      </c>
    </row>
    <row r="833" spans="1:5" x14ac:dyDescent="0.25">
      <c r="A833" s="1">
        <v>41970</v>
      </c>
      <c r="B833" s="1">
        <v>41972</v>
      </c>
      <c r="C833">
        <v>7.35</v>
      </c>
      <c r="D833">
        <v>0.19</v>
      </c>
      <c r="E833">
        <v>6</v>
      </c>
    </row>
    <row r="834" spans="1:5" x14ac:dyDescent="0.25">
      <c r="A834" s="1">
        <v>41970</v>
      </c>
      <c r="B834" s="1">
        <v>41982</v>
      </c>
      <c r="C834">
        <v>6.43</v>
      </c>
      <c r="D834">
        <v>0.17</v>
      </c>
      <c r="E834">
        <v>4</v>
      </c>
    </row>
    <row r="835" spans="1:5" x14ac:dyDescent="0.25">
      <c r="A835" s="1">
        <v>41970</v>
      </c>
      <c r="B835" s="1">
        <v>41987</v>
      </c>
      <c r="C835">
        <v>8.65</v>
      </c>
      <c r="D835">
        <v>0.23</v>
      </c>
      <c r="E835">
        <v>3</v>
      </c>
    </row>
    <row r="836" spans="1:5" x14ac:dyDescent="0.25">
      <c r="A836" s="1">
        <v>41970</v>
      </c>
      <c r="B836" s="1">
        <v>41994</v>
      </c>
      <c r="C836">
        <v>13.82</v>
      </c>
      <c r="D836">
        <v>0.36</v>
      </c>
      <c r="E836">
        <v>3</v>
      </c>
    </row>
    <row r="837" spans="1:5" x14ac:dyDescent="0.25">
      <c r="A837" s="1">
        <v>41970</v>
      </c>
      <c r="B837" s="1">
        <v>41992</v>
      </c>
      <c r="C837">
        <v>5.67</v>
      </c>
      <c r="D837">
        <v>0.15</v>
      </c>
      <c r="E837">
        <v>4</v>
      </c>
    </row>
    <row r="838" spans="1:5" x14ac:dyDescent="0.25">
      <c r="A838" s="1">
        <v>41970</v>
      </c>
      <c r="B838" s="1">
        <v>41986</v>
      </c>
      <c r="C838">
        <v>6.75</v>
      </c>
      <c r="D838">
        <v>0.18</v>
      </c>
      <c r="E838">
        <v>2</v>
      </c>
    </row>
    <row r="839" spans="1:5" x14ac:dyDescent="0.25">
      <c r="A839" s="1">
        <v>41970</v>
      </c>
      <c r="B839" s="1">
        <v>41992</v>
      </c>
      <c r="C839">
        <v>5.67</v>
      </c>
      <c r="D839">
        <v>0.15</v>
      </c>
      <c r="E839">
        <v>5</v>
      </c>
    </row>
    <row r="840" spans="1:5" x14ac:dyDescent="0.25">
      <c r="A840" s="1">
        <v>41970</v>
      </c>
      <c r="B840" s="1">
        <v>41987</v>
      </c>
      <c r="C840">
        <v>14.31</v>
      </c>
      <c r="D840">
        <v>0.38</v>
      </c>
      <c r="E840">
        <v>3</v>
      </c>
    </row>
    <row r="841" spans="1:5" x14ac:dyDescent="0.25">
      <c r="A841" s="1">
        <v>41970</v>
      </c>
      <c r="B841" s="1">
        <v>41979</v>
      </c>
      <c r="C841">
        <v>16.55</v>
      </c>
      <c r="D841">
        <v>0.44</v>
      </c>
      <c r="E841">
        <v>4</v>
      </c>
    </row>
    <row r="842" spans="1:5" x14ac:dyDescent="0.25">
      <c r="A842" s="1">
        <v>41970</v>
      </c>
      <c r="B842" s="1">
        <v>41974</v>
      </c>
      <c r="C842">
        <v>11.44</v>
      </c>
      <c r="D842">
        <v>0.3</v>
      </c>
      <c r="E842">
        <v>4</v>
      </c>
    </row>
    <row r="843" spans="1:5" x14ac:dyDescent="0.25">
      <c r="A843" s="1">
        <v>41970</v>
      </c>
      <c r="B843" s="1">
        <v>41992</v>
      </c>
      <c r="C843">
        <v>4.66</v>
      </c>
      <c r="D843">
        <v>0.12</v>
      </c>
      <c r="E843">
        <v>4</v>
      </c>
    </row>
    <row r="844" spans="1:5" x14ac:dyDescent="0.25">
      <c r="A844" s="1">
        <v>41970</v>
      </c>
      <c r="B844" s="1">
        <v>41995</v>
      </c>
      <c r="C844">
        <v>3.73</v>
      </c>
      <c r="D844">
        <v>0.1</v>
      </c>
      <c r="E844">
        <v>6</v>
      </c>
    </row>
    <row r="845" spans="1:5" x14ac:dyDescent="0.25">
      <c r="A845" s="1">
        <v>41970</v>
      </c>
      <c r="B845" s="1">
        <v>41982</v>
      </c>
      <c r="C845">
        <v>6.75</v>
      </c>
      <c r="D845">
        <v>0.18</v>
      </c>
      <c r="E845">
        <v>3</v>
      </c>
    </row>
    <row r="846" spans="1:5" x14ac:dyDescent="0.25">
      <c r="A846" s="1">
        <v>41970</v>
      </c>
      <c r="B846" s="1">
        <v>41981</v>
      </c>
      <c r="C846">
        <v>2.72</v>
      </c>
      <c r="D846">
        <v>7.0000000000000007E-2</v>
      </c>
      <c r="E846">
        <v>6</v>
      </c>
    </row>
    <row r="847" spans="1:5" x14ac:dyDescent="0.25">
      <c r="A847" s="1">
        <v>41970</v>
      </c>
      <c r="B847" s="1">
        <v>41990</v>
      </c>
      <c r="C847">
        <v>7.71</v>
      </c>
      <c r="D847">
        <v>0.2</v>
      </c>
      <c r="E847">
        <v>6</v>
      </c>
    </row>
    <row r="848" spans="1:5" x14ac:dyDescent="0.25">
      <c r="A848" s="1">
        <v>41970</v>
      </c>
      <c r="B848" s="1">
        <v>41972</v>
      </c>
      <c r="C848">
        <v>6.58</v>
      </c>
      <c r="D848">
        <v>0.17</v>
      </c>
      <c r="E848">
        <v>6</v>
      </c>
    </row>
    <row r="849" spans="1:5" x14ac:dyDescent="0.25">
      <c r="A849" s="1">
        <v>41970</v>
      </c>
      <c r="B849" s="1">
        <v>41986</v>
      </c>
      <c r="C849">
        <v>8.89</v>
      </c>
      <c r="D849">
        <v>0.23</v>
      </c>
      <c r="E849">
        <v>2</v>
      </c>
    </row>
    <row r="850" spans="1:5" x14ac:dyDescent="0.25">
      <c r="A850" s="1">
        <v>41970</v>
      </c>
      <c r="B850" s="1">
        <v>41986</v>
      </c>
      <c r="C850">
        <v>5.47</v>
      </c>
      <c r="D850">
        <v>0.14000000000000001</v>
      </c>
      <c r="E850">
        <v>4</v>
      </c>
    </row>
    <row r="851" spans="1:5" x14ac:dyDescent="0.25">
      <c r="A851" s="1">
        <v>41971</v>
      </c>
      <c r="B851" s="1">
        <v>41987</v>
      </c>
      <c r="C851">
        <v>12.01</v>
      </c>
      <c r="D851">
        <v>0.32</v>
      </c>
      <c r="E851">
        <v>2</v>
      </c>
    </row>
    <row r="852" spans="1:5" x14ac:dyDescent="0.25">
      <c r="A852" s="1">
        <v>41971</v>
      </c>
      <c r="B852" s="1">
        <v>41976</v>
      </c>
      <c r="C852">
        <v>11.44</v>
      </c>
      <c r="D852">
        <v>0.3</v>
      </c>
      <c r="E852">
        <v>3</v>
      </c>
    </row>
    <row r="853" spans="1:5" x14ac:dyDescent="0.25">
      <c r="A853" s="1">
        <v>41971</v>
      </c>
      <c r="B853" s="1">
        <v>41986</v>
      </c>
      <c r="C853">
        <v>14.13</v>
      </c>
      <c r="D853">
        <v>0.37</v>
      </c>
      <c r="E853">
        <v>3</v>
      </c>
    </row>
    <row r="854" spans="1:5" x14ac:dyDescent="0.25">
      <c r="A854" s="1">
        <v>41971</v>
      </c>
      <c r="B854" s="1">
        <v>41983</v>
      </c>
      <c r="C854">
        <v>8.9499999999999993</v>
      </c>
      <c r="D854">
        <v>0.24</v>
      </c>
      <c r="E854">
        <v>6</v>
      </c>
    </row>
    <row r="855" spans="1:5" x14ac:dyDescent="0.25">
      <c r="A855" s="1">
        <v>41971</v>
      </c>
      <c r="B855" s="1">
        <v>41973</v>
      </c>
      <c r="C855">
        <v>8.89</v>
      </c>
      <c r="D855">
        <v>0.23</v>
      </c>
      <c r="E855">
        <v>2</v>
      </c>
    </row>
    <row r="856" spans="1:5" x14ac:dyDescent="0.25">
      <c r="A856" s="1">
        <v>41971</v>
      </c>
      <c r="B856" s="1">
        <v>41975</v>
      </c>
      <c r="C856">
        <v>6.43</v>
      </c>
      <c r="D856">
        <v>0.17</v>
      </c>
      <c r="E856">
        <v>5</v>
      </c>
    </row>
    <row r="857" spans="1:5" x14ac:dyDescent="0.25">
      <c r="A857" s="1">
        <v>41971</v>
      </c>
      <c r="B857" s="1">
        <v>41974</v>
      </c>
      <c r="C857">
        <v>3.94</v>
      </c>
      <c r="D857">
        <v>0.1</v>
      </c>
      <c r="E857">
        <v>3</v>
      </c>
    </row>
    <row r="858" spans="1:5" x14ac:dyDescent="0.25">
      <c r="A858" s="1">
        <v>41971</v>
      </c>
      <c r="B858" s="1">
        <v>41973</v>
      </c>
      <c r="C858">
        <v>6.23</v>
      </c>
      <c r="D858">
        <v>0.16</v>
      </c>
      <c r="E858">
        <v>3</v>
      </c>
    </row>
    <row r="859" spans="1:5" x14ac:dyDescent="0.25">
      <c r="A859" s="1">
        <v>41971</v>
      </c>
      <c r="B859" s="1">
        <v>41999</v>
      </c>
      <c r="C859">
        <v>13.82</v>
      </c>
      <c r="D859">
        <v>0.36</v>
      </c>
      <c r="E859">
        <v>3</v>
      </c>
    </row>
    <row r="860" spans="1:5" x14ac:dyDescent="0.25">
      <c r="A860" s="1">
        <v>41971</v>
      </c>
      <c r="B860" s="1">
        <v>41987</v>
      </c>
      <c r="C860">
        <v>4.66</v>
      </c>
      <c r="D860">
        <v>0.12</v>
      </c>
      <c r="E860">
        <v>4</v>
      </c>
    </row>
    <row r="861" spans="1:5" x14ac:dyDescent="0.25">
      <c r="A861" s="1">
        <v>41971</v>
      </c>
      <c r="B861" s="1">
        <v>41998</v>
      </c>
      <c r="C861">
        <v>6.58</v>
      </c>
      <c r="D861">
        <v>0.17</v>
      </c>
      <c r="E861">
        <v>6</v>
      </c>
    </row>
    <row r="862" spans="1:5" x14ac:dyDescent="0.25">
      <c r="A862" s="1">
        <v>41971</v>
      </c>
      <c r="B862" s="1">
        <v>41987</v>
      </c>
      <c r="C862">
        <v>5.23</v>
      </c>
      <c r="D862">
        <v>0.14000000000000001</v>
      </c>
      <c r="E862">
        <v>2</v>
      </c>
    </row>
    <row r="863" spans="1:5" x14ac:dyDescent="0.25">
      <c r="A863" s="1">
        <v>41971</v>
      </c>
      <c r="B863" s="1">
        <v>41999</v>
      </c>
      <c r="C863">
        <v>14</v>
      </c>
      <c r="D863">
        <v>0.37</v>
      </c>
      <c r="E863">
        <v>6</v>
      </c>
    </row>
    <row r="864" spans="1:5" x14ac:dyDescent="0.25">
      <c r="A864" s="1">
        <v>41971</v>
      </c>
      <c r="B864" s="1">
        <v>41993</v>
      </c>
      <c r="C864">
        <v>8.65</v>
      </c>
      <c r="D864">
        <v>0.23</v>
      </c>
      <c r="E864">
        <v>2</v>
      </c>
    </row>
    <row r="865" spans="1:5" x14ac:dyDescent="0.25">
      <c r="A865" s="1">
        <v>41971</v>
      </c>
      <c r="B865" s="1">
        <v>41988</v>
      </c>
      <c r="C865">
        <v>19.54</v>
      </c>
      <c r="D865">
        <v>0.51</v>
      </c>
      <c r="E865">
        <v>6</v>
      </c>
    </row>
    <row r="866" spans="1:5" x14ac:dyDescent="0.25">
      <c r="A866" s="1">
        <v>41971</v>
      </c>
      <c r="B866" s="1">
        <v>41994</v>
      </c>
      <c r="C866">
        <v>8.83</v>
      </c>
      <c r="D866">
        <v>0.23</v>
      </c>
      <c r="E866">
        <v>2</v>
      </c>
    </row>
    <row r="867" spans="1:5" x14ac:dyDescent="0.25">
      <c r="A867" s="1">
        <v>41971</v>
      </c>
      <c r="B867" s="1">
        <v>41994</v>
      </c>
      <c r="C867">
        <v>5.64</v>
      </c>
      <c r="D867">
        <v>0.15</v>
      </c>
      <c r="E867">
        <v>3</v>
      </c>
    </row>
    <row r="868" spans="1:5" x14ac:dyDescent="0.25">
      <c r="A868" s="1">
        <v>41971</v>
      </c>
      <c r="B868" s="1">
        <v>41995</v>
      </c>
      <c r="C868">
        <v>8.89</v>
      </c>
      <c r="D868">
        <v>0.23</v>
      </c>
      <c r="E868">
        <v>4</v>
      </c>
    </row>
    <row r="869" spans="1:5" x14ac:dyDescent="0.25">
      <c r="A869" s="1">
        <v>41971</v>
      </c>
      <c r="B869" s="1">
        <v>41981</v>
      </c>
      <c r="C869">
        <v>16.829999999999998</v>
      </c>
      <c r="D869">
        <v>0.44</v>
      </c>
      <c r="E869">
        <v>2</v>
      </c>
    </row>
    <row r="870" spans="1:5" x14ac:dyDescent="0.25">
      <c r="A870" s="1">
        <v>41971</v>
      </c>
      <c r="B870" s="1">
        <v>41982</v>
      </c>
      <c r="C870">
        <v>11.42</v>
      </c>
      <c r="D870">
        <v>0.3</v>
      </c>
      <c r="E870">
        <v>2</v>
      </c>
    </row>
    <row r="871" spans="1:5" x14ac:dyDescent="0.25">
      <c r="A871" s="1">
        <v>41972</v>
      </c>
      <c r="B871" s="1">
        <v>41979</v>
      </c>
      <c r="C871">
        <v>5.64</v>
      </c>
      <c r="D871">
        <v>0.15</v>
      </c>
      <c r="E871">
        <v>3</v>
      </c>
    </row>
    <row r="872" spans="1:5" x14ac:dyDescent="0.25">
      <c r="A872" s="1">
        <v>41974</v>
      </c>
      <c r="B872" s="1">
        <v>41985</v>
      </c>
      <c r="C872">
        <v>8.7200000000000006</v>
      </c>
      <c r="D872">
        <v>0.23</v>
      </c>
      <c r="E872">
        <v>6</v>
      </c>
    </row>
    <row r="873" spans="1:5" x14ac:dyDescent="0.25">
      <c r="A873" s="1">
        <v>41974</v>
      </c>
      <c r="B873" s="1">
        <v>41994</v>
      </c>
      <c r="C873">
        <v>5.67</v>
      </c>
      <c r="D873">
        <v>0.15</v>
      </c>
      <c r="E873">
        <v>5</v>
      </c>
    </row>
    <row r="874" spans="1:5" x14ac:dyDescent="0.25">
      <c r="A874" s="1">
        <v>41974</v>
      </c>
      <c r="B874" s="1">
        <v>41995</v>
      </c>
      <c r="C874">
        <v>3.88</v>
      </c>
      <c r="D874">
        <v>0.1</v>
      </c>
      <c r="E874">
        <v>5</v>
      </c>
    </row>
    <row r="875" spans="1:5" x14ac:dyDescent="0.25">
      <c r="A875" s="1">
        <v>41974</v>
      </c>
      <c r="B875" s="1">
        <v>41989</v>
      </c>
      <c r="C875">
        <v>6.58</v>
      </c>
      <c r="D875">
        <v>0.17</v>
      </c>
      <c r="E875">
        <v>5</v>
      </c>
    </row>
    <row r="876" spans="1:5" x14ac:dyDescent="0.25">
      <c r="A876" s="1">
        <v>41974</v>
      </c>
      <c r="B876" s="1">
        <v>41994</v>
      </c>
      <c r="C876">
        <v>5.67</v>
      </c>
      <c r="D876">
        <v>0.15</v>
      </c>
      <c r="E876">
        <v>2</v>
      </c>
    </row>
    <row r="877" spans="1:5" x14ac:dyDescent="0.25">
      <c r="A877" s="1">
        <v>41974</v>
      </c>
      <c r="B877" s="1">
        <v>41994</v>
      </c>
      <c r="C877">
        <v>6.34</v>
      </c>
      <c r="D877">
        <v>0.17</v>
      </c>
      <c r="E877">
        <v>6</v>
      </c>
    </row>
    <row r="878" spans="1:5" x14ac:dyDescent="0.25">
      <c r="A878" s="1">
        <v>41974</v>
      </c>
      <c r="B878" s="1">
        <v>41985</v>
      </c>
      <c r="C878">
        <v>6.58</v>
      </c>
      <c r="D878">
        <v>0.17</v>
      </c>
      <c r="E878">
        <v>6</v>
      </c>
    </row>
    <row r="879" spans="1:5" x14ac:dyDescent="0.25">
      <c r="A879" s="1">
        <v>41975</v>
      </c>
      <c r="B879" s="1">
        <v>41977</v>
      </c>
      <c r="C879">
        <v>5.67</v>
      </c>
      <c r="D879">
        <v>0.15</v>
      </c>
      <c r="E879">
        <v>3</v>
      </c>
    </row>
    <row r="880" spans="1:5" x14ac:dyDescent="0.25">
      <c r="A880" s="1">
        <v>41975</v>
      </c>
      <c r="B880" s="1">
        <v>41981</v>
      </c>
      <c r="C880">
        <v>4.25</v>
      </c>
      <c r="D880">
        <v>0.11</v>
      </c>
      <c r="E880">
        <v>3</v>
      </c>
    </row>
    <row r="881" spans="1:5" x14ac:dyDescent="0.25">
      <c r="A881" s="1">
        <v>41975</v>
      </c>
      <c r="B881" s="1">
        <v>41992</v>
      </c>
      <c r="C881">
        <v>8.84</v>
      </c>
      <c r="D881">
        <v>0.23</v>
      </c>
      <c r="E881">
        <v>3</v>
      </c>
    </row>
    <row r="882" spans="1:5" x14ac:dyDescent="0.25">
      <c r="A882" s="1">
        <v>41975</v>
      </c>
      <c r="B882" s="1">
        <v>41990</v>
      </c>
      <c r="C882">
        <v>3.57</v>
      </c>
      <c r="D882">
        <v>0.09</v>
      </c>
      <c r="E882">
        <v>5</v>
      </c>
    </row>
    <row r="883" spans="1:5" x14ac:dyDescent="0.25">
      <c r="A883" s="1">
        <v>41975</v>
      </c>
      <c r="B883" s="1">
        <v>41990</v>
      </c>
      <c r="C883">
        <v>2.0099999999999998</v>
      </c>
      <c r="D883">
        <v>0.05</v>
      </c>
      <c r="E883">
        <v>2</v>
      </c>
    </row>
    <row r="884" spans="1:5" x14ac:dyDescent="0.25">
      <c r="A884" s="1">
        <v>41975</v>
      </c>
      <c r="B884" s="1">
        <v>41992</v>
      </c>
      <c r="C884">
        <v>3.73</v>
      </c>
      <c r="D884">
        <v>0.1</v>
      </c>
      <c r="E884">
        <v>3</v>
      </c>
    </row>
    <row r="885" spans="1:5" x14ac:dyDescent="0.25">
      <c r="A885" s="1">
        <v>41976</v>
      </c>
      <c r="B885" s="1">
        <v>41978</v>
      </c>
      <c r="C885">
        <v>3.57</v>
      </c>
      <c r="D885">
        <v>0.09</v>
      </c>
      <c r="E885">
        <v>5</v>
      </c>
    </row>
    <row r="886" spans="1:5" x14ac:dyDescent="0.25">
      <c r="A886" s="1">
        <v>41977</v>
      </c>
      <c r="B886" s="1">
        <v>41993</v>
      </c>
      <c r="C886">
        <v>6.58</v>
      </c>
      <c r="D886">
        <v>0.17</v>
      </c>
      <c r="E886">
        <v>4</v>
      </c>
    </row>
    <row r="887" spans="1:5" x14ac:dyDescent="0.25">
      <c r="A887" s="1">
        <v>41977</v>
      </c>
      <c r="B887" s="1">
        <v>42005</v>
      </c>
      <c r="C887">
        <v>5.64</v>
      </c>
      <c r="D887">
        <v>0.15</v>
      </c>
      <c r="E887">
        <v>6</v>
      </c>
    </row>
    <row r="888" spans="1:5" x14ac:dyDescent="0.25">
      <c r="A888" s="1">
        <v>41977</v>
      </c>
      <c r="B888" s="1">
        <v>41989</v>
      </c>
      <c r="C888">
        <v>3.88</v>
      </c>
      <c r="D888">
        <v>0.1</v>
      </c>
      <c r="E888">
        <v>2</v>
      </c>
    </row>
    <row r="889" spans="1:5" x14ac:dyDescent="0.25">
      <c r="A889" s="1">
        <v>41977</v>
      </c>
      <c r="B889" s="1">
        <v>42000</v>
      </c>
      <c r="C889">
        <v>3.79</v>
      </c>
      <c r="D889">
        <v>0.1</v>
      </c>
      <c r="E889">
        <v>6</v>
      </c>
    </row>
    <row r="890" spans="1:5" x14ac:dyDescent="0.25">
      <c r="A890" s="1">
        <v>41977</v>
      </c>
      <c r="B890" s="1">
        <v>41984</v>
      </c>
      <c r="C890">
        <v>11.37</v>
      </c>
      <c r="D890">
        <v>0.3</v>
      </c>
      <c r="E890">
        <v>2</v>
      </c>
    </row>
    <row r="891" spans="1:5" x14ac:dyDescent="0.25">
      <c r="A891" s="1">
        <v>41977</v>
      </c>
      <c r="B891" s="1">
        <v>41994</v>
      </c>
      <c r="C891">
        <v>16.55</v>
      </c>
      <c r="D891">
        <v>0.44</v>
      </c>
      <c r="E891">
        <v>6</v>
      </c>
    </row>
    <row r="892" spans="1:5" x14ac:dyDescent="0.25">
      <c r="A892" s="1">
        <v>41977</v>
      </c>
      <c r="B892" s="1">
        <v>42001</v>
      </c>
      <c r="C892">
        <v>6.88</v>
      </c>
      <c r="D892">
        <v>0.18</v>
      </c>
      <c r="E892">
        <v>4</v>
      </c>
    </row>
    <row r="893" spans="1:5" x14ac:dyDescent="0.25">
      <c r="A893" s="1">
        <v>41982</v>
      </c>
      <c r="B893" s="1">
        <v>42001</v>
      </c>
      <c r="C893">
        <v>5.64</v>
      </c>
      <c r="D893">
        <v>0.15</v>
      </c>
      <c r="E893">
        <v>4</v>
      </c>
    </row>
    <row r="894" spans="1:5" x14ac:dyDescent="0.25">
      <c r="A894" s="1">
        <v>41982</v>
      </c>
      <c r="B894" s="1">
        <v>42004</v>
      </c>
      <c r="C894">
        <v>3.57</v>
      </c>
      <c r="D894">
        <v>0.09</v>
      </c>
      <c r="E894">
        <v>4</v>
      </c>
    </row>
    <row r="895" spans="1:5" x14ac:dyDescent="0.25">
      <c r="A895" s="1">
        <v>41982</v>
      </c>
      <c r="B895" s="1">
        <v>42007</v>
      </c>
      <c r="C895">
        <v>9.4600000000000009</v>
      </c>
      <c r="D895">
        <v>0.25</v>
      </c>
      <c r="E895">
        <v>6</v>
      </c>
    </row>
    <row r="896" spans="1:5" x14ac:dyDescent="0.25">
      <c r="A896" s="1">
        <v>41982</v>
      </c>
      <c r="B896" s="1">
        <v>41992</v>
      </c>
      <c r="C896">
        <v>4.25</v>
      </c>
      <c r="D896">
        <v>0.11</v>
      </c>
      <c r="E896">
        <v>5</v>
      </c>
    </row>
    <row r="897" spans="1:5" x14ac:dyDescent="0.25">
      <c r="A897" s="1">
        <v>41982</v>
      </c>
      <c r="B897" s="1">
        <v>41988</v>
      </c>
      <c r="C897">
        <v>5.67</v>
      </c>
      <c r="D897">
        <v>0.15</v>
      </c>
      <c r="E897">
        <v>5</v>
      </c>
    </row>
    <row r="898" spans="1:5" x14ac:dyDescent="0.25">
      <c r="A898" s="1">
        <v>41982</v>
      </c>
      <c r="B898" s="1">
        <v>41999</v>
      </c>
      <c r="C898">
        <v>6.34</v>
      </c>
      <c r="D898">
        <v>0.17</v>
      </c>
      <c r="E898">
        <v>2</v>
      </c>
    </row>
    <row r="899" spans="1:5" x14ac:dyDescent="0.25">
      <c r="A899" s="1">
        <v>41982</v>
      </c>
      <c r="B899" s="1">
        <v>41991</v>
      </c>
      <c r="C899">
        <v>14.13</v>
      </c>
      <c r="D899">
        <v>0.37</v>
      </c>
      <c r="E899">
        <v>6</v>
      </c>
    </row>
    <row r="900" spans="1:5" x14ac:dyDescent="0.25">
      <c r="A900" s="1">
        <v>41982</v>
      </c>
      <c r="B900" s="1">
        <v>42007</v>
      </c>
      <c r="C900">
        <v>8.83</v>
      </c>
      <c r="D900">
        <v>0.23</v>
      </c>
      <c r="E900">
        <v>5</v>
      </c>
    </row>
    <row r="901" spans="1:5" x14ac:dyDescent="0.25">
      <c r="A901" s="1">
        <v>41982</v>
      </c>
      <c r="B901" s="1">
        <v>42003</v>
      </c>
      <c r="C901">
        <v>7.31</v>
      </c>
      <c r="D901">
        <v>0.19</v>
      </c>
      <c r="E901">
        <v>2</v>
      </c>
    </row>
    <row r="902" spans="1:5" x14ac:dyDescent="0.25">
      <c r="A902" s="1">
        <v>41982</v>
      </c>
      <c r="B902" s="1">
        <v>41997</v>
      </c>
      <c r="C902">
        <v>9.74</v>
      </c>
      <c r="D902">
        <v>0.26</v>
      </c>
      <c r="E902">
        <v>6</v>
      </c>
    </row>
    <row r="903" spans="1:5" x14ac:dyDescent="0.25">
      <c r="A903" s="1">
        <v>41982</v>
      </c>
      <c r="B903" s="1">
        <v>42006</v>
      </c>
      <c r="C903">
        <v>11.42</v>
      </c>
      <c r="D903">
        <v>0.3</v>
      </c>
      <c r="E903">
        <v>4</v>
      </c>
    </row>
    <row r="904" spans="1:5" x14ac:dyDescent="0.25">
      <c r="A904" s="1">
        <v>41982</v>
      </c>
      <c r="B904" s="1">
        <v>41995</v>
      </c>
      <c r="C904">
        <v>11.44</v>
      </c>
      <c r="D904">
        <v>0.3</v>
      </c>
      <c r="E904">
        <v>4</v>
      </c>
    </row>
    <row r="905" spans="1:5" x14ac:dyDescent="0.25">
      <c r="A905" s="1">
        <v>41982</v>
      </c>
      <c r="B905" s="1">
        <v>41988</v>
      </c>
      <c r="C905">
        <v>7.35</v>
      </c>
      <c r="D905">
        <v>0.19</v>
      </c>
      <c r="E905">
        <v>3</v>
      </c>
    </row>
    <row r="906" spans="1:5" x14ac:dyDescent="0.25">
      <c r="A906" s="1">
        <v>41982</v>
      </c>
      <c r="B906" s="1">
        <v>41993</v>
      </c>
      <c r="C906">
        <v>7.3</v>
      </c>
      <c r="D906">
        <v>0.19</v>
      </c>
      <c r="E906">
        <v>2</v>
      </c>
    </row>
    <row r="907" spans="1:5" x14ac:dyDescent="0.25">
      <c r="A907" s="1">
        <v>41982</v>
      </c>
      <c r="B907" s="1">
        <v>41989</v>
      </c>
      <c r="C907">
        <v>8.65</v>
      </c>
      <c r="D907">
        <v>0.23</v>
      </c>
      <c r="E907">
        <v>4</v>
      </c>
    </row>
    <row r="908" spans="1:5" x14ac:dyDescent="0.25">
      <c r="A908" s="1">
        <v>41982</v>
      </c>
      <c r="B908" s="1">
        <v>41991</v>
      </c>
      <c r="C908">
        <v>8.39</v>
      </c>
      <c r="D908">
        <v>0.22</v>
      </c>
      <c r="E908">
        <v>2</v>
      </c>
    </row>
    <row r="909" spans="1:5" x14ac:dyDescent="0.25">
      <c r="A909" s="1">
        <v>41982</v>
      </c>
      <c r="B909" s="1">
        <v>41993</v>
      </c>
      <c r="C909">
        <v>11.42</v>
      </c>
      <c r="D909">
        <v>0.3</v>
      </c>
      <c r="E909">
        <v>3</v>
      </c>
    </row>
    <row r="910" spans="1:5" x14ac:dyDescent="0.25">
      <c r="A910" s="1">
        <v>41982</v>
      </c>
      <c r="B910" s="1">
        <v>41994</v>
      </c>
      <c r="C910">
        <v>9.74</v>
      </c>
      <c r="D910">
        <v>0.26</v>
      </c>
      <c r="E910">
        <v>2</v>
      </c>
    </row>
    <row r="911" spans="1:5" x14ac:dyDescent="0.25">
      <c r="A911" s="1">
        <v>41982</v>
      </c>
      <c r="B911" s="1">
        <v>42002</v>
      </c>
      <c r="C911">
        <v>13.07</v>
      </c>
      <c r="D911">
        <v>0.34</v>
      </c>
      <c r="E911">
        <v>2</v>
      </c>
    </row>
    <row r="912" spans="1:5" x14ac:dyDescent="0.25">
      <c r="A912" s="1">
        <v>41982</v>
      </c>
      <c r="B912" s="1">
        <v>42006</v>
      </c>
      <c r="C912">
        <v>6.75</v>
      </c>
      <c r="D912">
        <v>0.18</v>
      </c>
      <c r="E912">
        <v>4</v>
      </c>
    </row>
    <row r="913" spans="1:5" x14ac:dyDescent="0.25">
      <c r="A913" s="1">
        <v>41982</v>
      </c>
      <c r="B913" s="1">
        <v>42010</v>
      </c>
      <c r="C913">
        <v>6.75</v>
      </c>
      <c r="D913">
        <v>0.18</v>
      </c>
      <c r="E913">
        <v>2</v>
      </c>
    </row>
    <row r="914" spans="1:5" x14ac:dyDescent="0.25">
      <c r="A914" s="1">
        <v>41983</v>
      </c>
      <c r="B914" s="1">
        <v>41990</v>
      </c>
      <c r="C914">
        <v>9.06</v>
      </c>
      <c r="D914">
        <v>0.24</v>
      </c>
      <c r="E914">
        <v>4</v>
      </c>
    </row>
    <row r="915" spans="1:5" x14ac:dyDescent="0.25">
      <c r="A915" s="1">
        <v>41983</v>
      </c>
      <c r="B915" s="1">
        <v>42004</v>
      </c>
      <c r="C915">
        <v>4.25</v>
      </c>
      <c r="D915">
        <v>0.11</v>
      </c>
      <c r="E915">
        <v>5</v>
      </c>
    </row>
    <row r="916" spans="1:5" x14ac:dyDescent="0.25">
      <c r="A916" s="1">
        <v>41983</v>
      </c>
      <c r="B916" s="1">
        <v>41993</v>
      </c>
      <c r="C916">
        <v>7.06</v>
      </c>
      <c r="D916">
        <v>0.19</v>
      </c>
      <c r="E916">
        <v>2</v>
      </c>
    </row>
    <row r="917" spans="1:5" x14ac:dyDescent="0.25">
      <c r="A917" s="1">
        <v>41983</v>
      </c>
      <c r="B917" s="1">
        <v>41992</v>
      </c>
      <c r="C917">
        <v>14.31</v>
      </c>
      <c r="D917">
        <v>0.38</v>
      </c>
      <c r="E917">
        <v>4</v>
      </c>
    </row>
    <row r="918" spans="1:5" x14ac:dyDescent="0.25">
      <c r="A918" s="1">
        <v>41983</v>
      </c>
      <c r="B918" s="1">
        <v>42011</v>
      </c>
      <c r="C918">
        <v>5.64</v>
      </c>
      <c r="D918">
        <v>0.15</v>
      </c>
      <c r="E918">
        <v>5</v>
      </c>
    </row>
    <row r="919" spans="1:5" x14ac:dyDescent="0.25">
      <c r="A919" s="1">
        <v>41983</v>
      </c>
      <c r="B919" s="1">
        <v>41996</v>
      </c>
      <c r="C919">
        <v>5.67</v>
      </c>
      <c r="D919">
        <v>0.15</v>
      </c>
      <c r="E919">
        <v>3</v>
      </c>
    </row>
    <row r="920" spans="1:5" x14ac:dyDescent="0.25">
      <c r="A920" s="1">
        <v>41983</v>
      </c>
      <c r="B920" s="1">
        <v>41990</v>
      </c>
      <c r="C920">
        <v>11.69</v>
      </c>
      <c r="D920">
        <v>0.31</v>
      </c>
      <c r="E920">
        <v>2</v>
      </c>
    </row>
    <row r="921" spans="1:5" x14ac:dyDescent="0.25">
      <c r="A921" s="1">
        <v>41983</v>
      </c>
      <c r="B921" s="1">
        <v>42002</v>
      </c>
      <c r="C921">
        <v>13.02</v>
      </c>
      <c r="D921">
        <v>0.34</v>
      </c>
      <c r="E921">
        <v>3</v>
      </c>
    </row>
    <row r="922" spans="1:5" x14ac:dyDescent="0.25">
      <c r="A922" s="1">
        <v>41983</v>
      </c>
      <c r="B922" s="1">
        <v>41986</v>
      </c>
      <c r="C922">
        <v>4.25</v>
      </c>
      <c r="D922">
        <v>0.11</v>
      </c>
      <c r="E922">
        <v>3</v>
      </c>
    </row>
    <row r="923" spans="1:5" x14ac:dyDescent="0.25">
      <c r="A923" s="1">
        <v>41983</v>
      </c>
      <c r="B923" s="1">
        <v>41995</v>
      </c>
      <c r="C923">
        <v>12.23</v>
      </c>
      <c r="D923">
        <v>0.32</v>
      </c>
      <c r="E923">
        <v>3</v>
      </c>
    </row>
    <row r="924" spans="1:5" x14ac:dyDescent="0.25">
      <c r="A924" s="1">
        <v>41983</v>
      </c>
      <c r="B924" s="1">
        <v>42009</v>
      </c>
      <c r="C924">
        <v>14.13</v>
      </c>
      <c r="D924">
        <v>0.37</v>
      </c>
      <c r="E924">
        <v>5</v>
      </c>
    </row>
    <row r="925" spans="1:5" x14ac:dyDescent="0.25">
      <c r="A925" s="1">
        <v>41983</v>
      </c>
      <c r="B925" s="1">
        <v>42008</v>
      </c>
      <c r="C925">
        <v>6.23</v>
      </c>
      <c r="D925">
        <v>0.16</v>
      </c>
      <c r="E925">
        <v>3</v>
      </c>
    </row>
    <row r="926" spans="1:5" x14ac:dyDescent="0.25">
      <c r="A926" s="1">
        <v>41983</v>
      </c>
      <c r="B926" s="1">
        <v>42006</v>
      </c>
      <c r="C926">
        <v>8.5399999999999991</v>
      </c>
      <c r="D926">
        <v>0.22</v>
      </c>
      <c r="E926">
        <v>2</v>
      </c>
    </row>
    <row r="927" spans="1:5" x14ac:dyDescent="0.25">
      <c r="A927" s="1">
        <v>41983</v>
      </c>
      <c r="B927" s="1">
        <v>42001</v>
      </c>
      <c r="C927">
        <v>7.55</v>
      </c>
      <c r="D927">
        <v>0.2</v>
      </c>
      <c r="E927">
        <v>2</v>
      </c>
    </row>
    <row r="928" spans="1:5" x14ac:dyDescent="0.25">
      <c r="A928" s="1">
        <v>41983</v>
      </c>
      <c r="B928" s="1">
        <v>41989</v>
      </c>
      <c r="C928">
        <v>14</v>
      </c>
      <c r="D928">
        <v>0.37</v>
      </c>
      <c r="E928">
        <v>4</v>
      </c>
    </row>
    <row r="929" spans="1:5" x14ac:dyDescent="0.25">
      <c r="A929" s="1">
        <v>41983</v>
      </c>
      <c r="B929" s="1">
        <v>41986</v>
      </c>
      <c r="C929">
        <v>13.02</v>
      </c>
      <c r="D929">
        <v>0.34</v>
      </c>
      <c r="E929">
        <v>2</v>
      </c>
    </row>
    <row r="930" spans="1:5" x14ac:dyDescent="0.25">
      <c r="A930" s="1">
        <v>41983</v>
      </c>
      <c r="B930" s="1">
        <v>42009</v>
      </c>
      <c r="C930">
        <v>8.39</v>
      </c>
      <c r="D930">
        <v>0.22</v>
      </c>
      <c r="E930">
        <v>6</v>
      </c>
    </row>
    <row r="931" spans="1:5" x14ac:dyDescent="0.25">
      <c r="A931" s="1">
        <v>41983</v>
      </c>
      <c r="B931" s="1">
        <v>41990</v>
      </c>
      <c r="C931">
        <v>5.23</v>
      </c>
      <c r="D931">
        <v>0.14000000000000001</v>
      </c>
      <c r="E931">
        <v>4</v>
      </c>
    </row>
    <row r="932" spans="1:5" x14ac:dyDescent="0.25">
      <c r="A932" s="1">
        <v>41983</v>
      </c>
      <c r="B932" s="1">
        <v>41988</v>
      </c>
      <c r="C932">
        <v>2.0099999999999998</v>
      </c>
      <c r="D932">
        <v>0.05</v>
      </c>
      <c r="E932">
        <v>2</v>
      </c>
    </row>
    <row r="933" spans="1:5" x14ac:dyDescent="0.25">
      <c r="A933" s="1">
        <v>41983</v>
      </c>
      <c r="B933" s="1">
        <v>42008</v>
      </c>
      <c r="C933">
        <v>7.06</v>
      </c>
      <c r="D933">
        <v>0.19</v>
      </c>
      <c r="E933">
        <v>5</v>
      </c>
    </row>
    <row r="934" spans="1:5" x14ac:dyDescent="0.25">
      <c r="A934" s="1">
        <v>41983</v>
      </c>
      <c r="B934" s="1">
        <v>42004</v>
      </c>
      <c r="C934">
        <v>19.54</v>
      </c>
      <c r="D934">
        <v>0.51</v>
      </c>
      <c r="E934">
        <v>3</v>
      </c>
    </row>
    <row r="935" spans="1:5" x14ac:dyDescent="0.25">
      <c r="A935" s="1">
        <v>41983</v>
      </c>
      <c r="B935" s="1">
        <v>41993</v>
      </c>
      <c r="C935">
        <v>5.23</v>
      </c>
      <c r="D935">
        <v>0.14000000000000001</v>
      </c>
      <c r="E935">
        <v>4</v>
      </c>
    </row>
    <row r="936" spans="1:5" x14ac:dyDescent="0.25">
      <c r="A936" s="1">
        <v>41984</v>
      </c>
      <c r="B936" s="1">
        <v>42002</v>
      </c>
      <c r="C936">
        <v>9.06</v>
      </c>
      <c r="D936">
        <v>0.24</v>
      </c>
      <c r="E936">
        <v>4</v>
      </c>
    </row>
    <row r="937" spans="1:5" x14ac:dyDescent="0.25">
      <c r="A937" s="1">
        <v>41984</v>
      </c>
      <c r="B937" s="1">
        <v>41988</v>
      </c>
      <c r="C937">
        <v>3.73</v>
      </c>
      <c r="D937">
        <v>0.1</v>
      </c>
      <c r="E937">
        <v>6</v>
      </c>
    </row>
    <row r="938" spans="1:5" x14ac:dyDescent="0.25">
      <c r="A938" s="1">
        <v>41985</v>
      </c>
      <c r="B938" s="1">
        <v>42012</v>
      </c>
      <c r="C938">
        <v>5.67</v>
      </c>
      <c r="D938">
        <v>0.15</v>
      </c>
      <c r="E938">
        <v>2</v>
      </c>
    </row>
    <row r="939" spans="1:5" x14ac:dyDescent="0.25">
      <c r="A939" s="1">
        <v>41985</v>
      </c>
      <c r="B939" s="1">
        <v>41989</v>
      </c>
      <c r="C939">
        <v>5.67</v>
      </c>
      <c r="D939">
        <v>0.15</v>
      </c>
      <c r="E939">
        <v>4</v>
      </c>
    </row>
    <row r="940" spans="1:5" x14ac:dyDescent="0.25">
      <c r="A940" s="1">
        <v>41985</v>
      </c>
      <c r="B940" s="1">
        <v>41995</v>
      </c>
      <c r="C940">
        <v>3.57</v>
      </c>
      <c r="D940">
        <v>0.09</v>
      </c>
      <c r="E940">
        <v>2</v>
      </c>
    </row>
    <row r="941" spans="1:5" x14ac:dyDescent="0.25">
      <c r="A941" s="1">
        <v>41985</v>
      </c>
      <c r="B941" s="1">
        <v>41995</v>
      </c>
      <c r="C941">
        <v>3.57</v>
      </c>
      <c r="D941">
        <v>0.09</v>
      </c>
      <c r="E941">
        <v>3</v>
      </c>
    </row>
    <row r="942" spans="1:5" x14ac:dyDescent="0.25">
      <c r="A942" s="1">
        <v>41985</v>
      </c>
      <c r="B942" s="1">
        <v>42013</v>
      </c>
      <c r="C942">
        <v>2.29</v>
      </c>
      <c r="D942">
        <v>0.06</v>
      </c>
      <c r="E942">
        <v>2</v>
      </c>
    </row>
    <row r="943" spans="1:5" x14ac:dyDescent="0.25">
      <c r="A943" s="1">
        <v>41985</v>
      </c>
      <c r="B943" s="1">
        <v>42003</v>
      </c>
      <c r="C943">
        <v>7.35</v>
      </c>
      <c r="D943">
        <v>0.19</v>
      </c>
      <c r="E943">
        <v>5</v>
      </c>
    </row>
    <row r="944" spans="1:5" x14ac:dyDescent="0.25">
      <c r="A944" s="1">
        <v>41985</v>
      </c>
      <c r="B944" s="1">
        <v>42011</v>
      </c>
      <c r="C944">
        <v>3.94</v>
      </c>
      <c r="D944">
        <v>0.1</v>
      </c>
      <c r="E944">
        <v>4</v>
      </c>
    </row>
    <row r="945" spans="1:5" x14ac:dyDescent="0.25">
      <c r="A945" s="1">
        <v>41985</v>
      </c>
      <c r="B945" s="1">
        <v>41995</v>
      </c>
      <c r="C945">
        <v>3.94</v>
      </c>
      <c r="D945">
        <v>0.1</v>
      </c>
      <c r="E945">
        <v>2</v>
      </c>
    </row>
    <row r="946" spans="1:5" x14ac:dyDescent="0.25">
      <c r="A946" s="1">
        <v>41985</v>
      </c>
      <c r="B946" s="1">
        <v>42006</v>
      </c>
      <c r="C946">
        <v>13.07</v>
      </c>
      <c r="D946">
        <v>0.34</v>
      </c>
      <c r="E946">
        <v>3</v>
      </c>
    </row>
    <row r="947" spans="1:5" x14ac:dyDescent="0.25">
      <c r="A947" s="1">
        <v>41986</v>
      </c>
      <c r="B947" s="1">
        <v>41990</v>
      </c>
      <c r="C947">
        <v>6.43</v>
      </c>
      <c r="D947">
        <v>0.17</v>
      </c>
      <c r="E947">
        <v>5</v>
      </c>
    </row>
    <row r="948" spans="1:5" x14ac:dyDescent="0.25">
      <c r="A948" s="1">
        <v>41986</v>
      </c>
      <c r="B948" s="1">
        <v>42005</v>
      </c>
      <c r="C948">
        <v>6.43</v>
      </c>
      <c r="D948">
        <v>0.17</v>
      </c>
      <c r="E948">
        <v>3</v>
      </c>
    </row>
    <row r="949" spans="1:5" x14ac:dyDescent="0.25">
      <c r="A949" s="1">
        <v>41987</v>
      </c>
      <c r="B949" s="1">
        <v>42012</v>
      </c>
      <c r="C949">
        <v>2.72</v>
      </c>
      <c r="D949">
        <v>7.0000000000000007E-2</v>
      </c>
      <c r="E949">
        <v>4</v>
      </c>
    </row>
    <row r="950" spans="1:5" x14ac:dyDescent="0.25">
      <c r="A950" s="1">
        <v>41987</v>
      </c>
      <c r="B950" s="1">
        <v>42007</v>
      </c>
      <c r="C950">
        <v>6.43</v>
      </c>
      <c r="D950">
        <v>0.17</v>
      </c>
      <c r="E950">
        <v>6</v>
      </c>
    </row>
    <row r="951" spans="1:5" x14ac:dyDescent="0.25">
      <c r="A951" s="1">
        <v>41988</v>
      </c>
      <c r="B951" s="1">
        <v>42014</v>
      </c>
      <c r="C951">
        <v>2.0099999999999998</v>
      </c>
      <c r="D951">
        <v>0.05</v>
      </c>
      <c r="E951">
        <v>3</v>
      </c>
    </row>
    <row r="952" spans="1:5" x14ac:dyDescent="0.25">
      <c r="A952" s="1">
        <v>41988</v>
      </c>
      <c r="B952" s="1">
        <v>42005</v>
      </c>
      <c r="C952">
        <v>2.72</v>
      </c>
      <c r="D952">
        <v>7.0000000000000007E-2</v>
      </c>
      <c r="E952">
        <v>2</v>
      </c>
    </row>
    <row r="953" spans="1:5" x14ac:dyDescent="0.25">
      <c r="A953" s="1">
        <v>41988</v>
      </c>
      <c r="B953" s="1">
        <v>41996</v>
      </c>
      <c r="C953">
        <v>2.0099999999999998</v>
      </c>
      <c r="D953">
        <v>0.05</v>
      </c>
      <c r="E953">
        <v>5</v>
      </c>
    </row>
    <row r="954" spans="1:5" x14ac:dyDescent="0.25">
      <c r="A954" s="1">
        <v>41989</v>
      </c>
      <c r="B954" s="1">
        <v>41991</v>
      </c>
      <c r="C954">
        <v>11.42</v>
      </c>
      <c r="D954">
        <v>0.3</v>
      </c>
      <c r="E954">
        <v>5</v>
      </c>
    </row>
    <row r="955" spans="1:5" x14ac:dyDescent="0.25">
      <c r="A955" s="1">
        <v>41989</v>
      </c>
      <c r="B955" s="1">
        <v>42003</v>
      </c>
      <c r="C955">
        <v>10.93</v>
      </c>
      <c r="D955">
        <v>0.28999999999999998</v>
      </c>
      <c r="E955">
        <v>3</v>
      </c>
    </row>
    <row r="956" spans="1:5" x14ac:dyDescent="0.25">
      <c r="A956" s="1">
        <v>41989</v>
      </c>
      <c r="B956" s="1">
        <v>41997</v>
      </c>
      <c r="C956">
        <v>9.06</v>
      </c>
      <c r="D956">
        <v>0.24</v>
      </c>
      <c r="E956">
        <v>2</v>
      </c>
    </row>
    <row r="957" spans="1:5" x14ac:dyDescent="0.25">
      <c r="A957" s="1">
        <v>41989</v>
      </c>
      <c r="B957" s="1">
        <v>41998</v>
      </c>
      <c r="C957">
        <v>5.67</v>
      </c>
      <c r="D957">
        <v>0.15</v>
      </c>
      <c r="E957">
        <v>3</v>
      </c>
    </row>
    <row r="958" spans="1:5" x14ac:dyDescent="0.25">
      <c r="A958" s="1">
        <v>41989</v>
      </c>
      <c r="B958" s="1">
        <v>42015</v>
      </c>
      <c r="C958">
        <v>3.57</v>
      </c>
      <c r="D958">
        <v>0.09</v>
      </c>
      <c r="E958">
        <v>4</v>
      </c>
    </row>
    <row r="959" spans="1:5" x14ac:dyDescent="0.25">
      <c r="A959" s="1">
        <v>41989</v>
      </c>
      <c r="B959" s="1">
        <v>42011</v>
      </c>
      <c r="C959">
        <v>3.79</v>
      </c>
      <c r="D959">
        <v>0.1</v>
      </c>
      <c r="E959">
        <v>5</v>
      </c>
    </row>
    <row r="960" spans="1:5" x14ac:dyDescent="0.25">
      <c r="A960" s="1">
        <v>41990</v>
      </c>
      <c r="B960" s="1">
        <v>41996</v>
      </c>
      <c r="C960">
        <v>4.66</v>
      </c>
      <c r="D960">
        <v>0.12</v>
      </c>
      <c r="E960">
        <v>3</v>
      </c>
    </row>
    <row r="961" spans="1:5" x14ac:dyDescent="0.25">
      <c r="A961" s="1">
        <v>41990</v>
      </c>
      <c r="B961" s="1">
        <v>42004</v>
      </c>
      <c r="C961">
        <v>6.43</v>
      </c>
      <c r="D961">
        <v>0.17</v>
      </c>
      <c r="E961">
        <v>6</v>
      </c>
    </row>
    <row r="962" spans="1:5" x14ac:dyDescent="0.25">
      <c r="A962" s="1">
        <v>41990</v>
      </c>
      <c r="B962" s="1">
        <v>41998</v>
      </c>
      <c r="C962">
        <v>6.58</v>
      </c>
      <c r="D962">
        <v>0.17</v>
      </c>
      <c r="E962">
        <v>4</v>
      </c>
    </row>
    <row r="963" spans="1:5" x14ac:dyDescent="0.25">
      <c r="A963" s="1">
        <v>41991</v>
      </c>
      <c r="B963" s="1">
        <v>41998</v>
      </c>
      <c r="C963">
        <v>4.66</v>
      </c>
      <c r="D963">
        <v>0.12</v>
      </c>
      <c r="E963">
        <v>6</v>
      </c>
    </row>
    <row r="964" spans="1:5" x14ac:dyDescent="0.25">
      <c r="A964" s="1">
        <v>41991</v>
      </c>
      <c r="B964" s="1">
        <v>42003</v>
      </c>
      <c r="C964">
        <v>4.66</v>
      </c>
      <c r="D964">
        <v>0.12</v>
      </c>
      <c r="E964">
        <v>5</v>
      </c>
    </row>
    <row r="965" spans="1:5" x14ac:dyDescent="0.25">
      <c r="A965" s="1">
        <v>41991</v>
      </c>
      <c r="B965" s="1">
        <v>41999</v>
      </c>
      <c r="C965">
        <v>3.73</v>
      </c>
      <c r="D965">
        <v>0.1</v>
      </c>
      <c r="E965">
        <v>5</v>
      </c>
    </row>
    <row r="966" spans="1:5" x14ac:dyDescent="0.25">
      <c r="A966" s="1">
        <v>41991</v>
      </c>
      <c r="B966" s="1">
        <v>41995</v>
      </c>
      <c r="C966">
        <v>4.25</v>
      </c>
      <c r="D966">
        <v>0.11</v>
      </c>
      <c r="E966">
        <v>4</v>
      </c>
    </row>
    <row r="967" spans="1:5" x14ac:dyDescent="0.25">
      <c r="A967" s="1">
        <v>41991</v>
      </c>
      <c r="B967" s="1">
        <v>42014</v>
      </c>
      <c r="C967">
        <v>6.34</v>
      </c>
      <c r="D967">
        <v>0.17</v>
      </c>
      <c r="E967">
        <v>5</v>
      </c>
    </row>
    <row r="968" spans="1:5" x14ac:dyDescent="0.25">
      <c r="A968" s="1">
        <v>41992</v>
      </c>
      <c r="B968" s="1">
        <v>42016</v>
      </c>
      <c r="C968">
        <v>2.0099999999999998</v>
      </c>
      <c r="D968">
        <v>0.05</v>
      </c>
      <c r="E968">
        <v>6</v>
      </c>
    </row>
    <row r="969" spans="1:5" x14ac:dyDescent="0.25">
      <c r="A969" s="1">
        <v>41992</v>
      </c>
      <c r="B969" s="1">
        <v>42007</v>
      </c>
      <c r="C969">
        <v>6.34</v>
      </c>
      <c r="D969">
        <v>0.17</v>
      </c>
      <c r="E969">
        <v>6</v>
      </c>
    </row>
    <row r="970" spans="1:5" x14ac:dyDescent="0.25">
      <c r="A970" s="1">
        <v>41993</v>
      </c>
      <c r="B970" s="1">
        <v>42014</v>
      </c>
      <c r="C970">
        <v>3.94</v>
      </c>
      <c r="D970">
        <v>0.1</v>
      </c>
      <c r="E970">
        <v>4</v>
      </c>
    </row>
    <row r="971" spans="1:5" x14ac:dyDescent="0.25">
      <c r="A971" s="1">
        <v>41993</v>
      </c>
      <c r="B971" s="1">
        <v>42021</v>
      </c>
      <c r="C971">
        <v>8.7200000000000006</v>
      </c>
      <c r="D971">
        <v>0.23</v>
      </c>
      <c r="E971">
        <v>4</v>
      </c>
    </row>
    <row r="972" spans="1:5" x14ac:dyDescent="0.25">
      <c r="A972" s="1">
        <v>41994</v>
      </c>
      <c r="B972" s="1">
        <v>42012</v>
      </c>
      <c r="C972">
        <v>5.67</v>
      </c>
      <c r="D972">
        <v>0.15</v>
      </c>
      <c r="E972">
        <v>6</v>
      </c>
    </row>
    <row r="973" spans="1:5" x14ac:dyDescent="0.25">
      <c r="A973" s="1">
        <v>41994</v>
      </c>
      <c r="B973" s="1">
        <v>42021</v>
      </c>
      <c r="C973">
        <v>6.58</v>
      </c>
      <c r="D973">
        <v>0.17</v>
      </c>
      <c r="E973">
        <v>5</v>
      </c>
    </row>
    <row r="974" spans="1:5" x14ac:dyDescent="0.25">
      <c r="A974" s="1">
        <v>41994</v>
      </c>
      <c r="B974" s="1">
        <v>42022</v>
      </c>
      <c r="C974">
        <v>8.7200000000000006</v>
      </c>
      <c r="D974">
        <v>0.23</v>
      </c>
      <c r="E974">
        <v>6</v>
      </c>
    </row>
    <row r="975" spans="1:5" x14ac:dyDescent="0.25">
      <c r="A975" s="1">
        <v>41994</v>
      </c>
      <c r="B975" s="1">
        <v>42000</v>
      </c>
      <c r="C975">
        <v>6.43</v>
      </c>
      <c r="D975">
        <v>0.17</v>
      </c>
      <c r="E975">
        <v>2</v>
      </c>
    </row>
    <row r="976" spans="1:5" x14ac:dyDescent="0.25">
      <c r="A976" s="1">
        <v>41994</v>
      </c>
      <c r="B976" s="1">
        <v>42001</v>
      </c>
      <c r="C976">
        <v>3.73</v>
      </c>
      <c r="D976">
        <v>0.1</v>
      </c>
      <c r="E976">
        <v>2</v>
      </c>
    </row>
    <row r="977" spans="1:5" x14ac:dyDescent="0.25">
      <c r="A977" s="1">
        <v>41994</v>
      </c>
      <c r="B977" s="1">
        <v>42015</v>
      </c>
      <c r="C977">
        <v>7.71</v>
      </c>
      <c r="D977">
        <v>0.2</v>
      </c>
      <c r="E977">
        <v>6</v>
      </c>
    </row>
    <row r="978" spans="1:5" x14ac:dyDescent="0.25">
      <c r="A978" s="1">
        <v>41994</v>
      </c>
      <c r="B978" s="1">
        <v>42007</v>
      </c>
      <c r="C978">
        <v>7.31</v>
      </c>
      <c r="D978">
        <v>0.19</v>
      </c>
      <c r="E978">
        <v>5</v>
      </c>
    </row>
    <row r="979" spans="1:5" x14ac:dyDescent="0.25">
      <c r="A979" s="1">
        <v>41994</v>
      </c>
      <c r="B979" s="1">
        <v>42016</v>
      </c>
      <c r="C979">
        <v>4.25</v>
      </c>
      <c r="D979">
        <v>0.11</v>
      </c>
      <c r="E979">
        <v>4</v>
      </c>
    </row>
    <row r="980" spans="1:5" x14ac:dyDescent="0.25">
      <c r="A980" s="1">
        <v>41995</v>
      </c>
      <c r="B980" s="1">
        <v>42018</v>
      </c>
      <c r="C980">
        <v>6.43</v>
      </c>
      <c r="D980">
        <v>0.17</v>
      </c>
      <c r="E980">
        <v>2</v>
      </c>
    </row>
    <row r="981" spans="1:5" x14ac:dyDescent="0.25">
      <c r="A981" s="1">
        <v>41995</v>
      </c>
      <c r="B981" s="1">
        <v>42017</v>
      </c>
      <c r="C981">
        <v>4.66</v>
      </c>
      <c r="D981">
        <v>0.12</v>
      </c>
      <c r="E981">
        <v>5</v>
      </c>
    </row>
    <row r="982" spans="1:5" x14ac:dyDescent="0.25">
      <c r="A982" s="1">
        <v>41995</v>
      </c>
      <c r="B982" s="1">
        <v>42006</v>
      </c>
      <c r="C982">
        <v>6.23</v>
      </c>
      <c r="D982">
        <v>0.16</v>
      </c>
      <c r="E982">
        <v>5</v>
      </c>
    </row>
    <row r="983" spans="1:5" x14ac:dyDescent="0.25">
      <c r="A983" s="1">
        <v>41995</v>
      </c>
      <c r="B983" s="1">
        <v>42018</v>
      </c>
      <c r="C983">
        <v>3.73</v>
      </c>
      <c r="D983">
        <v>0.1</v>
      </c>
      <c r="E983">
        <v>3</v>
      </c>
    </row>
    <row r="984" spans="1:5" x14ac:dyDescent="0.25">
      <c r="A984" s="1">
        <v>41995</v>
      </c>
      <c r="B984" s="1">
        <v>42006</v>
      </c>
      <c r="C984">
        <v>3.79</v>
      </c>
      <c r="D984">
        <v>0.1</v>
      </c>
      <c r="E984">
        <v>2</v>
      </c>
    </row>
    <row r="985" spans="1:5" x14ac:dyDescent="0.25">
      <c r="A985" s="1">
        <v>41995</v>
      </c>
      <c r="B985" s="1">
        <v>42000</v>
      </c>
      <c r="C985">
        <v>2.0099999999999998</v>
      </c>
      <c r="D985">
        <v>0.05</v>
      </c>
      <c r="E985">
        <v>6</v>
      </c>
    </row>
    <row r="986" spans="1:5" x14ac:dyDescent="0.25">
      <c r="A986" s="1">
        <v>41995</v>
      </c>
      <c r="B986" s="1">
        <v>42003</v>
      </c>
      <c r="C986">
        <v>6.43</v>
      </c>
      <c r="D986">
        <v>0.17</v>
      </c>
      <c r="E986">
        <v>3</v>
      </c>
    </row>
    <row r="987" spans="1:5" x14ac:dyDescent="0.25">
      <c r="A987" s="1">
        <v>41995</v>
      </c>
      <c r="B987" s="1">
        <v>42022</v>
      </c>
      <c r="C987">
        <v>2.72</v>
      </c>
      <c r="D987">
        <v>7.0000000000000007E-2</v>
      </c>
      <c r="E987">
        <v>3</v>
      </c>
    </row>
    <row r="988" spans="1:5" x14ac:dyDescent="0.25">
      <c r="A988" s="1">
        <v>41995</v>
      </c>
      <c r="B988" s="1">
        <v>42005</v>
      </c>
      <c r="C988">
        <v>9.06</v>
      </c>
      <c r="D988">
        <v>0.24</v>
      </c>
      <c r="E988">
        <v>3</v>
      </c>
    </row>
    <row r="989" spans="1:5" x14ac:dyDescent="0.25">
      <c r="A989" s="1">
        <v>41995</v>
      </c>
      <c r="B989" s="1">
        <v>42007</v>
      </c>
      <c r="C989">
        <v>5.67</v>
      </c>
      <c r="D989">
        <v>0.15</v>
      </c>
      <c r="E989">
        <v>3</v>
      </c>
    </row>
    <row r="990" spans="1:5" x14ac:dyDescent="0.25">
      <c r="A990" s="1">
        <v>41995</v>
      </c>
      <c r="B990" s="1">
        <v>42009</v>
      </c>
      <c r="C990">
        <v>4.25</v>
      </c>
      <c r="D990">
        <v>0.11</v>
      </c>
      <c r="E990">
        <v>6</v>
      </c>
    </row>
    <row r="991" spans="1:5" x14ac:dyDescent="0.25">
      <c r="A991" s="1">
        <v>41995</v>
      </c>
      <c r="B991" s="1">
        <v>42009</v>
      </c>
      <c r="C991">
        <v>3.57</v>
      </c>
      <c r="D991">
        <v>0.09</v>
      </c>
      <c r="E991">
        <v>2</v>
      </c>
    </row>
    <row r="992" spans="1:5" x14ac:dyDescent="0.25">
      <c r="A992" s="1">
        <v>41995</v>
      </c>
      <c r="B992" s="1">
        <v>42008</v>
      </c>
      <c r="C992">
        <v>8.39</v>
      </c>
      <c r="D992">
        <v>0.22</v>
      </c>
      <c r="E992">
        <v>5</v>
      </c>
    </row>
    <row r="993" spans="1:5" x14ac:dyDescent="0.25">
      <c r="A993" s="1">
        <v>41995</v>
      </c>
      <c r="B993" s="1">
        <v>42021</v>
      </c>
      <c r="C993">
        <v>2.29</v>
      </c>
      <c r="D993">
        <v>0.06</v>
      </c>
      <c r="E993">
        <v>5</v>
      </c>
    </row>
    <row r="994" spans="1:5" x14ac:dyDescent="0.25">
      <c r="A994" s="1">
        <v>42001</v>
      </c>
      <c r="B994" s="1">
        <v>42010</v>
      </c>
      <c r="C994">
        <v>3.79</v>
      </c>
      <c r="D994">
        <v>0.1</v>
      </c>
      <c r="E994">
        <v>4</v>
      </c>
    </row>
    <row r="995" spans="1:5" x14ac:dyDescent="0.25">
      <c r="A995" s="1">
        <v>42001</v>
      </c>
      <c r="B995" s="1">
        <v>42006</v>
      </c>
      <c r="C995">
        <v>7.55</v>
      </c>
      <c r="D995">
        <v>0.2</v>
      </c>
      <c r="E995">
        <v>3</v>
      </c>
    </row>
    <row r="996" spans="1:5" x14ac:dyDescent="0.25">
      <c r="A996" s="1">
        <v>42002</v>
      </c>
      <c r="B996" s="1">
        <v>42028</v>
      </c>
      <c r="C996">
        <v>7.71</v>
      </c>
      <c r="D996">
        <v>0.2</v>
      </c>
      <c r="E996">
        <v>6</v>
      </c>
    </row>
    <row r="997" spans="1:5" x14ac:dyDescent="0.25">
      <c r="A997" s="1">
        <v>42002</v>
      </c>
      <c r="B997" s="1">
        <v>42004</v>
      </c>
      <c r="C997">
        <v>6.34</v>
      </c>
      <c r="D997">
        <v>0.17</v>
      </c>
      <c r="E997">
        <v>4</v>
      </c>
    </row>
    <row r="998" spans="1:5" x14ac:dyDescent="0.25">
      <c r="A998" s="1">
        <v>42002</v>
      </c>
      <c r="B998" s="1">
        <v>42012</v>
      </c>
      <c r="C998">
        <v>6.58</v>
      </c>
      <c r="D998">
        <v>0.17</v>
      </c>
      <c r="E998">
        <v>2</v>
      </c>
    </row>
    <row r="999" spans="1:5" x14ac:dyDescent="0.25">
      <c r="A999" s="1">
        <v>42002</v>
      </c>
      <c r="B999" s="1">
        <v>42028</v>
      </c>
      <c r="C999">
        <v>6.34</v>
      </c>
      <c r="D999">
        <v>0.17</v>
      </c>
      <c r="E999">
        <v>6</v>
      </c>
    </row>
    <row r="1000" spans="1:5" x14ac:dyDescent="0.25">
      <c r="A1000" s="1">
        <v>42002</v>
      </c>
      <c r="B1000" s="1">
        <v>42019</v>
      </c>
      <c r="C1000">
        <v>5.67</v>
      </c>
      <c r="D1000">
        <v>0.15</v>
      </c>
      <c r="E1000">
        <v>4</v>
      </c>
    </row>
    <row r="1001" spans="1:5" x14ac:dyDescent="0.25">
      <c r="A1001" s="1">
        <v>42002</v>
      </c>
      <c r="B1001" s="1">
        <v>42009</v>
      </c>
      <c r="C1001">
        <v>4.25</v>
      </c>
      <c r="D1001">
        <v>0.11</v>
      </c>
      <c r="E100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9C9A-0311-4803-B8CD-E3DADE983B9B}">
  <dimension ref="A3:B9"/>
  <sheetViews>
    <sheetView workbookViewId="0">
      <selection activeCell="A4" sqref="A4:B4"/>
    </sheetView>
  </sheetViews>
  <sheetFormatPr defaultRowHeight="15" x14ac:dyDescent="0.25"/>
  <cols>
    <col min="1" max="1" width="17.7109375" bestFit="1" customWidth="1"/>
    <col min="2" max="2" width="21.7109375" bestFit="1" customWidth="1"/>
  </cols>
  <sheetData>
    <row r="3" spans="1:2" x14ac:dyDescent="0.25">
      <c r="A3" s="2" t="s">
        <v>5</v>
      </c>
      <c r="B3" t="s">
        <v>7</v>
      </c>
    </row>
    <row r="4" spans="1:2" x14ac:dyDescent="0.25">
      <c r="A4" s="4">
        <v>2</v>
      </c>
      <c r="B4" s="5">
        <v>204</v>
      </c>
    </row>
    <row r="5" spans="1:2" x14ac:dyDescent="0.25">
      <c r="A5" s="3">
        <v>3</v>
      </c>
      <c r="B5">
        <v>197</v>
      </c>
    </row>
    <row r="6" spans="1:2" x14ac:dyDescent="0.25">
      <c r="A6" s="3">
        <v>4</v>
      </c>
      <c r="B6">
        <v>200</v>
      </c>
    </row>
    <row r="7" spans="1:2" x14ac:dyDescent="0.25">
      <c r="A7" s="3">
        <v>5</v>
      </c>
      <c r="B7">
        <v>197</v>
      </c>
    </row>
    <row r="8" spans="1:2" x14ac:dyDescent="0.25">
      <c r="A8" s="3">
        <v>6</v>
      </c>
      <c r="B8">
        <v>202</v>
      </c>
    </row>
    <row r="9" spans="1:2" x14ac:dyDescent="0.25">
      <c r="A9" s="3" t="s">
        <v>6</v>
      </c>
      <c r="B9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6E15-1465-4381-B404-D423B67E1499}">
  <dimension ref="A1:J1001"/>
  <sheetViews>
    <sheetView workbookViewId="0">
      <selection activeCell="H2" sqref="H2:J7"/>
    </sheetView>
  </sheetViews>
  <sheetFormatPr defaultRowHeight="15" x14ac:dyDescent="0.25"/>
  <cols>
    <col min="1" max="1" width="16.7109375" bestFit="1" customWidth="1"/>
    <col min="2" max="2" width="15.5703125" bestFit="1" customWidth="1"/>
    <col min="3" max="3" width="10" bestFit="1" customWidth="1"/>
    <col min="4" max="4" width="8.140625" bestFit="1" customWidth="1"/>
    <col min="5" max="5" width="6.140625" bestFit="1" customWidth="1"/>
    <col min="6" max="6" width="12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10" x14ac:dyDescent="0.25">
      <c r="A2" s="1">
        <v>41641</v>
      </c>
      <c r="B2" s="1">
        <v>41650</v>
      </c>
      <c r="C2">
        <v>39.35</v>
      </c>
      <c r="D2">
        <v>1.04</v>
      </c>
      <c r="E2">
        <v>5</v>
      </c>
      <c r="F2">
        <f xml:space="preserve"> WYNAJEM3[[#This Row],[data_wyjazdu]] - WYNAJEM3[[#This Row],[data_przyjazdu]]</f>
        <v>9</v>
      </c>
      <c r="H2" t="s">
        <v>11</v>
      </c>
      <c r="I2" t="s">
        <v>4</v>
      </c>
      <c r="J2" t="s">
        <v>12</v>
      </c>
    </row>
    <row r="3" spans="1:10" x14ac:dyDescent="0.25">
      <c r="A3" s="1">
        <v>41641</v>
      </c>
      <c r="B3" s="1">
        <v>41662</v>
      </c>
      <c r="C3">
        <v>3.79</v>
      </c>
      <c r="D3">
        <v>0.1</v>
      </c>
      <c r="E3">
        <v>6</v>
      </c>
      <c r="F3">
        <f xml:space="preserve"> WYNAJEM3[[#This Row],[data_wyjazdu]] - WYNAJEM3[[#This Row],[data_przyjazdu]]</f>
        <v>21</v>
      </c>
      <c r="I3" s="3">
        <v>2</v>
      </c>
      <c r="J3">
        <v>2985</v>
      </c>
    </row>
    <row r="4" spans="1:10" x14ac:dyDescent="0.25">
      <c r="A4" s="1">
        <v>41641</v>
      </c>
      <c r="B4" s="1">
        <v>41653</v>
      </c>
      <c r="C4">
        <v>3.88</v>
      </c>
      <c r="D4">
        <v>0.1</v>
      </c>
      <c r="E4">
        <v>6</v>
      </c>
      <c r="F4">
        <f xml:space="preserve"> WYNAJEM3[[#This Row],[data_wyjazdu]] - WYNAJEM3[[#This Row],[data_przyjazdu]]</f>
        <v>12</v>
      </c>
      <c r="I4" s="3">
        <v>3</v>
      </c>
      <c r="J4">
        <v>2816</v>
      </c>
    </row>
    <row r="5" spans="1:10" x14ac:dyDescent="0.25">
      <c r="A5" s="1">
        <v>41641</v>
      </c>
      <c r="B5" s="1">
        <v>41661</v>
      </c>
      <c r="C5">
        <v>6.43</v>
      </c>
      <c r="D5">
        <v>0.17</v>
      </c>
      <c r="E5">
        <v>5</v>
      </c>
      <c r="F5">
        <f xml:space="preserve"> WYNAJEM3[[#This Row],[data_wyjazdu]] - WYNAJEM3[[#This Row],[data_przyjazdu]]</f>
        <v>20</v>
      </c>
      <c r="I5" s="3">
        <v>4</v>
      </c>
      <c r="J5">
        <v>2944</v>
      </c>
    </row>
    <row r="6" spans="1:10" x14ac:dyDescent="0.25">
      <c r="A6" s="1">
        <v>41641</v>
      </c>
      <c r="B6" s="1">
        <v>41666</v>
      </c>
      <c r="C6">
        <v>8.39</v>
      </c>
      <c r="D6">
        <v>0.22</v>
      </c>
      <c r="E6">
        <v>2</v>
      </c>
      <c r="F6">
        <f xml:space="preserve"> WYNAJEM3[[#This Row],[data_wyjazdu]] - WYNAJEM3[[#This Row],[data_przyjazdu]]</f>
        <v>25</v>
      </c>
      <c r="I6" s="3">
        <v>5</v>
      </c>
      <c r="J6">
        <v>2997</v>
      </c>
    </row>
    <row r="7" spans="1:10" x14ac:dyDescent="0.25">
      <c r="A7" s="1">
        <v>41641</v>
      </c>
      <c r="B7" s="1">
        <v>41669</v>
      </c>
      <c r="C7">
        <v>11.42</v>
      </c>
      <c r="D7">
        <v>0.3</v>
      </c>
      <c r="E7">
        <v>2</v>
      </c>
      <c r="F7">
        <f xml:space="preserve"> WYNAJEM3[[#This Row],[data_wyjazdu]] - WYNAJEM3[[#This Row],[data_przyjazdu]]</f>
        <v>28</v>
      </c>
      <c r="I7" s="3">
        <v>6</v>
      </c>
      <c r="J7">
        <v>3244</v>
      </c>
    </row>
    <row r="8" spans="1:10" x14ac:dyDescent="0.25">
      <c r="A8" s="1">
        <v>41642</v>
      </c>
      <c r="B8" s="1">
        <v>41670</v>
      </c>
      <c r="C8">
        <v>5.64</v>
      </c>
      <c r="D8">
        <v>0.15</v>
      </c>
      <c r="E8">
        <v>5</v>
      </c>
      <c r="F8">
        <f xml:space="preserve"> WYNAJEM3[[#This Row],[data_wyjazdu]] - WYNAJEM3[[#This Row],[data_przyjazdu]]</f>
        <v>28</v>
      </c>
    </row>
    <row r="9" spans="1:10" x14ac:dyDescent="0.25">
      <c r="A9" s="1">
        <v>41642</v>
      </c>
      <c r="B9" s="1">
        <v>41645</v>
      </c>
      <c r="C9">
        <v>10.59</v>
      </c>
      <c r="D9">
        <v>0.28000000000000003</v>
      </c>
      <c r="E9">
        <v>5</v>
      </c>
      <c r="F9">
        <f xml:space="preserve"> WYNAJEM3[[#This Row],[data_wyjazdu]] - WYNAJEM3[[#This Row],[data_przyjazdu]]</f>
        <v>3</v>
      </c>
    </row>
    <row r="10" spans="1:10" x14ac:dyDescent="0.25">
      <c r="A10" s="1">
        <v>41642</v>
      </c>
      <c r="B10" s="1">
        <v>41669</v>
      </c>
      <c r="C10">
        <v>4.25</v>
      </c>
      <c r="D10">
        <v>0.11</v>
      </c>
      <c r="E10">
        <v>2</v>
      </c>
      <c r="F10">
        <f xml:space="preserve"> WYNAJEM3[[#This Row],[data_wyjazdu]] - WYNAJEM3[[#This Row],[data_przyjazdu]]</f>
        <v>27</v>
      </c>
    </row>
    <row r="11" spans="1:10" x14ac:dyDescent="0.25">
      <c r="A11" s="1">
        <v>41642</v>
      </c>
      <c r="B11" s="1">
        <v>41660</v>
      </c>
      <c r="C11">
        <v>5.64</v>
      </c>
      <c r="D11">
        <v>0.15</v>
      </c>
      <c r="E11">
        <v>4</v>
      </c>
      <c r="F11">
        <f xml:space="preserve"> WYNAJEM3[[#This Row],[data_wyjazdu]] - WYNAJEM3[[#This Row],[data_przyjazdu]]</f>
        <v>18</v>
      </c>
    </row>
    <row r="12" spans="1:10" x14ac:dyDescent="0.25">
      <c r="A12" s="1">
        <v>41642</v>
      </c>
      <c r="B12" s="1">
        <v>41669</v>
      </c>
      <c r="C12">
        <v>5.78</v>
      </c>
      <c r="D12">
        <v>0.15</v>
      </c>
      <c r="E12">
        <v>5</v>
      </c>
      <c r="F12">
        <f xml:space="preserve"> WYNAJEM3[[#This Row],[data_wyjazdu]] - WYNAJEM3[[#This Row],[data_przyjazdu]]</f>
        <v>27</v>
      </c>
    </row>
    <row r="13" spans="1:10" x14ac:dyDescent="0.25">
      <c r="A13" s="1">
        <v>41642</v>
      </c>
      <c r="B13" s="1">
        <v>41669</v>
      </c>
      <c r="C13">
        <v>2.29</v>
      </c>
      <c r="D13">
        <v>0.06</v>
      </c>
      <c r="E13">
        <v>4</v>
      </c>
      <c r="F13">
        <f xml:space="preserve"> WYNAJEM3[[#This Row],[data_wyjazdu]] - WYNAJEM3[[#This Row],[data_przyjazdu]]</f>
        <v>27</v>
      </c>
    </row>
    <row r="14" spans="1:10" x14ac:dyDescent="0.25">
      <c r="A14" s="1">
        <v>41642</v>
      </c>
      <c r="B14" s="1">
        <v>41665</v>
      </c>
      <c r="C14">
        <v>5.23</v>
      </c>
      <c r="D14">
        <v>0.14000000000000001</v>
      </c>
      <c r="E14">
        <v>2</v>
      </c>
      <c r="F14">
        <f xml:space="preserve"> WYNAJEM3[[#This Row],[data_wyjazdu]] - WYNAJEM3[[#This Row],[data_przyjazdu]]</f>
        <v>23</v>
      </c>
    </row>
    <row r="15" spans="1:10" x14ac:dyDescent="0.25">
      <c r="A15" s="1">
        <v>41642</v>
      </c>
      <c r="B15" s="1">
        <v>41649</v>
      </c>
      <c r="C15">
        <v>5.67</v>
      </c>
      <c r="D15">
        <v>0.15</v>
      </c>
      <c r="E15">
        <v>2</v>
      </c>
      <c r="F15">
        <f xml:space="preserve"> WYNAJEM3[[#This Row],[data_wyjazdu]] - WYNAJEM3[[#This Row],[data_przyjazdu]]</f>
        <v>7</v>
      </c>
    </row>
    <row r="16" spans="1:10" x14ac:dyDescent="0.25">
      <c r="A16" s="1">
        <v>41643</v>
      </c>
      <c r="B16" s="1">
        <v>41649</v>
      </c>
      <c r="C16">
        <v>5.64</v>
      </c>
      <c r="D16">
        <v>0.15</v>
      </c>
      <c r="E16">
        <v>2</v>
      </c>
      <c r="F16">
        <f xml:space="preserve"> WYNAJEM3[[#This Row],[data_wyjazdu]] - WYNAJEM3[[#This Row],[data_przyjazdu]]</f>
        <v>6</v>
      </c>
    </row>
    <row r="17" spans="1:6" x14ac:dyDescent="0.25">
      <c r="A17" s="1">
        <v>41643</v>
      </c>
      <c r="B17" s="1">
        <v>41650</v>
      </c>
      <c r="C17">
        <v>4.25</v>
      </c>
      <c r="D17">
        <v>0.11</v>
      </c>
      <c r="E17">
        <v>4</v>
      </c>
      <c r="F17">
        <f xml:space="preserve"> WYNAJEM3[[#This Row],[data_wyjazdu]] - WYNAJEM3[[#This Row],[data_przyjazdu]]</f>
        <v>7</v>
      </c>
    </row>
    <row r="18" spans="1:6" x14ac:dyDescent="0.25">
      <c r="A18" s="1">
        <v>41643</v>
      </c>
      <c r="B18" s="1">
        <v>41660</v>
      </c>
      <c r="C18">
        <v>6.58</v>
      </c>
      <c r="D18">
        <v>0.17</v>
      </c>
      <c r="E18">
        <v>6</v>
      </c>
      <c r="F18">
        <f xml:space="preserve"> WYNAJEM3[[#This Row],[data_wyjazdu]] - WYNAJEM3[[#This Row],[data_przyjazdu]]</f>
        <v>17</v>
      </c>
    </row>
    <row r="19" spans="1:6" x14ac:dyDescent="0.25">
      <c r="A19" s="1">
        <v>41644</v>
      </c>
      <c r="B19" s="1">
        <v>41661</v>
      </c>
      <c r="C19">
        <v>6.43</v>
      </c>
      <c r="D19">
        <v>0.17</v>
      </c>
      <c r="E19">
        <v>3</v>
      </c>
      <c r="F19">
        <f xml:space="preserve"> WYNAJEM3[[#This Row],[data_wyjazdu]] - WYNAJEM3[[#This Row],[data_przyjazdu]]</f>
        <v>17</v>
      </c>
    </row>
    <row r="20" spans="1:6" x14ac:dyDescent="0.25">
      <c r="A20" s="1">
        <v>41644</v>
      </c>
      <c r="B20" s="1">
        <v>41662</v>
      </c>
      <c r="C20">
        <v>5.67</v>
      </c>
      <c r="D20">
        <v>0.15</v>
      </c>
      <c r="E20">
        <v>5</v>
      </c>
      <c r="F20">
        <f xml:space="preserve"> WYNAJEM3[[#This Row],[data_wyjazdu]] - WYNAJEM3[[#This Row],[data_przyjazdu]]</f>
        <v>18</v>
      </c>
    </row>
    <row r="21" spans="1:6" x14ac:dyDescent="0.25">
      <c r="A21" s="1">
        <v>41645</v>
      </c>
      <c r="B21" s="1">
        <v>41654</v>
      </c>
      <c r="C21">
        <v>4.66</v>
      </c>
      <c r="D21">
        <v>0.12</v>
      </c>
      <c r="E21">
        <v>2</v>
      </c>
      <c r="F21">
        <f xml:space="preserve"> WYNAJEM3[[#This Row],[data_wyjazdu]] - WYNAJEM3[[#This Row],[data_przyjazdu]]</f>
        <v>9</v>
      </c>
    </row>
    <row r="22" spans="1:6" x14ac:dyDescent="0.25">
      <c r="A22" s="1">
        <v>41646</v>
      </c>
      <c r="B22" s="1">
        <v>41663</v>
      </c>
      <c r="C22">
        <v>2.0099999999999998</v>
      </c>
      <c r="D22">
        <v>0.05</v>
      </c>
      <c r="E22">
        <v>4</v>
      </c>
      <c r="F22">
        <f xml:space="preserve"> WYNAJEM3[[#This Row],[data_wyjazdu]] - WYNAJEM3[[#This Row],[data_przyjazdu]]</f>
        <v>17</v>
      </c>
    </row>
    <row r="23" spans="1:6" x14ac:dyDescent="0.25">
      <c r="A23" s="1">
        <v>41646</v>
      </c>
      <c r="B23" s="1">
        <v>41670</v>
      </c>
      <c r="C23">
        <v>3.57</v>
      </c>
      <c r="D23">
        <v>0.09</v>
      </c>
      <c r="E23">
        <v>3</v>
      </c>
      <c r="F23">
        <f xml:space="preserve"> WYNAJEM3[[#This Row],[data_wyjazdu]] - WYNAJEM3[[#This Row],[data_przyjazdu]]</f>
        <v>24</v>
      </c>
    </row>
    <row r="24" spans="1:6" x14ac:dyDescent="0.25">
      <c r="A24" s="1">
        <v>41646</v>
      </c>
      <c r="B24" s="1">
        <v>41649</v>
      </c>
      <c r="C24">
        <v>2.29</v>
      </c>
      <c r="D24">
        <v>0.06</v>
      </c>
      <c r="E24">
        <v>5</v>
      </c>
      <c r="F24">
        <f xml:space="preserve"> WYNAJEM3[[#This Row],[data_wyjazdu]] - WYNAJEM3[[#This Row],[data_przyjazdu]]</f>
        <v>3</v>
      </c>
    </row>
    <row r="25" spans="1:6" x14ac:dyDescent="0.25">
      <c r="A25" s="1">
        <v>41646</v>
      </c>
      <c r="B25" s="1">
        <v>41649</v>
      </c>
      <c r="C25">
        <v>2.72</v>
      </c>
      <c r="D25">
        <v>7.0000000000000007E-2</v>
      </c>
      <c r="E25">
        <v>4</v>
      </c>
      <c r="F25">
        <f xml:space="preserve"> WYNAJEM3[[#This Row],[data_wyjazdu]] - WYNAJEM3[[#This Row],[data_przyjazdu]]</f>
        <v>3</v>
      </c>
    </row>
    <row r="26" spans="1:6" x14ac:dyDescent="0.25">
      <c r="A26" s="1">
        <v>41646</v>
      </c>
      <c r="B26" s="1">
        <v>41651</v>
      </c>
      <c r="C26">
        <v>3.73</v>
      </c>
      <c r="D26">
        <v>0.1</v>
      </c>
      <c r="E26">
        <v>3</v>
      </c>
      <c r="F26">
        <f xml:space="preserve"> WYNAJEM3[[#This Row],[data_wyjazdu]] - WYNAJEM3[[#This Row],[data_przyjazdu]]</f>
        <v>5</v>
      </c>
    </row>
    <row r="27" spans="1:6" x14ac:dyDescent="0.25">
      <c r="A27" s="1">
        <v>41647</v>
      </c>
      <c r="B27" s="1">
        <v>41665</v>
      </c>
      <c r="C27">
        <v>6.58</v>
      </c>
      <c r="D27">
        <v>0.17</v>
      </c>
      <c r="E27">
        <v>3</v>
      </c>
      <c r="F27">
        <f xml:space="preserve"> WYNAJEM3[[#This Row],[data_wyjazdu]] - WYNAJEM3[[#This Row],[data_przyjazdu]]</f>
        <v>18</v>
      </c>
    </row>
    <row r="28" spans="1:6" x14ac:dyDescent="0.25">
      <c r="A28" s="1">
        <v>41647</v>
      </c>
      <c r="B28" s="1">
        <v>41664</v>
      </c>
      <c r="C28">
        <v>6.58</v>
      </c>
      <c r="D28">
        <v>0.17</v>
      </c>
      <c r="E28">
        <v>2</v>
      </c>
      <c r="F28">
        <f xml:space="preserve"> WYNAJEM3[[#This Row],[data_wyjazdu]] - WYNAJEM3[[#This Row],[data_przyjazdu]]</f>
        <v>17</v>
      </c>
    </row>
    <row r="29" spans="1:6" x14ac:dyDescent="0.25">
      <c r="A29" s="1">
        <v>41647</v>
      </c>
      <c r="B29" s="1">
        <v>41658</v>
      </c>
      <c r="C29">
        <v>5.67</v>
      </c>
      <c r="D29">
        <v>0.15</v>
      </c>
      <c r="E29">
        <v>5</v>
      </c>
      <c r="F29">
        <f xml:space="preserve"> WYNAJEM3[[#This Row],[data_wyjazdu]] - WYNAJEM3[[#This Row],[data_przyjazdu]]</f>
        <v>11</v>
      </c>
    </row>
    <row r="30" spans="1:6" x14ac:dyDescent="0.25">
      <c r="A30" s="1">
        <v>41648</v>
      </c>
      <c r="B30" s="1">
        <v>41674</v>
      </c>
      <c r="C30">
        <v>9.1300000000000008</v>
      </c>
      <c r="D30">
        <v>0.24</v>
      </c>
      <c r="E30">
        <v>2</v>
      </c>
      <c r="F30">
        <f xml:space="preserve"> WYNAJEM3[[#This Row],[data_wyjazdu]] - WYNAJEM3[[#This Row],[data_przyjazdu]]</f>
        <v>26</v>
      </c>
    </row>
    <row r="31" spans="1:6" x14ac:dyDescent="0.25">
      <c r="A31" s="1">
        <v>41648</v>
      </c>
      <c r="B31" s="1">
        <v>41658</v>
      </c>
      <c r="C31">
        <v>14.31</v>
      </c>
      <c r="D31">
        <v>0.38</v>
      </c>
      <c r="E31">
        <v>6</v>
      </c>
      <c r="F31">
        <f xml:space="preserve"> WYNAJEM3[[#This Row],[data_wyjazdu]] - WYNAJEM3[[#This Row],[data_przyjazdu]]</f>
        <v>10</v>
      </c>
    </row>
    <row r="32" spans="1:6" x14ac:dyDescent="0.25">
      <c r="A32" s="1">
        <v>41648</v>
      </c>
      <c r="B32" s="1">
        <v>41675</v>
      </c>
      <c r="C32">
        <v>3.79</v>
      </c>
      <c r="D32">
        <v>0.1</v>
      </c>
      <c r="E32">
        <v>5</v>
      </c>
      <c r="F32">
        <f xml:space="preserve"> WYNAJEM3[[#This Row],[data_wyjazdu]] - WYNAJEM3[[#This Row],[data_przyjazdu]]</f>
        <v>27</v>
      </c>
    </row>
    <row r="33" spans="1:6" x14ac:dyDescent="0.25">
      <c r="A33" s="1">
        <v>41648</v>
      </c>
      <c r="B33" s="1">
        <v>41666</v>
      </c>
      <c r="C33">
        <v>6.23</v>
      </c>
      <c r="D33">
        <v>0.16</v>
      </c>
      <c r="E33">
        <v>5</v>
      </c>
      <c r="F33">
        <f xml:space="preserve"> WYNAJEM3[[#This Row],[data_wyjazdu]] - WYNAJEM3[[#This Row],[data_przyjazdu]]</f>
        <v>18</v>
      </c>
    </row>
    <row r="34" spans="1:6" x14ac:dyDescent="0.25">
      <c r="A34" s="1">
        <v>41649</v>
      </c>
      <c r="B34" s="1">
        <v>41659</v>
      </c>
      <c r="C34">
        <v>3.57</v>
      </c>
      <c r="D34">
        <v>0.09</v>
      </c>
      <c r="E34">
        <v>6</v>
      </c>
      <c r="F34">
        <f xml:space="preserve"> WYNAJEM3[[#This Row],[data_wyjazdu]] - WYNAJEM3[[#This Row],[data_przyjazdu]]</f>
        <v>10</v>
      </c>
    </row>
    <row r="35" spans="1:6" x14ac:dyDescent="0.25">
      <c r="A35" s="1">
        <v>41649</v>
      </c>
      <c r="B35" s="1">
        <v>41652</v>
      </c>
      <c r="C35">
        <v>5.67</v>
      </c>
      <c r="D35">
        <v>0.15</v>
      </c>
      <c r="E35">
        <v>6</v>
      </c>
      <c r="F35">
        <f xml:space="preserve"> WYNAJEM3[[#This Row],[data_wyjazdu]] - WYNAJEM3[[#This Row],[data_przyjazdu]]</f>
        <v>3</v>
      </c>
    </row>
    <row r="36" spans="1:6" x14ac:dyDescent="0.25">
      <c r="A36" s="1">
        <v>41649</v>
      </c>
      <c r="B36" s="1">
        <v>41667</v>
      </c>
      <c r="C36">
        <v>8.7200000000000006</v>
      </c>
      <c r="D36">
        <v>0.23</v>
      </c>
      <c r="E36">
        <v>5</v>
      </c>
      <c r="F36">
        <f xml:space="preserve"> WYNAJEM3[[#This Row],[data_wyjazdu]] - WYNAJEM3[[#This Row],[data_przyjazdu]]</f>
        <v>18</v>
      </c>
    </row>
    <row r="37" spans="1:6" x14ac:dyDescent="0.25">
      <c r="A37" s="1">
        <v>41649</v>
      </c>
      <c r="B37" s="1">
        <v>41654</v>
      </c>
      <c r="C37">
        <v>4.66</v>
      </c>
      <c r="D37">
        <v>0.12</v>
      </c>
      <c r="E37">
        <v>3</v>
      </c>
      <c r="F37">
        <f xml:space="preserve"> WYNAJEM3[[#This Row],[data_wyjazdu]] - WYNAJEM3[[#This Row],[data_przyjazdu]]</f>
        <v>5</v>
      </c>
    </row>
    <row r="38" spans="1:6" x14ac:dyDescent="0.25">
      <c r="A38" s="1">
        <v>41651</v>
      </c>
      <c r="B38" s="1">
        <v>41659</v>
      </c>
      <c r="C38">
        <v>5.67</v>
      </c>
      <c r="D38">
        <v>0.15</v>
      </c>
      <c r="E38">
        <v>3</v>
      </c>
      <c r="F38">
        <f xml:space="preserve"> WYNAJEM3[[#This Row],[data_wyjazdu]] - WYNAJEM3[[#This Row],[data_przyjazdu]]</f>
        <v>8</v>
      </c>
    </row>
    <row r="39" spans="1:6" x14ac:dyDescent="0.25">
      <c r="A39" s="1">
        <v>41652</v>
      </c>
      <c r="B39" s="1">
        <v>41654</v>
      </c>
      <c r="C39">
        <v>7.06</v>
      </c>
      <c r="D39">
        <v>0.19</v>
      </c>
      <c r="E39">
        <v>2</v>
      </c>
      <c r="F39">
        <f xml:space="preserve"> WYNAJEM3[[#This Row],[data_wyjazdu]] - WYNAJEM3[[#This Row],[data_przyjazdu]]</f>
        <v>2</v>
      </c>
    </row>
    <row r="40" spans="1:6" x14ac:dyDescent="0.25">
      <c r="A40" s="1">
        <v>41652</v>
      </c>
      <c r="B40" s="1">
        <v>41661</v>
      </c>
      <c r="C40">
        <v>5.67</v>
      </c>
      <c r="D40">
        <v>0.15</v>
      </c>
      <c r="E40">
        <v>5</v>
      </c>
      <c r="F40">
        <f xml:space="preserve"> WYNAJEM3[[#This Row],[data_wyjazdu]] - WYNAJEM3[[#This Row],[data_przyjazdu]]</f>
        <v>9</v>
      </c>
    </row>
    <row r="41" spans="1:6" x14ac:dyDescent="0.25">
      <c r="A41" s="1">
        <v>41652</v>
      </c>
      <c r="B41" s="1">
        <v>41671</v>
      </c>
      <c r="C41">
        <v>6.34</v>
      </c>
      <c r="D41">
        <v>0.17</v>
      </c>
      <c r="E41">
        <v>3</v>
      </c>
      <c r="F41">
        <f xml:space="preserve"> WYNAJEM3[[#This Row],[data_wyjazdu]] - WYNAJEM3[[#This Row],[data_przyjazdu]]</f>
        <v>19</v>
      </c>
    </row>
    <row r="42" spans="1:6" x14ac:dyDescent="0.25">
      <c r="A42" s="1">
        <v>41652</v>
      </c>
      <c r="B42" s="1">
        <v>41656</v>
      </c>
      <c r="C42">
        <v>7.31</v>
      </c>
      <c r="D42">
        <v>0.19</v>
      </c>
      <c r="E42">
        <v>3</v>
      </c>
      <c r="F42">
        <f xml:space="preserve"> WYNAJEM3[[#This Row],[data_wyjazdu]] - WYNAJEM3[[#This Row],[data_przyjazdu]]</f>
        <v>4</v>
      </c>
    </row>
    <row r="43" spans="1:6" x14ac:dyDescent="0.25">
      <c r="A43" s="1">
        <v>41652</v>
      </c>
      <c r="B43" s="1">
        <v>41668</v>
      </c>
      <c r="C43">
        <v>6.75</v>
      </c>
      <c r="D43">
        <v>0.18</v>
      </c>
      <c r="E43">
        <v>3</v>
      </c>
      <c r="F43">
        <f xml:space="preserve"> WYNAJEM3[[#This Row],[data_wyjazdu]] - WYNAJEM3[[#This Row],[data_przyjazdu]]</f>
        <v>16</v>
      </c>
    </row>
    <row r="44" spans="1:6" x14ac:dyDescent="0.25">
      <c r="A44" s="1">
        <v>41652</v>
      </c>
      <c r="B44" s="1">
        <v>41680</v>
      </c>
      <c r="C44">
        <v>3.57</v>
      </c>
      <c r="D44">
        <v>0.09</v>
      </c>
      <c r="E44">
        <v>2</v>
      </c>
      <c r="F44">
        <f xml:space="preserve"> WYNAJEM3[[#This Row],[data_wyjazdu]] - WYNAJEM3[[#This Row],[data_przyjazdu]]</f>
        <v>28</v>
      </c>
    </row>
    <row r="45" spans="1:6" x14ac:dyDescent="0.25">
      <c r="A45" s="1">
        <v>41653</v>
      </c>
      <c r="B45" s="1">
        <v>41664</v>
      </c>
      <c r="C45">
        <v>8.5399999999999991</v>
      </c>
      <c r="D45">
        <v>0.22</v>
      </c>
      <c r="E45">
        <v>2</v>
      </c>
      <c r="F45">
        <f xml:space="preserve"> WYNAJEM3[[#This Row],[data_wyjazdu]] - WYNAJEM3[[#This Row],[data_przyjazdu]]</f>
        <v>11</v>
      </c>
    </row>
    <row r="46" spans="1:6" x14ac:dyDescent="0.25">
      <c r="A46" s="1">
        <v>41653</v>
      </c>
      <c r="B46" s="1">
        <v>41655</v>
      </c>
      <c r="C46">
        <v>8.9499999999999993</v>
      </c>
      <c r="D46">
        <v>0.24</v>
      </c>
      <c r="E46">
        <v>4</v>
      </c>
      <c r="F46">
        <f xml:space="preserve"> WYNAJEM3[[#This Row],[data_wyjazdu]] - WYNAJEM3[[#This Row],[data_przyjazdu]]</f>
        <v>2</v>
      </c>
    </row>
    <row r="47" spans="1:6" x14ac:dyDescent="0.25">
      <c r="A47" s="1">
        <v>41653</v>
      </c>
      <c r="B47" s="1">
        <v>41677</v>
      </c>
      <c r="C47">
        <v>6.34</v>
      </c>
      <c r="D47">
        <v>0.17</v>
      </c>
      <c r="E47">
        <v>6</v>
      </c>
      <c r="F47">
        <f xml:space="preserve"> WYNAJEM3[[#This Row],[data_wyjazdu]] - WYNAJEM3[[#This Row],[data_przyjazdu]]</f>
        <v>24</v>
      </c>
    </row>
    <row r="48" spans="1:6" x14ac:dyDescent="0.25">
      <c r="A48" s="1">
        <v>41653</v>
      </c>
      <c r="B48" s="1">
        <v>41672</v>
      </c>
      <c r="C48">
        <v>12.23</v>
      </c>
      <c r="D48">
        <v>0.32</v>
      </c>
      <c r="E48">
        <v>3</v>
      </c>
      <c r="F48">
        <f xml:space="preserve"> WYNAJEM3[[#This Row],[data_wyjazdu]] - WYNAJEM3[[#This Row],[data_przyjazdu]]</f>
        <v>19</v>
      </c>
    </row>
    <row r="49" spans="1:6" x14ac:dyDescent="0.25">
      <c r="A49" s="1">
        <v>41653</v>
      </c>
      <c r="B49" s="1">
        <v>41668</v>
      </c>
      <c r="C49">
        <v>8.7200000000000006</v>
      </c>
      <c r="D49">
        <v>0.23</v>
      </c>
      <c r="E49">
        <v>5</v>
      </c>
      <c r="F49">
        <f xml:space="preserve"> WYNAJEM3[[#This Row],[data_wyjazdu]] - WYNAJEM3[[#This Row],[data_przyjazdu]]</f>
        <v>15</v>
      </c>
    </row>
    <row r="50" spans="1:6" x14ac:dyDescent="0.25">
      <c r="A50" s="1">
        <v>41653</v>
      </c>
      <c r="B50" s="1">
        <v>41671</v>
      </c>
      <c r="C50">
        <v>16.55</v>
      </c>
      <c r="D50">
        <v>0.44</v>
      </c>
      <c r="E50">
        <v>6</v>
      </c>
      <c r="F50">
        <f xml:space="preserve"> WYNAJEM3[[#This Row],[data_wyjazdu]] - WYNAJEM3[[#This Row],[data_przyjazdu]]</f>
        <v>18</v>
      </c>
    </row>
    <row r="51" spans="1:6" x14ac:dyDescent="0.25">
      <c r="A51" s="1">
        <v>41653</v>
      </c>
      <c r="B51" s="1">
        <v>41656</v>
      </c>
      <c r="C51">
        <v>7.55</v>
      </c>
      <c r="D51">
        <v>0.2</v>
      </c>
      <c r="E51">
        <v>2</v>
      </c>
      <c r="F51">
        <f xml:space="preserve"> WYNAJEM3[[#This Row],[data_wyjazdu]] - WYNAJEM3[[#This Row],[data_przyjazdu]]</f>
        <v>3</v>
      </c>
    </row>
    <row r="52" spans="1:6" x14ac:dyDescent="0.25">
      <c r="A52" s="1">
        <v>41653</v>
      </c>
      <c r="B52" s="1">
        <v>41668</v>
      </c>
      <c r="C52">
        <v>5.78</v>
      </c>
      <c r="D52">
        <v>0.15</v>
      </c>
      <c r="E52">
        <v>2</v>
      </c>
      <c r="F52">
        <f xml:space="preserve"> WYNAJEM3[[#This Row],[data_wyjazdu]] - WYNAJEM3[[#This Row],[data_przyjazdu]]</f>
        <v>15</v>
      </c>
    </row>
    <row r="53" spans="1:6" x14ac:dyDescent="0.25">
      <c r="A53" s="1">
        <v>41653</v>
      </c>
      <c r="B53" s="1">
        <v>41658</v>
      </c>
      <c r="C53">
        <v>8.83</v>
      </c>
      <c r="D53">
        <v>0.23</v>
      </c>
      <c r="E53">
        <v>3</v>
      </c>
      <c r="F53">
        <f xml:space="preserve"> WYNAJEM3[[#This Row],[data_wyjazdu]] - WYNAJEM3[[#This Row],[data_przyjazdu]]</f>
        <v>5</v>
      </c>
    </row>
    <row r="54" spans="1:6" x14ac:dyDescent="0.25">
      <c r="A54" s="1">
        <v>41653</v>
      </c>
      <c r="B54" s="1">
        <v>41655</v>
      </c>
      <c r="C54">
        <v>8.89</v>
      </c>
      <c r="D54">
        <v>0.23</v>
      </c>
      <c r="E54">
        <v>4</v>
      </c>
      <c r="F54">
        <f xml:space="preserve"> WYNAJEM3[[#This Row],[data_wyjazdu]] - WYNAJEM3[[#This Row],[data_przyjazdu]]</f>
        <v>2</v>
      </c>
    </row>
    <row r="55" spans="1:6" x14ac:dyDescent="0.25">
      <c r="A55" s="1">
        <v>41653</v>
      </c>
      <c r="B55" s="1">
        <v>41657</v>
      </c>
      <c r="C55">
        <v>2.72</v>
      </c>
      <c r="D55">
        <v>7.0000000000000007E-2</v>
      </c>
      <c r="E55">
        <v>6</v>
      </c>
      <c r="F55">
        <f xml:space="preserve"> WYNAJEM3[[#This Row],[data_wyjazdu]] - WYNAJEM3[[#This Row],[data_przyjazdu]]</f>
        <v>4</v>
      </c>
    </row>
    <row r="56" spans="1:6" x14ac:dyDescent="0.25">
      <c r="A56" s="1">
        <v>41653</v>
      </c>
      <c r="B56" s="1">
        <v>41675</v>
      </c>
      <c r="C56">
        <v>11.42</v>
      </c>
      <c r="D56">
        <v>0.3</v>
      </c>
      <c r="E56">
        <v>2</v>
      </c>
      <c r="F56">
        <f xml:space="preserve"> WYNAJEM3[[#This Row],[data_wyjazdu]] - WYNAJEM3[[#This Row],[data_przyjazdu]]</f>
        <v>22</v>
      </c>
    </row>
    <row r="57" spans="1:6" x14ac:dyDescent="0.25">
      <c r="A57" s="1">
        <v>41653</v>
      </c>
      <c r="B57" s="1">
        <v>41675</v>
      </c>
      <c r="C57">
        <v>5.23</v>
      </c>
      <c r="D57">
        <v>0.14000000000000001</v>
      </c>
      <c r="E57">
        <v>2</v>
      </c>
      <c r="F57">
        <f xml:space="preserve"> WYNAJEM3[[#This Row],[data_wyjazdu]] - WYNAJEM3[[#This Row],[data_przyjazdu]]</f>
        <v>22</v>
      </c>
    </row>
    <row r="58" spans="1:6" x14ac:dyDescent="0.25">
      <c r="A58" s="1">
        <v>41653</v>
      </c>
      <c r="B58" s="1">
        <v>41657</v>
      </c>
      <c r="C58">
        <v>6.58</v>
      </c>
      <c r="D58">
        <v>0.17</v>
      </c>
      <c r="E58">
        <v>4</v>
      </c>
      <c r="F58">
        <f xml:space="preserve"> WYNAJEM3[[#This Row],[data_wyjazdu]] - WYNAJEM3[[#This Row],[data_przyjazdu]]</f>
        <v>4</v>
      </c>
    </row>
    <row r="59" spans="1:6" x14ac:dyDescent="0.25">
      <c r="A59" s="1">
        <v>41653</v>
      </c>
      <c r="B59" s="1">
        <v>41679</v>
      </c>
      <c r="C59">
        <v>9.74</v>
      </c>
      <c r="D59">
        <v>0.26</v>
      </c>
      <c r="E59">
        <v>4</v>
      </c>
      <c r="F59">
        <f xml:space="preserve"> WYNAJEM3[[#This Row],[data_wyjazdu]] - WYNAJEM3[[#This Row],[data_przyjazdu]]</f>
        <v>26</v>
      </c>
    </row>
    <row r="60" spans="1:6" x14ac:dyDescent="0.25">
      <c r="A60" s="1">
        <v>41653</v>
      </c>
      <c r="B60" s="1">
        <v>41659</v>
      </c>
      <c r="C60">
        <v>6.75</v>
      </c>
      <c r="D60">
        <v>0.18</v>
      </c>
      <c r="E60">
        <v>6</v>
      </c>
      <c r="F60">
        <f xml:space="preserve"> WYNAJEM3[[#This Row],[data_wyjazdu]] - WYNAJEM3[[#This Row],[data_przyjazdu]]</f>
        <v>6</v>
      </c>
    </row>
    <row r="61" spans="1:6" x14ac:dyDescent="0.25">
      <c r="A61" s="1">
        <v>41653</v>
      </c>
      <c r="B61" s="1">
        <v>41671</v>
      </c>
      <c r="C61">
        <v>16.829999999999998</v>
      </c>
      <c r="D61">
        <v>0.44</v>
      </c>
      <c r="E61">
        <v>4</v>
      </c>
      <c r="F61">
        <f xml:space="preserve"> WYNAJEM3[[#This Row],[data_wyjazdu]] - WYNAJEM3[[#This Row],[data_przyjazdu]]</f>
        <v>18</v>
      </c>
    </row>
    <row r="62" spans="1:6" x14ac:dyDescent="0.25">
      <c r="A62" s="1">
        <v>41653</v>
      </c>
      <c r="B62" s="1">
        <v>41676</v>
      </c>
      <c r="C62">
        <v>10.79</v>
      </c>
      <c r="D62">
        <v>0.28000000000000003</v>
      </c>
      <c r="E62">
        <v>3</v>
      </c>
      <c r="F62">
        <f xml:space="preserve"> WYNAJEM3[[#This Row],[data_wyjazdu]] - WYNAJEM3[[#This Row],[data_przyjazdu]]</f>
        <v>23</v>
      </c>
    </row>
    <row r="63" spans="1:6" x14ac:dyDescent="0.25">
      <c r="A63" s="1">
        <v>41653</v>
      </c>
      <c r="B63" s="1">
        <v>41669</v>
      </c>
      <c r="C63">
        <v>10.19</v>
      </c>
      <c r="D63">
        <v>0.27</v>
      </c>
      <c r="E63">
        <v>5</v>
      </c>
      <c r="F63">
        <f xml:space="preserve"> WYNAJEM3[[#This Row],[data_wyjazdu]] - WYNAJEM3[[#This Row],[data_przyjazdu]]</f>
        <v>16</v>
      </c>
    </row>
    <row r="64" spans="1:6" x14ac:dyDescent="0.25">
      <c r="A64" s="1">
        <v>41653</v>
      </c>
      <c r="B64" s="1">
        <v>41678</v>
      </c>
      <c r="C64">
        <v>10.93</v>
      </c>
      <c r="D64">
        <v>0.28999999999999998</v>
      </c>
      <c r="E64">
        <v>6</v>
      </c>
      <c r="F64">
        <f xml:space="preserve"> WYNAJEM3[[#This Row],[data_wyjazdu]] - WYNAJEM3[[#This Row],[data_przyjazdu]]</f>
        <v>25</v>
      </c>
    </row>
    <row r="65" spans="1:6" x14ac:dyDescent="0.25">
      <c r="A65" s="1">
        <v>41654</v>
      </c>
      <c r="B65" s="1">
        <v>41661</v>
      </c>
      <c r="C65">
        <v>9.74</v>
      </c>
      <c r="D65">
        <v>0.26</v>
      </c>
      <c r="E65">
        <v>5</v>
      </c>
      <c r="F65">
        <f xml:space="preserve"> WYNAJEM3[[#This Row],[data_wyjazdu]] - WYNAJEM3[[#This Row],[data_przyjazdu]]</f>
        <v>7</v>
      </c>
    </row>
    <row r="66" spans="1:6" x14ac:dyDescent="0.25">
      <c r="A66" s="1">
        <v>41654</v>
      </c>
      <c r="B66" s="1">
        <v>41669</v>
      </c>
      <c r="C66">
        <v>14.31</v>
      </c>
      <c r="D66">
        <v>0.38</v>
      </c>
      <c r="E66">
        <v>6</v>
      </c>
      <c r="F66">
        <f xml:space="preserve"> WYNAJEM3[[#This Row],[data_wyjazdu]] - WYNAJEM3[[#This Row],[data_przyjazdu]]</f>
        <v>15</v>
      </c>
    </row>
    <row r="67" spans="1:6" x14ac:dyDescent="0.25">
      <c r="A67" s="1">
        <v>41654</v>
      </c>
      <c r="B67" s="1">
        <v>41663</v>
      </c>
      <c r="C67">
        <v>7.35</v>
      </c>
      <c r="D67">
        <v>0.19</v>
      </c>
      <c r="E67">
        <v>4</v>
      </c>
      <c r="F67">
        <f xml:space="preserve"> WYNAJEM3[[#This Row],[data_wyjazdu]] - WYNAJEM3[[#This Row],[data_przyjazdu]]</f>
        <v>9</v>
      </c>
    </row>
    <row r="68" spans="1:6" x14ac:dyDescent="0.25">
      <c r="A68" s="1">
        <v>41654</v>
      </c>
      <c r="B68" s="1">
        <v>41670</v>
      </c>
      <c r="C68">
        <v>9.74</v>
      </c>
      <c r="D68">
        <v>0.26</v>
      </c>
      <c r="E68">
        <v>5</v>
      </c>
      <c r="F68">
        <f xml:space="preserve"> WYNAJEM3[[#This Row],[data_wyjazdu]] - WYNAJEM3[[#This Row],[data_przyjazdu]]</f>
        <v>16</v>
      </c>
    </row>
    <row r="69" spans="1:6" x14ac:dyDescent="0.25">
      <c r="A69" s="1">
        <v>41654</v>
      </c>
      <c r="B69" s="1">
        <v>41666</v>
      </c>
      <c r="C69">
        <v>14.13</v>
      </c>
      <c r="D69">
        <v>0.37</v>
      </c>
      <c r="E69">
        <v>2</v>
      </c>
      <c r="F69">
        <f xml:space="preserve"> WYNAJEM3[[#This Row],[data_wyjazdu]] - WYNAJEM3[[#This Row],[data_przyjazdu]]</f>
        <v>12</v>
      </c>
    </row>
    <row r="70" spans="1:6" x14ac:dyDescent="0.25">
      <c r="A70" s="1">
        <v>41654</v>
      </c>
      <c r="B70" s="1">
        <v>41658</v>
      </c>
      <c r="C70">
        <v>12.01</v>
      </c>
      <c r="D70">
        <v>0.32</v>
      </c>
      <c r="E70">
        <v>3</v>
      </c>
      <c r="F70">
        <f xml:space="preserve"> WYNAJEM3[[#This Row],[data_wyjazdu]] - WYNAJEM3[[#This Row],[data_przyjazdu]]</f>
        <v>4</v>
      </c>
    </row>
    <row r="71" spans="1:6" x14ac:dyDescent="0.25">
      <c r="A71" s="1">
        <v>41654</v>
      </c>
      <c r="B71" s="1">
        <v>41669</v>
      </c>
      <c r="C71">
        <v>13.07</v>
      </c>
      <c r="D71">
        <v>0.34</v>
      </c>
      <c r="E71">
        <v>6</v>
      </c>
      <c r="F71">
        <f xml:space="preserve"> WYNAJEM3[[#This Row],[data_wyjazdu]] - WYNAJEM3[[#This Row],[data_przyjazdu]]</f>
        <v>15</v>
      </c>
    </row>
    <row r="72" spans="1:6" x14ac:dyDescent="0.25">
      <c r="A72" s="1">
        <v>41654</v>
      </c>
      <c r="B72" s="1">
        <v>41659</v>
      </c>
      <c r="C72">
        <v>14</v>
      </c>
      <c r="D72">
        <v>0.37</v>
      </c>
      <c r="E72">
        <v>5</v>
      </c>
      <c r="F72">
        <f xml:space="preserve"> WYNAJEM3[[#This Row],[data_wyjazdu]] - WYNAJEM3[[#This Row],[data_przyjazdu]]</f>
        <v>5</v>
      </c>
    </row>
    <row r="73" spans="1:6" x14ac:dyDescent="0.25">
      <c r="A73" s="1">
        <v>41654</v>
      </c>
      <c r="B73" s="1">
        <v>41671</v>
      </c>
      <c r="C73">
        <v>13.02</v>
      </c>
      <c r="D73">
        <v>0.34</v>
      </c>
      <c r="E73">
        <v>2</v>
      </c>
      <c r="F73">
        <f xml:space="preserve"> WYNAJEM3[[#This Row],[data_wyjazdu]] - WYNAJEM3[[#This Row],[data_przyjazdu]]</f>
        <v>17</v>
      </c>
    </row>
    <row r="74" spans="1:6" x14ac:dyDescent="0.25">
      <c r="A74" s="1">
        <v>41654</v>
      </c>
      <c r="B74" s="1">
        <v>41658</v>
      </c>
      <c r="C74">
        <v>6.75</v>
      </c>
      <c r="D74">
        <v>0.18</v>
      </c>
      <c r="E74">
        <v>5</v>
      </c>
      <c r="F74">
        <f xml:space="preserve"> WYNAJEM3[[#This Row],[data_wyjazdu]] - WYNAJEM3[[#This Row],[data_przyjazdu]]</f>
        <v>4</v>
      </c>
    </row>
    <row r="75" spans="1:6" x14ac:dyDescent="0.25">
      <c r="A75" s="1">
        <v>41654</v>
      </c>
      <c r="B75" s="1">
        <v>41670</v>
      </c>
      <c r="C75">
        <v>3.88</v>
      </c>
      <c r="D75">
        <v>0.1</v>
      </c>
      <c r="E75">
        <v>2</v>
      </c>
      <c r="F75">
        <f xml:space="preserve"> WYNAJEM3[[#This Row],[data_wyjazdu]] - WYNAJEM3[[#This Row],[data_przyjazdu]]</f>
        <v>16</v>
      </c>
    </row>
    <row r="76" spans="1:6" x14ac:dyDescent="0.25">
      <c r="A76" s="1">
        <v>41654</v>
      </c>
      <c r="B76" s="1">
        <v>41657</v>
      </c>
      <c r="C76">
        <v>4.66</v>
      </c>
      <c r="D76">
        <v>0.12</v>
      </c>
      <c r="E76">
        <v>6</v>
      </c>
      <c r="F76">
        <f xml:space="preserve"> WYNAJEM3[[#This Row],[data_wyjazdu]] - WYNAJEM3[[#This Row],[data_przyjazdu]]</f>
        <v>3</v>
      </c>
    </row>
    <row r="77" spans="1:6" x14ac:dyDescent="0.25">
      <c r="A77" s="1">
        <v>41654</v>
      </c>
      <c r="B77" s="1">
        <v>41661</v>
      </c>
      <c r="C77">
        <v>2.29</v>
      </c>
      <c r="D77">
        <v>0.06</v>
      </c>
      <c r="E77">
        <v>4</v>
      </c>
      <c r="F77">
        <f xml:space="preserve"> WYNAJEM3[[#This Row],[data_wyjazdu]] - WYNAJEM3[[#This Row],[data_przyjazdu]]</f>
        <v>7</v>
      </c>
    </row>
    <row r="78" spans="1:6" x14ac:dyDescent="0.25">
      <c r="A78" s="1">
        <v>41654</v>
      </c>
      <c r="B78" s="1">
        <v>41665</v>
      </c>
      <c r="C78">
        <v>7.31</v>
      </c>
      <c r="D78">
        <v>0.19</v>
      </c>
      <c r="E78">
        <v>6</v>
      </c>
      <c r="F78">
        <f xml:space="preserve"> WYNAJEM3[[#This Row],[data_wyjazdu]] - WYNAJEM3[[#This Row],[data_przyjazdu]]</f>
        <v>11</v>
      </c>
    </row>
    <row r="79" spans="1:6" x14ac:dyDescent="0.25">
      <c r="A79" s="1">
        <v>41654</v>
      </c>
      <c r="B79" s="1">
        <v>41682</v>
      </c>
      <c r="C79">
        <v>6.23</v>
      </c>
      <c r="D79">
        <v>0.16</v>
      </c>
      <c r="E79">
        <v>6</v>
      </c>
      <c r="F79">
        <f xml:space="preserve"> WYNAJEM3[[#This Row],[data_wyjazdu]] - WYNAJEM3[[#This Row],[data_przyjazdu]]</f>
        <v>28</v>
      </c>
    </row>
    <row r="80" spans="1:6" x14ac:dyDescent="0.25">
      <c r="A80" s="1">
        <v>41654</v>
      </c>
      <c r="B80" s="1">
        <v>41663</v>
      </c>
      <c r="C80">
        <v>3.88</v>
      </c>
      <c r="D80">
        <v>0.1</v>
      </c>
      <c r="E80">
        <v>2</v>
      </c>
      <c r="F80">
        <f xml:space="preserve"> WYNAJEM3[[#This Row],[data_wyjazdu]] - WYNAJEM3[[#This Row],[data_przyjazdu]]</f>
        <v>9</v>
      </c>
    </row>
    <row r="81" spans="1:6" x14ac:dyDescent="0.25">
      <c r="A81" s="1">
        <v>41654</v>
      </c>
      <c r="B81" s="1">
        <v>41662</v>
      </c>
      <c r="C81">
        <v>8.51</v>
      </c>
      <c r="D81">
        <v>0.22</v>
      </c>
      <c r="E81">
        <v>2</v>
      </c>
      <c r="F81">
        <f xml:space="preserve"> WYNAJEM3[[#This Row],[data_wyjazdu]] - WYNAJEM3[[#This Row],[data_przyjazdu]]</f>
        <v>8</v>
      </c>
    </row>
    <row r="82" spans="1:6" x14ac:dyDescent="0.25">
      <c r="A82" s="1">
        <v>41654</v>
      </c>
      <c r="B82" s="1">
        <v>41657</v>
      </c>
      <c r="C82">
        <v>8.51</v>
      </c>
      <c r="D82">
        <v>0.22</v>
      </c>
      <c r="E82">
        <v>4</v>
      </c>
      <c r="F82">
        <f xml:space="preserve"> WYNAJEM3[[#This Row],[data_wyjazdu]] - WYNAJEM3[[#This Row],[data_przyjazdu]]</f>
        <v>3</v>
      </c>
    </row>
    <row r="83" spans="1:6" x14ac:dyDescent="0.25">
      <c r="A83" s="1">
        <v>41654</v>
      </c>
      <c r="B83" s="1">
        <v>41676</v>
      </c>
      <c r="C83">
        <v>9.1300000000000008</v>
      </c>
      <c r="D83">
        <v>0.24</v>
      </c>
      <c r="E83">
        <v>2</v>
      </c>
      <c r="F83">
        <f xml:space="preserve"> WYNAJEM3[[#This Row],[data_wyjazdu]] - WYNAJEM3[[#This Row],[data_przyjazdu]]</f>
        <v>22</v>
      </c>
    </row>
    <row r="84" spans="1:6" x14ac:dyDescent="0.25">
      <c r="A84" s="1">
        <v>41654</v>
      </c>
      <c r="B84" s="1">
        <v>41658</v>
      </c>
      <c r="C84">
        <v>3.88</v>
      </c>
      <c r="D84">
        <v>0.1</v>
      </c>
      <c r="E84">
        <v>2</v>
      </c>
      <c r="F84">
        <f xml:space="preserve"> WYNAJEM3[[#This Row],[data_wyjazdu]] - WYNAJEM3[[#This Row],[data_przyjazdu]]</f>
        <v>4</v>
      </c>
    </row>
    <row r="85" spans="1:6" x14ac:dyDescent="0.25">
      <c r="A85" s="1">
        <v>41654</v>
      </c>
      <c r="B85" s="1">
        <v>41675</v>
      </c>
      <c r="C85">
        <v>11.42</v>
      </c>
      <c r="D85">
        <v>0.3</v>
      </c>
      <c r="E85">
        <v>2</v>
      </c>
      <c r="F85">
        <f xml:space="preserve"> WYNAJEM3[[#This Row],[data_wyjazdu]] - WYNAJEM3[[#This Row],[data_przyjazdu]]</f>
        <v>21</v>
      </c>
    </row>
    <row r="86" spans="1:6" x14ac:dyDescent="0.25">
      <c r="A86" s="1">
        <v>41654</v>
      </c>
      <c r="B86" s="1">
        <v>41661</v>
      </c>
      <c r="C86">
        <v>16.829999999999998</v>
      </c>
      <c r="D86">
        <v>0.44</v>
      </c>
      <c r="E86">
        <v>4</v>
      </c>
      <c r="F86">
        <f xml:space="preserve"> WYNAJEM3[[#This Row],[data_wyjazdu]] - WYNAJEM3[[#This Row],[data_przyjazdu]]</f>
        <v>7</v>
      </c>
    </row>
    <row r="87" spans="1:6" x14ac:dyDescent="0.25">
      <c r="A87" s="1">
        <v>41656</v>
      </c>
      <c r="B87" s="1">
        <v>41674</v>
      </c>
      <c r="C87">
        <v>5.67</v>
      </c>
      <c r="D87">
        <v>0.15</v>
      </c>
      <c r="E87">
        <v>2</v>
      </c>
      <c r="F87">
        <f xml:space="preserve"> WYNAJEM3[[#This Row],[data_wyjazdu]] - WYNAJEM3[[#This Row],[data_przyjazdu]]</f>
        <v>18</v>
      </c>
    </row>
    <row r="88" spans="1:6" x14ac:dyDescent="0.25">
      <c r="A88" s="1">
        <v>41656</v>
      </c>
      <c r="B88" s="1">
        <v>41667</v>
      </c>
      <c r="C88">
        <v>5.67</v>
      </c>
      <c r="D88">
        <v>0.15</v>
      </c>
      <c r="E88">
        <v>3</v>
      </c>
      <c r="F88">
        <f xml:space="preserve"> WYNAJEM3[[#This Row],[data_wyjazdu]] - WYNAJEM3[[#This Row],[data_przyjazdu]]</f>
        <v>11</v>
      </c>
    </row>
    <row r="89" spans="1:6" x14ac:dyDescent="0.25">
      <c r="A89" s="1">
        <v>41656</v>
      </c>
      <c r="B89" s="1">
        <v>41666</v>
      </c>
      <c r="C89">
        <v>2.0099999999999998</v>
      </c>
      <c r="D89">
        <v>0.05</v>
      </c>
      <c r="E89">
        <v>5</v>
      </c>
      <c r="F89">
        <f xml:space="preserve"> WYNAJEM3[[#This Row],[data_wyjazdu]] - WYNAJEM3[[#This Row],[data_przyjazdu]]</f>
        <v>10</v>
      </c>
    </row>
    <row r="90" spans="1:6" x14ac:dyDescent="0.25">
      <c r="A90" s="1">
        <v>41656</v>
      </c>
      <c r="B90" s="1">
        <v>41678</v>
      </c>
      <c r="C90">
        <v>2.0099999999999998</v>
      </c>
      <c r="D90">
        <v>0.05</v>
      </c>
      <c r="E90">
        <v>5</v>
      </c>
      <c r="F90">
        <f xml:space="preserve"> WYNAJEM3[[#This Row],[data_wyjazdu]] - WYNAJEM3[[#This Row],[data_przyjazdu]]</f>
        <v>22</v>
      </c>
    </row>
    <row r="91" spans="1:6" x14ac:dyDescent="0.25">
      <c r="A91" s="1">
        <v>41657</v>
      </c>
      <c r="B91" s="1">
        <v>41669</v>
      </c>
      <c r="C91">
        <v>6.43</v>
      </c>
      <c r="D91">
        <v>0.17</v>
      </c>
      <c r="E91">
        <v>5</v>
      </c>
      <c r="F91">
        <f xml:space="preserve"> WYNAJEM3[[#This Row],[data_wyjazdu]] - WYNAJEM3[[#This Row],[data_przyjazdu]]</f>
        <v>12</v>
      </c>
    </row>
    <row r="92" spans="1:6" x14ac:dyDescent="0.25">
      <c r="A92" s="1">
        <v>41657</v>
      </c>
      <c r="B92" s="1">
        <v>41666</v>
      </c>
      <c r="C92">
        <v>3.88</v>
      </c>
      <c r="D92">
        <v>0.1</v>
      </c>
      <c r="E92">
        <v>5</v>
      </c>
      <c r="F92">
        <f xml:space="preserve"> WYNAJEM3[[#This Row],[data_wyjazdu]] - WYNAJEM3[[#This Row],[data_przyjazdu]]</f>
        <v>9</v>
      </c>
    </row>
    <row r="93" spans="1:6" x14ac:dyDescent="0.25">
      <c r="A93" s="1">
        <v>41657</v>
      </c>
      <c r="B93" s="1">
        <v>41661</v>
      </c>
      <c r="C93">
        <v>8.7200000000000006</v>
      </c>
      <c r="D93">
        <v>0.23</v>
      </c>
      <c r="E93">
        <v>4</v>
      </c>
      <c r="F93">
        <f xml:space="preserve"> WYNAJEM3[[#This Row],[data_wyjazdu]] - WYNAJEM3[[#This Row],[data_przyjazdu]]</f>
        <v>4</v>
      </c>
    </row>
    <row r="94" spans="1:6" x14ac:dyDescent="0.25">
      <c r="A94" s="1">
        <v>41658</v>
      </c>
      <c r="B94" s="1">
        <v>41685</v>
      </c>
      <c r="C94">
        <v>6.58</v>
      </c>
      <c r="D94">
        <v>0.17</v>
      </c>
      <c r="E94">
        <v>5</v>
      </c>
      <c r="F94">
        <f xml:space="preserve"> WYNAJEM3[[#This Row],[data_wyjazdu]] - WYNAJEM3[[#This Row],[data_przyjazdu]]</f>
        <v>27</v>
      </c>
    </row>
    <row r="95" spans="1:6" x14ac:dyDescent="0.25">
      <c r="A95" s="1">
        <v>41658</v>
      </c>
      <c r="B95" s="1">
        <v>41685</v>
      </c>
      <c r="C95">
        <v>6.43</v>
      </c>
      <c r="D95">
        <v>0.17</v>
      </c>
      <c r="E95">
        <v>2</v>
      </c>
      <c r="F95">
        <f xml:space="preserve"> WYNAJEM3[[#This Row],[data_wyjazdu]] - WYNAJEM3[[#This Row],[data_przyjazdu]]</f>
        <v>27</v>
      </c>
    </row>
    <row r="96" spans="1:6" x14ac:dyDescent="0.25">
      <c r="A96" s="1">
        <v>41660</v>
      </c>
      <c r="B96" s="1">
        <v>41676</v>
      </c>
      <c r="C96">
        <v>11.44</v>
      </c>
      <c r="D96">
        <v>0.3</v>
      </c>
      <c r="E96">
        <v>3</v>
      </c>
      <c r="F96">
        <f xml:space="preserve"> WYNAJEM3[[#This Row],[data_wyjazdu]] - WYNAJEM3[[#This Row],[data_przyjazdu]]</f>
        <v>16</v>
      </c>
    </row>
    <row r="97" spans="1:6" x14ac:dyDescent="0.25">
      <c r="A97" s="1">
        <v>41660</v>
      </c>
      <c r="B97" s="1">
        <v>41667</v>
      </c>
      <c r="C97">
        <v>10.59</v>
      </c>
      <c r="D97">
        <v>0.28000000000000003</v>
      </c>
      <c r="E97">
        <v>4</v>
      </c>
      <c r="F97">
        <f xml:space="preserve"> WYNAJEM3[[#This Row],[data_wyjazdu]] - WYNAJEM3[[#This Row],[data_przyjazdu]]</f>
        <v>7</v>
      </c>
    </row>
    <row r="98" spans="1:6" x14ac:dyDescent="0.25">
      <c r="A98" s="1">
        <v>41660</v>
      </c>
      <c r="B98" s="1">
        <v>41687</v>
      </c>
      <c r="C98">
        <v>11.44</v>
      </c>
      <c r="D98">
        <v>0.3</v>
      </c>
      <c r="E98">
        <v>6</v>
      </c>
      <c r="F98">
        <f xml:space="preserve"> WYNAJEM3[[#This Row],[data_wyjazdu]] - WYNAJEM3[[#This Row],[data_przyjazdu]]</f>
        <v>27</v>
      </c>
    </row>
    <row r="99" spans="1:6" x14ac:dyDescent="0.25">
      <c r="A99" s="1">
        <v>41660</v>
      </c>
      <c r="B99" s="1">
        <v>41686</v>
      </c>
      <c r="C99">
        <v>10.199999999999999</v>
      </c>
      <c r="D99">
        <v>0.27</v>
      </c>
      <c r="E99">
        <v>6</v>
      </c>
      <c r="F99">
        <f xml:space="preserve"> WYNAJEM3[[#This Row],[data_wyjazdu]] - WYNAJEM3[[#This Row],[data_przyjazdu]]</f>
        <v>26</v>
      </c>
    </row>
    <row r="100" spans="1:6" x14ac:dyDescent="0.25">
      <c r="A100" s="1">
        <v>41660</v>
      </c>
      <c r="B100" s="1">
        <v>41684</v>
      </c>
      <c r="C100">
        <v>19.54</v>
      </c>
      <c r="D100">
        <v>0.51</v>
      </c>
      <c r="E100">
        <v>5</v>
      </c>
      <c r="F100">
        <f xml:space="preserve"> WYNAJEM3[[#This Row],[data_wyjazdu]] - WYNAJEM3[[#This Row],[data_przyjazdu]]</f>
        <v>24</v>
      </c>
    </row>
    <row r="101" spans="1:6" x14ac:dyDescent="0.25">
      <c r="A101" s="1">
        <v>41660</v>
      </c>
      <c r="B101" s="1">
        <v>41674</v>
      </c>
      <c r="C101">
        <v>10.93</v>
      </c>
      <c r="D101">
        <v>0.28999999999999998</v>
      </c>
      <c r="E101">
        <v>4</v>
      </c>
      <c r="F101">
        <f xml:space="preserve"> WYNAJEM3[[#This Row],[data_wyjazdu]] - WYNAJEM3[[#This Row],[data_przyjazdu]]</f>
        <v>14</v>
      </c>
    </row>
    <row r="102" spans="1:6" x14ac:dyDescent="0.25">
      <c r="A102" s="1">
        <v>41661</v>
      </c>
      <c r="B102" s="1">
        <v>41668</v>
      </c>
      <c r="C102">
        <v>6.43</v>
      </c>
      <c r="D102">
        <v>0.17</v>
      </c>
      <c r="E102">
        <v>5</v>
      </c>
      <c r="F102">
        <f xml:space="preserve"> WYNAJEM3[[#This Row],[data_wyjazdu]] - WYNAJEM3[[#This Row],[data_przyjazdu]]</f>
        <v>7</v>
      </c>
    </row>
    <row r="103" spans="1:6" x14ac:dyDescent="0.25">
      <c r="A103" s="1">
        <v>41661</v>
      </c>
      <c r="B103" s="1">
        <v>41681</v>
      </c>
      <c r="C103">
        <v>5.67</v>
      </c>
      <c r="D103">
        <v>0.15</v>
      </c>
      <c r="E103">
        <v>4</v>
      </c>
      <c r="F103">
        <f xml:space="preserve"> WYNAJEM3[[#This Row],[data_wyjazdu]] - WYNAJEM3[[#This Row],[data_przyjazdu]]</f>
        <v>20</v>
      </c>
    </row>
    <row r="104" spans="1:6" x14ac:dyDescent="0.25">
      <c r="A104" s="1">
        <v>41661</v>
      </c>
      <c r="B104" s="1">
        <v>41682</v>
      </c>
      <c r="C104">
        <v>14.13</v>
      </c>
      <c r="D104">
        <v>0.37</v>
      </c>
      <c r="E104">
        <v>5</v>
      </c>
      <c r="F104">
        <f xml:space="preserve"> WYNAJEM3[[#This Row],[data_wyjazdu]] - WYNAJEM3[[#This Row],[data_przyjazdu]]</f>
        <v>21</v>
      </c>
    </row>
    <row r="105" spans="1:6" x14ac:dyDescent="0.25">
      <c r="A105" s="1">
        <v>41661</v>
      </c>
      <c r="B105" s="1">
        <v>41689</v>
      </c>
      <c r="C105">
        <v>5.47</v>
      </c>
      <c r="D105">
        <v>0.14000000000000001</v>
      </c>
      <c r="E105">
        <v>3</v>
      </c>
      <c r="F105">
        <f xml:space="preserve"> WYNAJEM3[[#This Row],[data_wyjazdu]] - WYNAJEM3[[#This Row],[data_przyjazdu]]</f>
        <v>28</v>
      </c>
    </row>
    <row r="106" spans="1:6" x14ac:dyDescent="0.25">
      <c r="A106" s="1">
        <v>41662</v>
      </c>
      <c r="B106" s="1">
        <v>41686</v>
      </c>
      <c r="C106">
        <v>8.39</v>
      </c>
      <c r="D106">
        <v>0.22</v>
      </c>
      <c r="E106">
        <v>2</v>
      </c>
      <c r="F106">
        <f xml:space="preserve"> WYNAJEM3[[#This Row],[data_wyjazdu]] - WYNAJEM3[[#This Row],[data_przyjazdu]]</f>
        <v>24</v>
      </c>
    </row>
    <row r="107" spans="1:6" x14ac:dyDescent="0.25">
      <c r="A107" s="1">
        <v>41662</v>
      </c>
      <c r="B107" s="1">
        <v>41688</v>
      </c>
      <c r="C107">
        <v>3.79</v>
      </c>
      <c r="D107">
        <v>0.1</v>
      </c>
      <c r="E107">
        <v>3</v>
      </c>
      <c r="F107">
        <f xml:space="preserve"> WYNAJEM3[[#This Row],[data_wyjazdu]] - WYNAJEM3[[#This Row],[data_przyjazdu]]</f>
        <v>26</v>
      </c>
    </row>
    <row r="108" spans="1:6" x14ac:dyDescent="0.25">
      <c r="A108" s="1">
        <v>41662</v>
      </c>
      <c r="B108" s="1">
        <v>41664</v>
      </c>
      <c r="C108">
        <v>6.23</v>
      </c>
      <c r="D108">
        <v>0.16</v>
      </c>
      <c r="E108">
        <v>6</v>
      </c>
      <c r="F108">
        <f xml:space="preserve"> WYNAJEM3[[#This Row],[data_wyjazdu]] - WYNAJEM3[[#This Row],[data_przyjazdu]]</f>
        <v>2</v>
      </c>
    </row>
    <row r="109" spans="1:6" x14ac:dyDescent="0.25">
      <c r="A109" s="1">
        <v>41663</v>
      </c>
      <c r="B109" s="1">
        <v>41675</v>
      </c>
      <c r="C109">
        <v>6.34</v>
      </c>
      <c r="D109">
        <v>0.17</v>
      </c>
      <c r="E109">
        <v>6</v>
      </c>
      <c r="F109">
        <f xml:space="preserve"> WYNAJEM3[[#This Row],[data_wyjazdu]] - WYNAJEM3[[#This Row],[data_przyjazdu]]</f>
        <v>12</v>
      </c>
    </row>
    <row r="110" spans="1:6" x14ac:dyDescent="0.25">
      <c r="A110" s="1">
        <v>41663</v>
      </c>
      <c r="B110" s="1">
        <v>41684</v>
      </c>
      <c r="C110">
        <v>3.57</v>
      </c>
      <c r="D110">
        <v>0.09</v>
      </c>
      <c r="E110">
        <v>6</v>
      </c>
      <c r="F110">
        <f xml:space="preserve"> WYNAJEM3[[#This Row],[data_wyjazdu]] - WYNAJEM3[[#This Row],[data_przyjazdu]]</f>
        <v>21</v>
      </c>
    </row>
    <row r="111" spans="1:6" x14ac:dyDescent="0.25">
      <c r="A111" s="1">
        <v>41664</v>
      </c>
      <c r="B111" s="1">
        <v>41681</v>
      </c>
      <c r="C111">
        <v>4.66</v>
      </c>
      <c r="D111">
        <v>0.12</v>
      </c>
      <c r="E111">
        <v>4</v>
      </c>
      <c r="F111">
        <f xml:space="preserve"> WYNAJEM3[[#This Row],[data_wyjazdu]] - WYNAJEM3[[#This Row],[data_przyjazdu]]</f>
        <v>17</v>
      </c>
    </row>
    <row r="112" spans="1:6" x14ac:dyDescent="0.25">
      <c r="A112" s="1">
        <v>41665</v>
      </c>
      <c r="B112" s="1">
        <v>41692</v>
      </c>
      <c r="C112">
        <v>13.07</v>
      </c>
      <c r="D112">
        <v>0.34</v>
      </c>
      <c r="E112">
        <v>3</v>
      </c>
      <c r="F112">
        <f xml:space="preserve"> WYNAJEM3[[#This Row],[data_wyjazdu]] - WYNAJEM3[[#This Row],[data_przyjazdu]]</f>
        <v>27</v>
      </c>
    </row>
    <row r="113" spans="1:6" x14ac:dyDescent="0.25">
      <c r="A113" s="1">
        <v>41665</v>
      </c>
      <c r="B113" s="1">
        <v>41691</v>
      </c>
      <c r="C113">
        <v>13.81</v>
      </c>
      <c r="D113">
        <v>0.36</v>
      </c>
      <c r="E113">
        <v>5</v>
      </c>
      <c r="F113">
        <f xml:space="preserve"> WYNAJEM3[[#This Row],[data_wyjazdu]] - WYNAJEM3[[#This Row],[data_przyjazdu]]</f>
        <v>26</v>
      </c>
    </row>
    <row r="114" spans="1:6" x14ac:dyDescent="0.25">
      <c r="A114" s="1">
        <v>41665</v>
      </c>
      <c r="B114" s="1">
        <v>41673</v>
      </c>
      <c r="C114">
        <v>11.69</v>
      </c>
      <c r="D114">
        <v>0.31</v>
      </c>
      <c r="E114">
        <v>2</v>
      </c>
      <c r="F114">
        <f xml:space="preserve"> WYNAJEM3[[#This Row],[data_wyjazdu]] - WYNAJEM3[[#This Row],[data_przyjazdu]]</f>
        <v>8</v>
      </c>
    </row>
    <row r="115" spans="1:6" x14ac:dyDescent="0.25">
      <c r="A115" s="1">
        <v>41665</v>
      </c>
      <c r="B115" s="1">
        <v>41683</v>
      </c>
      <c r="C115">
        <v>8.84</v>
      </c>
      <c r="D115">
        <v>0.23</v>
      </c>
      <c r="E115">
        <v>4</v>
      </c>
      <c r="F115">
        <f xml:space="preserve"> WYNAJEM3[[#This Row],[data_wyjazdu]] - WYNAJEM3[[#This Row],[data_przyjazdu]]</f>
        <v>18</v>
      </c>
    </row>
    <row r="116" spans="1:6" x14ac:dyDescent="0.25">
      <c r="A116" s="1">
        <v>41665</v>
      </c>
      <c r="B116" s="1">
        <v>41690</v>
      </c>
      <c r="C116">
        <v>16.940000000000001</v>
      </c>
      <c r="D116">
        <v>0.45</v>
      </c>
      <c r="E116">
        <v>5</v>
      </c>
      <c r="F116">
        <f xml:space="preserve"> WYNAJEM3[[#This Row],[data_wyjazdu]] - WYNAJEM3[[#This Row],[data_przyjazdu]]</f>
        <v>25</v>
      </c>
    </row>
    <row r="117" spans="1:6" x14ac:dyDescent="0.25">
      <c r="A117" s="1">
        <v>41665</v>
      </c>
      <c r="B117" s="1">
        <v>41669</v>
      </c>
      <c r="C117">
        <v>13.82</v>
      </c>
      <c r="D117">
        <v>0.36</v>
      </c>
      <c r="E117">
        <v>4</v>
      </c>
      <c r="F117">
        <f xml:space="preserve"> WYNAJEM3[[#This Row],[data_wyjazdu]] - WYNAJEM3[[#This Row],[data_przyjazdu]]</f>
        <v>4</v>
      </c>
    </row>
    <row r="118" spans="1:6" x14ac:dyDescent="0.25">
      <c r="A118" s="1">
        <v>41665</v>
      </c>
      <c r="B118" s="1">
        <v>41689</v>
      </c>
      <c r="C118">
        <v>9.4600000000000009</v>
      </c>
      <c r="D118">
        <v>0.25</v>
      </c>
      <c r="E118">
        <v>6</v>
      </c>
      <c r="F118">
        <f xml:space="preserve"> WYNAJEM3[[#This Row],[data_wyjazdu]] - WYNAJEM3[[#This Row],[data_przyjazdu]]</f>
        <v>24</v>
      </c>
    </row>
    <row r="119" spans="1:6" x14ac:dyDescent="0.25">
      <c r="A119" s="1">
        <v>41665</v>
      </c>
      <c r="B119" s="1">
        <v>41684</v>
      </c>
      <c r="C119">
        <v>8.89</v>
      </c>
      <c r="D119">
        <v>0.23</v>
      </c>
      <c r="E119">
        <v>6</v>
      </c>
      <c r="F119">
        <f xml:space="preserve"> WYNAJEM3[[#This Row],[data_wyjazdu]] - WYNAJEM3[[#This Row],[data_przyjazdu]]</f>
        <v>19</v>
      </c>
    </row>
    <row r="120" spans="1:6" x14ac:dyDescent="0.25">
      <c r="A120" s="1">
        <v>41665</v>
      </c>
      <c r="B120" s="1">
        <v>41673</v>
      </c>
      <c r="C120">
        <v>5.57</v>
      </c>
      <c r="D120">
        <v>0.15</v>
      </c>
      <c r="E120">
        <v>4</v>
      </c>
      <c r="F120">
        <f xml:space="preserve"> WYNAJEM3[[#This Row],[data_wyjazdu]] - WYNAJEM3[[#This Row],[data_przyjazdu]]</f>
        <v>8</v>
      </c>
    </row>
    <row r="121" spans="1:6" x14ac:dyDescent="0.25">
      <c r="A121" s="1">
        <v>41665</v>
      </c>
      <c r="B121" s="1">
        <v>41669</v>
      </c>
      <c r="C121">
        <v>7.35</v>
      </c>
      <c r="D121">
        <v>0.19</v>
      </c>
      <c r="E121">
        <v>2</v>
      </c>
      <c r="F121">
        <f xml:space="preserve"> WYNAJEM3[[#This Row],[data_wyjazdu]] - WYNAJEM3[[#This Row],[data_przyjazdu]]</f>
        <v>4</v>
      </c>
    </row>
    <row r="122" spans="1:6" x14ac:dyDescent="0.25">
      <c r="A122" s="1">
        <v>41665</v>
      </c>
      <c r="B122" s="1">
        <v>41681</v>
      </c>
      <c r="C122">
        <v>12.23</v>
      </c>
      <c r="D122">
        <v>0.32</v>
      </c>
      <c r="E122">
        <v>4</v>
      </c>
      <c r="F122">
        <f xml:space="preserve"> WYNAJEM3[[#This Row],[data_wyjazdu]] - WYNAJEM3[[#This Row],[data_przyjazdu]]</f>
        <v>16</v>
      </c>
    </row>
    <row r="123" spans="1:6" x14ac:dyDescent="0.25">
      <c r="A123" s="1">
        <v>41665</v>
      </c>
      <c r="B123" s="1">
        <v>41690</v>
      </c>
      <c r="C123">
        <v>5.23</v>
      </c>
      <c r="D123">
        <v>0.14000000000000001</v>
      </c>
      <c r="E123">
        <v>6</v>
      </c>
      <c r="F123">
        <f xml:space="preserve"> WYNAJEM3[[#This Row],[data_wyjazdu]] - WYNAJEM3[[#This Row],[data_przyjazdu]]</f>
        <v>25</v>
      </c>
    </row>
    <row r="124" spans="1:6" x14ac:dyDescent="0.25">
      <c r="A124" s="1">
        <v>41666</v>
      </c>
      <c r="B124" s="1">
        <v>41682</v>
      </c>
      <c r="C124">
        <v>6.43</v>
      </c>
      <c r="D124">
        <v>0.17</v>
      </c>
      <c r="E124">
        <v>4</v>
      </c>
      <c r="F124">
        <f xml:space="preserve"> WYNAJEM3[[#This Row],[data_wyjazdu]] - WYNAJEM3[[#This Row],[data_przyjazdu]]</f>
        <v>16</v>
      </c>
    </row>
    <row r="125" spans="1:6" x14ac:dyDescent="0.25">
      <c r="A125" s="1">
        <v>41666</v>
      </c>
      <c r="B125" s="1">
        <v>41668</v>
      </c>
      <c r="C125">
        <v>11.44</v>
      </c>
      <c r="D125">
        <v>0.3</v>
      </c>
      <c r="E125">
        <v>5</v>
      </c>
      <c r="F125">
        <f xml:space="preserve"> WYNAJEM3[[#This Row],[data_wyjazdu]] - WYNAJEM3[[#This Row],[data_przyjazdu]]</f>
        <v>2</v>
      </c>
    </row>
    <row r="126" spans="1:6" x14ac:dyDescent="0.25">
      <c r="A126" s="1">
        <v>41666</v>
      </c>
      <c r="B126" s="1">
        <v>41673</v>
      </c>
      <c r="C126">
        <v>8.7200000000000006</v>
      </c>
      <c r="D126">
        <v>0.23</v>
      </c>
      <c r="E126">
        <v>5</v>
      </c>
      <c r="F126">
        <f xml:space="preserve"> WYNAJEM3[[#This Row],[data_wyjazdu]] - WYNAJEM3[[#This Row],[data_przyjazdu]]</f>
        <v>7</v>
      </c>
    </row>
    <row r="127" spans="1:6" x14ac:dyDescent="0.25">
      <c r="A127" s="1">
        <v>41666</v>
      </c>
      <c r="B127" s="1">
        <v>41685</v>
      </c>
      <c r="C127">
        <v>10.199999999999999</v>
      </c>
      <c r="D127">
        <v>0.27</v>
      </c>
      <c r="E127">
        <v>4</v>
      </c>
      <c r="F127">
        <f xml:space="preserve"> WYNAJEM3[[#This Row],[data_wyjazdu]] - WYNAJEM3[[#This Row],[data_przyjazdu]]</f>
        <v>19</v>
      </c>
    </row>
    <row r="128" spans="1:6" x14ac:dyDescent="0.25">
      <c r="A128" s="1">
        <v>41666</v>
      </c>
      <c r="B128" s="1">
        <v>41668</v>
      </c>
      <c r="C128">
        <v>10.199999999999999</v>
      </c>
      <c r="D128">
        <v>0.27</v>
      </c>
      <c r="E128">
        <v>2</v>
      </c>
      <c r="F128">
        <f xml:space="preserve"> WYNAJEM3[[#This Row],[data_wyjazdu]] - WYNAJEM3[[#This Row],[data_przyjazdu]]</f>
        <v>2</v>
      </c>
    </row>
    <row r="129" spans="1:6" x14ac:dyDescent="0.25">
      <c r="A129" s="1">
        <v>41667</v>
      </c>
      <c r="B129" s="1">
        <v>41693</v>
      </c>
      <c r="C129">
        <v>4.66</v>
      </c>
      <c r="D129">
        <v>0.12</v>
      </c>
      <c r="E129">
        <v>3</v>
      </c>
      <c r="F129">
        <f xml:space="preserve"> WYNAJEM3[[#This Row],[data_wyjazdu]] - WYNAJEM3[[#This Row],[data_przyjazdu]]</f>
        <v>26</v>
      </c>
    </row>
    <row r="130" spans="1:6" x14ac:dyDescent="0.25">
      <c r="A130" s="1">
        <v>41667</v>
      </c>
      <c r="B130" s="1">
        <v>41675</v>
      </c>
      <c r="C130">
        <v>11.69</v>
      </c>
      <c r="D130">
        <v>0.31</v>
      </c>
      <c r="E130">
        <v>6</v>
      </c>
      <c r="F130">
        <f xml:space="preserve"> WYNAJEM3[[#This Row],[data_wyjazdu]] - WYNAJEM3[[#This Row],[data_przyjazdu]]</f>
        <v>8</v>
      </c>
    </row>
    <row r="131" spans="1:6" x14ac:dyDescent="0.25">
      <c r="A131" s="1">
        <v>41667</v>
      </c>
      <c r="B131" s="1">
        <v>41673</v>
      </c>
      <c r="C131">
        <v>6.88</v>
      </c>
      <c r="D131">
        <v>0.18</v>
      </c>
      <c r="E131">
        <v>3</v>
      </c>
      <c r="F131">
        <f xml:space="preserve"> WYNAJEM3[[#This Row],[data_wyjazdu]] - WYNAJEM3[[#This Row],[data_przyjazdu]]</f>
        <v>6</v>
      </c>
    </row>
    <row r="132" spans="1:6" x14ac:dyDescent="0.25">
      <c r="A132" s="1">
        <v>41672</v>
      </c>
      <c r="B132" s="1">
        <v>41683</v>
      </c>
      <c r="C132">
        <v>9.74</v>
      </c>
      <c r="D132">
        <v>0.26</v>
      </c>
      <c r="E132">
        <v>2</v>
      </c>
      <c r="F132">
        <f xml:space="preserve"> WYNAJEM3[[#This Row],[data_wyjazdu]] - WYNAJEM3[[#This Row],[data_przyjazdu]]</f>
        <v>11</v>
      </c>
    </row>
    <row r="133" spans="1:6" x14ac:dyDescent="0.25">
      <c r="A133" s="1">
        <v>41672</v>
      </c>
      <c r="B133" s="1">
        <v>41681</v>
      </c>
      <c r="C133">
        <v>9.06</v>
      </c>
      <c r="D133">
        <v>0.24</v>
      </c>
      <c r="E133">
        <v>2</v>
      </c>
      <c r="F133">
        <f xml:space="preserve"> WYNAJEM3[[#This Row],[data_wyjazdu]] - WYNAJEM3[[#This Row],[data_przyjazdu]]</f>
        <v>9</v>
      </c>
    </row>
    <row r="134" spans="1:6" x14ac:dyDescent="0.25">
      <c r="A134" s="1">
        <v>41672</v>
      </c>
      <c r="B134" s="1">
        <v>41694</v>
      </c>
      <c r="C134">
        <v>14</v>
      </c>
      <c r="D134">
        <v>0.37</v>
      </c>
      <c r="E134">
        <v>2</v>
      </c>
      <c r="F134">
        <f xml:space="preserve"> WYNAJEM3[[#This Row],[data_wyjazdu]] - WYNAJEM3[[#This Row],[data_przyjazdu]]</f>
        <v>22</v>
      </c>
    </row>
    <row r="135" spans="1:6" x14ac:dyDescent="0.25">
      <c r="A135" s="1">
        <v>41673</v>
      </c>
      <c r="B135" s="1">
        <v>41697</v>
      </c>
      <c r="C135">
        <v>10.59</v>
      </c>
      <c r="D135">
        <v>0.28000000000000003</v>
      </c>
      <c r="E135">
        <v>3</v>
      </c>
      <c r="F135">
        <f xml:space="preserve"> WYNAJEM3[[#This Row],[data_wyjazdu]] - WYNAJEM3[[#This Row],[data_przyjazdu]]</f>
        <v>24</v>
      </c>
    </row>
    <row r="136" spans="1:6" x14ac:dyDescent="0.25">
      <c r="A136" s="1">
        <v>41673</v>
      </c>
      <c r="B136" s="1">
        <v>41676</v>
      </c>
      <c r="C136">
        <v>3.94</v>
      </c>
      <c r="D136">
        <v>0.1</v>
      </c>
      <c r="E136">
        <v>6</v>
      </c>
      <c r="F136">
        <f xml:space="preserve"> WYNAJEM3[[#This Row],[data_wyjazdu]] - WYNAJEM3[[#This Row],[data_przyjazdu]]</f>
        <v>3</v>
      </c>
    </row>
    <row r="137" spans="1:6" x14ac:dyDescent="0.25">
      <c r="A137" s="1">
        <v>41673</v>
      </c>
      <c r="B137" s="1">
        <v>41690</v>
      </c>
      <c r="C137">
        <v>4.66</v>
      </c>
      <c r="D137">
        <v>0.12</v>
      </c>
      <c r="E137">
        <v>3</v>
      </c>
      <c r="F137">
        <f xml:space="preserve"> WYNAJEM3[[#This Row],[data_wyjazdu]] - WYNAJEM3[[#This Row],[data_przyjazdu]]</f>
        <v>17</v>
      </c>
    </row>
    <row r="138" spans="1:6" x14ac:dyDescent="0.25">
      <c r="A138" s="1">
        <v>41673</v>
      </c>
      <c r="B138" s="1">
        <v>41701</v>
      </c>
      <c r="C138">
        <v>10.199999999999999</v>
      </c>
      <c r="D138">
        <v>0.27</v>
      </c>
      <c r="E138">
        <v>6</v>
      </c>
      <c r="F138">
        <f xml:space="preserve"> WYNAJEM3[[#This Row],[data_wyjazdu]] - WYNAJEM3[[#This Row],[data_przyjazdu]]</f>
        <v>28</v>
      </c>
    </row>
    <row r="139" spans="1:6" x14ac:dyDescent="0.25">
      <c r="A139" s="1">
        <v>41677</v>
      </c>
      <c r="B139" s="1">
        <v>41682</v>
      </c>
      <c r="C139">
        <v>12.23</v>
      </c>
      <c r="D139">
        <v>0.32</v>
      </c>
      <c r="E139">
        <v>5</v>
      </c>
      <c r="F139">
        <f xml:space="preserve"> WYNAJEM3[[#This Row],[data_wyjazdu]] - WYNAJEM3[[#This Row],[data_przyjazdu]]</f>
        <v>5</v>
      </c>
    </row>
    <row r="140" spans="1:6" x14ac:dyDescent="0.25">
      <c r="A140" s="1">
        <v>41677</v>
      </c>
      <c r="B140" s="1">
        <v>41698</v>
      </c>
      <c r="C140">
        <v>10.19</v>
      </c>
      <c r="D140">
        <v>0.27</v>
      </c>
      <c r="E140">
        <v>3</v>
      </c>
      <c r="F140">
        <f xml:space="preserve"> WYNAJEM3[[#This Row],[data_wyjazdu]] - WYNAJEM3[[#This Row],[data_przyjazdu]]</f>
        <v>21</v>
      </c>
    </row>
    <row r="141" spans="1:6" x14ac:dyDescent="0.25">
      <c r="A141" s="1">
        <v>41677</v>
      </c>
      <c r="B141" s="1">
        <v>41701</v>
      </c>
      <c r="C141">
        <v>12.01</v>
      </c>
      <c r="D141">
        <v>0.32</v>
      </c>
      <c r="E141">
        <v>6</v>
      </c>
      <c r="F141">
        <f xml:space="preserve"> WYNAJEM3[[#This Row],[data_wyjazdu]] - WYNAJEM3[[#This Row],[data_przyjazdu]]</f>
        <v>24</v>
      </c>
    </row>
    <row r="142" spans="1:6" x14ac:dyDescent="0.25">
      <c r="A142" s="1">
        <v>41677</v>
      </c>
      <c r="B142" s="1">
        <v>41681</v>
      </c>
      <c r="C142">
        <v>11.44</v>
      </c>
      <c r="D142">
        <v>0.3</v>
      </c>
      <c r="E142">
        <v>3</v>
      </c>
      <c r="F142">
        <f xml:space="preserve"> WYNAJEM3[[#This Row],[data_wyjazdu]] - WYNAJEM3[[#This Row],[data_przyjazdu]]</f>
        <v>4</v>
      </c>
    </row>
    <row r="143" spans="1:6" x14ac:dyDescent="0.25">
      <c r="A143" s="1">
        <v>41677</v>
      </c>
      <c r="B143" s="1">
        <v>41700</v>
      </c>
      <c r="C143">
        <v>6.23</v>
      </c>
      <c r="D143">
        <v>0.16</v>
      </c>
      <c r="E143">
        <v>3</v>
      </c>
      <c r="F143">
        <f xml:space="preserve"> WYNAJEM3[[#This Row],[data_wyjazdu]] - WYNAJEM3[[#This Row],[data_przyjazdu]]</f>
        <v>23</v>
      </c>
    </row>
    <row r="144" spans="1:6" x14ac:dyDescent="0.25">
      <c r="A144" s="1">
        <v>41677</v>
      </c>
      <c r="B144" s="1">
        <v>41686</v>
      </c>
      <c r="C144">
        <v>12.01</v>
      </c>
      <c r="D144">
        <v>0.32</v>
      </c>
      <c r="E144">
        <v>5</v>
      </c>
      <c r="F144">
        <f xml:space="preserve"> WYNAJEM3[[#This Row],[data_wyjazdu]] - WYNAJEM3[[#This Row],[data_przyjazdu]]</f>
        <v>9</v>
      </c>
    </row>
    <row r="145" spans="1:6" x14ac:dyDescent="0.25">
      <c r="A145" s="1">
        <v>41677</v>
      </c>
      <c r="B145" s="1">
        <v>41681</v>
      </c>
      <c r="C145">
        <v>12.23</v>
      </c>
      <c r="D145">
        <v>0.32</v>
      </c>
      <c r="E145">
        <v>5</v>
      </c>
      <c r="F145">
        <f xml:space="preserve"> WYNAJEM3[[#This Row],[data_wyjazdu]] - WYNAJEM3[[#This Row],[data_przyjazdu]]</f>
        <v>4</v>
      </c>
    </row>
    <row r="146" spans="1:6" x14ac:dyDescent="0.25">
      <c r="A146" s="1">
        <v>41677</v>
      </c>
      <c r="B146" s="1">
        <v>41695</v>
      </c>
      <c r="C146">
        <v>12.01</v>
      </c>
      <c r="D146">
        <v>0.32</v>
      </c>
      <c r="E146">
        <v>5</v>
      </c>
      <c r="F146">
        <f xml:space="preserve"> WYNAJEM3[[#This Row],[data_wyjazdu]] - WYNAJEM3[[#This Row],[data_przyjazdu]]</f>
        <v>18</v>
      </c>
    </row>
    <row r="147" spans="1:6" x14ac:dyDescent="0.25">
      <c r="A147" s="1">
        <v>41677</v>
      </c>
      <c r="B147" s="1">
        <v>41692</v>
      </c>
      <c r="C147">
        <v>5.67</v>
      </c>
      <c r="D147">
        <v>0.15</v>
      </c>
      <c r="E147">
        <v>4</v>
      </c>
      <c r="F147">
        <f xml:space="preserve"> WYNAJEM3[[#This Row],[data_wyjazdu]] - WYNAJEM3[[#This Row],[data_przyjazdu]]</f>
        <v>15</v>
      </c>
    </row>
    <row r="148" spans="1:6" x14ac:dyDescent="0.25">
      <c r="A148" s="1">
        <v>41677</v>
      </c>
      <c r="B148" s="1">
        <v>41702</v>
      </c>
      <c r="C148">
        <v>6.88</v>
      </c>
      <c r="D148">
        <v>0.18</v>
      </c>
      <c r="E148">
        <v>5</v>
      </c>
      <c r="F148">
        <f xml:space="preserve"> WYNAJEM3[[#This Row],[data_wyjazdu]] - WYNAJEM3[[#This Row],[data_przyjazdu]]</f>
        <v>25</v>
      </c>
    </row>
    <row r="149" spans="1:6" x14ac:dyDescent="0.25">
      <c r="A149" s="1">
        <v>41677</v>
      </c>
      <c r="B149" s="1">
        <v>41705</v>
      </c>
      <c r="C149">
        <v>2.72</v>
      </c>
      <c r="D149">
        <v>7.0000000000000007E-2</v>
      </c>
      <c r="E149">
        <v>6</v>
      </c>
      <c r="F149">
        <f xml:space="preserve"> WYNAJEM3[[#This Row],[data_wyjazdu]] - WYNAJEM3[[#This Row],[data_przyjazdu]]</f>
        <v>28</v>
      </c>
    </row>
    <row r="150" spans="1:6" x14ac:dyDescent="0.25">
      <c r="A150" s="1">
        <v>41677</v>
      </c>
      <c r="B150" s="1">
        <v>41686</v>
      </c>
      <c r="C150">
        <v>9.74</v>
      </c>
      <c r="D150">
        <v>0.26</v>
      </c>
      <c r="E150">
        <v>6</v>
      </c>
      <c r="F150">
        <f xml:space="preserve"> WYNAJEM3[[#This Row],[data_wyjazdu]] - WYNAJEM3[[#This Row],[data_przyjazdu]]</f>
        <v>9</v>
      </c>
    </row>
    <row r="151" spans="1:6" x14ac:dyDescent="0.25">
      <c r="A151" s="1">
        <v>41677</v>
      </c>
      <c r="B151" s="1">
        <v>41691</v>
      </c>
      <c r="C151">
        <v>7.31</v>
      </c>
      <c r="D151">
        <v>0.19</v>
      </c>
      <c r="E151">
        <v>3</v>
      </c>
      <c r="F151">
        <f xml:space="preserve"> WYNAJEM3[[#This Row],[data_wyjazdu]] - WYNAJEM3[[#This Row],[data_przyjazdu]]</f>
        <v>14</v>
      </c>
    </row>
    <row r="152" spans="1:6" x14ac:dyDescent="0.25">
      <c r="A152" s="1">
        <v>41677</v>
      </c>
      <c r="B152" s="1">
        <v>41704</v>
      </c>
      <c r="C152">
        <v>8.84</v>
      </c>
      <c r="D152">
        <v>0.23</v>
      </c>
      <c r="E152">
        <v>6</v>
      </c>
      <c r="F152">
        <f xml:space="preserve"> WYNAJEM3[[#This Row],[data_wyjazdu]] - WYNAJEM3[[#This Row],[data_przyjazdu]]</f>
        <v>27</v>
      </c>
    </row>
    <row r="153" spans="1:6" x14ac:dyDescent="0.25">
      <c r="A153" s="1">
        <v>41677</v>
      </c>
      <c r="B153" s="1">
        <v>41690</v>
      </c>
      <c r="C153">
        <v>13.07</v>
      </c>
      <c r="D153">
        <v>0.34</v>
      </c>
      <c r="E153">
        <v>2</v>
      </c>
      <c r="F153">
        <f xml:space="preserve"> WYNAJEM3[[#This Row],[data_wyjazdu]] - WYNAJEM3[[#This Row],[data_przyjazdu]]</f>
        <v>13</v>
      </c>
    </row>
    <row r="154" spans="1:6" x14ac:dyDescent="0.25">
      <c r="A154" s="1">
        <v>41677</v>
      </c>
      <c r="B154" s="1">
        <v>41690</v>
      </c>
      <c r="C154">
        <v>11.42</v>
      </c>
      <c r="D154">
        <v>0.3</v>
      </c>
      <c r="E154">
        <v>6</v>
      </c>
      <c r="F154">
        <f xml:space="preserve"> WYNAJEM3[[#This Row],[data_wyjazdu]] - WYNAJEM3[[#This Row],[data_przyjazdu]]</f>
        <v>13</v>
      </c>
    </row>
    <row r="155" spans="1:6" x14ac:dyDescent="0.25">
      <c r="A155" s="1">
        <v>41677</v>
      </c>
      <c r="B155" s="1">
        <v>41704</v>
      </c>
      <c r="C155">
        <v>3.79</v>
      </c>
      <c r="D155">
        <v>0.1</v>
      </c>
      <c r="E155">
        <v>3</v>
      </c>
      <c r="F155">
        <f xml:space="preserve"> WYNAJEM3[[#This Row],[data_wyjazdu]] - WYNAJEM3[[#This Row],[data_przyjazdu]]</f>
        <v>27</v>
      </c>
    </row>
    <row r="156" spans="1:6" x14ac:dyDescent="0.25">
      <c r="A156" s="1">
        <v>41677</v>
      </c>
      <c r="B156" s="1">
        <v>41682</v>
      </c>
      <c r="C156">
        <v>11.42</v>
      </c>
      <c r="D156">
        <v>0.3</v>
      </c>
      <c r="E156">
        <v>6</v>
      </c>
      <c r="F156">
        <f xml:space="preserve"> WYNAJEM3[[#This Row],[data_wyjazdu]] - WYNAJEM3[[#This Row],[data_przyjazdu]]</f>
        <v>5</v>
      </c>
    </row>
    <row r="157" spans="1:6" x14ac:dyDescent="0.25">
      <c r="A157" s="1">
        <v>41677</v>
      </c>
      <c r="B157" s="1">
        <v>41680</v>
      </c>
      <c r="C157">
        <v>8.83</v>
      </c>
      <c r="D157">
        <v>0.23</v>
      </c>
      <c r="E157">
        <v>4</v>
      </c>
      <c r="F157">
        <f xml:space="preserve"> WYNAJEM3[[#This Row],[data_wyjazdu]] - WYNAJEM3[[#This Row],[data_przyjazdu]]</f>
        <v>3</v>
      </c>
    </row>
    <row r="158" spans="1:6" x14ac:dyDescent="0.25">
      <c r="A158" s="1">
        <v>41677</v>
      </c>
      <c r="B158" s="1">
        <v>41690</v>
      </c>
      <c r="C158">
        <v>8.51</v>
      </c>
      <c r="D158">
        <v>0.22</v>
      </c>
      <c r="E158">
        <v>5</v>
      </c>
      <c r="F158">
        <f xml:space="preserve"> WYNAJEM3[[#This Row],[data_wyjazdu]] - WYNAJEM3[[#This Row],[data_przyjazdu]]</f>
        <v>13</v>
      </c>
    </row>
    <row r="159" spans="1:6" x14ac:dyDescent="0.25">
      <c r="A159" s="1">
        <v>41677</v>
      </c>
      <c r="B159" s="1">
        <v>41694</v>
      </c>
      <c r="C159">
        <v>7.3</v>
      </c>
      <c r="D159">
        <v>0.19</v>
      </c>
      <c r="E159">
        <v>5</v>
      </c>
      <c r="F159">
        <f xml:space="preserve"> WYNAJEM3[[#This Row],[data_wyjazdu]] - WYNAJEM3[[#This Row],[data_przyjazdu]]</f>
        <v>17</v>
      </c>
    </row>
    <row r="160" spans="1:6" x14ac:dyDescent="0.25">
      <c r="A160" s="1">
        <v>41680</v>
      </c>
      <c r="B160" s="1">
        <v>41692</v>
      </c>
      <c r="C160">
        <v>5.67</v>
      </c>
      <c r="D160">
        <v>0.15</v>
      </c>
      <c r="E160">
        <v>4</v>
      </c>
      <c r="F160">
        <f xml:space="preserve"> WYNAJEM3[[#This Row],[data_wyjazdu]] - WYNAJEM3[[#This Row],[data_przyjazdu]]</f>
        <v>12</v>
      </c>
    </row>
    <row r="161" spans="1:6" x14ac:dyDescent="0.25">
      <c r="A161" s="1">
        <v>41680</v>
      </c>
      <c r="B161" s="1">
        <v>41690</v>
      </c>
      <c r="C161">
        <v>6.58</v>
      </c>
      <c r="D161">
        <v>0.17</v>
      </c>
      <c r="E161">
        <v>3</v>
      </c>
      <c r="F161">
        <f xml:space="preserve"> WYNAJEM3[[#This Row],[data_wyjazdu]] - WYNAJEM3[[#This Row],[data_przyjazdu]]</f>
        <v>10</v>
      </c>
    </row>
    <row r="162" spans="1:6" x14ac:dyDescent="0.25">
      <c r="A162" s="1">
        <v>41680</v>
      </c>
      <c r="B162" s="1">
        <v>41699</v>
      </c>
      <c r="C162">
        <v>4.25</v>
      </c>
      <c r="D162">
        <v>0.11</v>
      </c>
      <c r="E162">
        <v>3</v>
      </c>
      <c r="F162">
        <f xml:space="preserve"> WYNAJEM3[[#This Row],[data_wyjazdu]] - WYNAJEM3[[#This Row],[data_przyjazdu]]</f>
        <v>19</v>
      </c>
    </row>
    <row r="163" spans="1:6" x14ac:dyDescent="0.25">
      <c r="A163" s="1">
        <v>41682</v>
      </c>
      <c r="B163" s="1">
        <v>41694</v>
      </c>
      <c r="C163">
        <v>6.58</v>
      </c>
      <c r="D163">
        <v>0.17</v>
      </c>
      <c r="E163">
        <v>6</v>
      </c>
      <c r="F163">
        <f xml:space="preserve"> WYNAJEM3[[#This Row],[data_wyjazdu]] - WYNAJEM3[[#This Row],[data_przyjazdu]]</f>
        <v>12</v>
      </c>
    </row>
    <row r="164" spans="1:6" x14ac:dyDescent="0.25">
      <c r="A164" s="1">
        <v>41684</v>
      </c>
      <c r="B164" s="1">
        <v>41704</v>
      </c>
      <c r="C164">
        <v>5.78</v>
      </c>
      <c r="D164">
        <v>0.15</v>
      </c>
      <c r="E164">
        <v>2</v>
      </c>
      <c r="F164">
        <f xml:space="preserve"> WYNAJEM3[[#This Row],[data_wyjazdu]] - WYNAJEM3[[#This Row],[data_przyjazdu]]</f>
        <v>20</v>
      </c>
    </row>
    <row r="165" spans="1:6" x14ac:dyDescent="0.25">
      <c r="A165" s="1">
        <v>41684</v>
      </c>
      <c r="B165" s="1">
        <v>41693</v>
      </c>
      <c r="C165">
        <v>10.199999999999999</v>
      </c>
      <c r="D165">
        <v>0.27</v>
      </c>
      <c r="E165">
        <v>5</v>
      </c>
      <c r="F165">
        <f xml:space="preserve"> WYNAJEM3[[#This Row],[data_wyjazdu]] - WYNAJEM3[[#This Row],[data_przyjazdu]]</f>
        <v>9</v>
      </c>
    </row>
    <row r="166" spans="1:6" x14ac:dyDescent="0.25">
      <c r="A166" s="1">
        <v>41684</v>
      </c>
      <c r="B166" s="1">
        <v>41692</v>
      </c>
      <c r="C166">
        <v>2.72</v>
      </c>
      <c r="D166">
        <v>7.0000000000000007E-2</v>
      </c>
      <c r="E166">
        <v>6</v>
      </c>
      <c r="F166">
        <f xml:space="preserve"> WYNAJEM3[[#This Row],[data_wyjazdu]] - WYNAJEM3[[#This Row],[data_przyjazdu]]</f>
        <v>8</v>
      </c>
    </row>
    <row r="167" spans="1:6" x14ac:dyDescent="0.25">
      <c r="A167" s="1">
        <v>41684</v>
      </c>
      <c r="B167" s="1">
        <v>41707</v>
      </c>
      <c r="C167">
        <v>11.44</v>
      </c>
      <c r="D167">
        <v>0.3</v>
      </c>
      <c r="E167">
        <v>6</v>
      </c>
      <c r="F167">
        <f xml:space="preserve"> WYNAJEM3[[#This Row],[data_wyjazdu]] - WYNAJEM3[[#This Row],[data_przyjazdu]]</f>
        <v>23</v>
      </c>
    </row>
    <row r="168" spans="1:6" x14ac:dyDescent="0.25">
      <c r="A168" s="1">
        <v>41684</v>
      </c>
      <c r="B168" s="1">
        <v>41712</v>
      </c>
      <c r="C168">
        <v>13.07</v>
      </c>
      <c r="D168">
        <v>0.34</v>
      </c>
      <c r="E168">
        <v>6</v>
      </c>
      <c r="F168">
        <f xml:space="preserve"> WYNAJEM3[[#This Row],[data_wyjazdu]] - WYNAJEM3[[#This Row],[data_przyjazdu]]</f>
        <v>28</v>
      </c>
    </row>
    <row r="169" spans="1:6" x14ac:dyDescent="0.25">
      <c r="A169" s="1">
        <v>41684</v>
      </c>
      <c r="B169" s="1">
        <v>41712</v>
      </c>
      <c r="C169">
        <v>7.35</v>
      </c>
      <c r="D169">
        <v>0.19</v>
      </c>
      <c r="E169">
        <v>4</v>
      </c>
      <c r="F169">
        <f xml:space="preserve"> WYNAJEM3[[#This Row],[data_wyjazdu]] - WYNAJEM3[[#This Row],[data_przyjazdu]]</f>
        <v>28</v>
      </c>
    </row>
    <row r="170" spans="1:6" x14ac:dyDescent="0.25">
      <c r="A170" s="1">
        <v>41685</v>
      </c>
      <c r="B170" s="1">
        <v>41712</v>
      </c>
      <c r="C170">
        <v>6.88</v>
      </c>
      <c r="D170">
        <v>0.18</v>
      </c>
      <c r="E170">
        <v>3</v>
      </c>
      <c r="F170">
        <f xml:space="preserve"> WYNAJEM3[[#This Row],[data_wyjazdu]] - WYNAJEM3[[#This Row],[data_przyjazdu]]</f>
        <v>27</v>
      </c>
    </row>
    <row r="171" spans="1:6" x14ac:dyDescent="0.25">
      <c r="A171" s="1">
        <v>41685</v>
      </c>
      <c r="B171" s="1">
        <v>41708</v>
      </c>
      <c r="C171">
        <v>9.06</v>
      </c>
      <c r="D171">
        <v>0.24</v>
      </c>
      <c r="E171">
        <v>2</v>
      </c>
      <c r="F171">
        <f xml:space="preserve"> WYNAJEM3[[#This Row],[data_wyjazdu]] - WYNAJEM3[[#This Row],[data_przyjazdu]]</f>
        <v>23</v>
      </c>
    </row>
    <row r="172" spans="1:6" x14ac:dyDescent="0.25">
      <c r="A172" s="1">
        <v>41689</v>
      </c>
      <c r="B172" s="1">
        <v>41708</v>
      </c>
      <c r="C172">
        <v>16.55</v>
      </c>
      <c r="D172">
        <v>0.44</v>
      </c>
      <c r="E172">
        <v>2</v>
      </c>
      <c r="F172">
        <f xml:space="preserve"> WYNAJEM3[[#This Row],[data_wyjazdu]] - WYNAJEM3[[#This Row],[data_przyjazdu]]</f>
        <v>19</v>
      </c>
    </row>
    <row r="173" spans="1:6" x14ac:dyDescent="0.25">
      <c r="A173" s="1">
        <v>41689</v>
      </c>
      <c r="B173" s="1">
        <v>41708</v>
      </c>
      <c r="C173">
        <v>8.83</v>
      </c>
      <c r="D173">
        <v>0.23</v>
      </c>
      <c r="E173">
        <v>3</v>
      </c>
      <c r="F173">
        <f xml:space="preserve"> WYNAJEM3[[#This Row],[data_wyjazdu]] - WYNAJEM3[[#This Row],[data_przyjazdu]]</f>
        <v>19</v>
      </c>
    </row>
    <row r="174" spans="1:6" x14ac:dyDescent="0.25">
      <c r="A174" s="1">
        <v>41689</v>
      </c>
      <c r="B174" s="1">
        <v>41696</v>
      </c>
      <c r="C174">
        <v>7.31</v>
      </c>
      <c r="D174">
        <v>0.19</v>
      </c>
      <c r="E174">
        <v>2</v>
      </c>
      <c r="F174">
        <f xml:space="preserve"> WYNAJEM3[[#This Row],[data_wyjazdu]] - WYNAJEM3[[#This Row],[data_przyjazdu]]</f>
        <v>7</v>
      </c>
    </row>
    <row r="175" spans="1:6" x14ac:dyDescent="0.25">
      <c r="A175" s="1">
        <v>41689</v>
      </c>
      <c r="B175" s="1">
        <v>41715</v>
      </c>
      <c r="C175">
        <v>14.31</v>
      </c>
      <c r="D175">
        <v>0.38</v>
      </c>
      <c r="E175">
        <v>5</v>
      </c>
      <c r="F175">
        <f xml:space="preserve"> WYNAJEM3[[#This Row],[data_wyjazdu]] - WYNAJEM3[[#This Row],[data_przyjazdu]]</f>
        <v>26</v>
      </c>
    </row>
    <row r="176" spans="1:6" x14ac:dyDescent="0.25">
      <c r="A176" s="1">
        <v>41689</v>
      </c>
      <c r="B176" s="1">
        <v>41691</v>
      </c>
      <c r="C176">
        <v>11.42</v>
      </c>
      <c r="D176">
        <v>0.3</v>
      </c>
      <c r="E176">
        <v>5</v>
      </c>
      <c r="F176">
        <f xml:space="preserve"> WYNAJEM3[[#This Row],[data_wyjazdu]] - WYNAJEM3[[#This Row],[data_przyjazdu]]</f>
        <v>2</v>
      </c>
    </row>
    <row r="177" spans="1:6" x14ac:dyDescent="0.25">
      <c r="A177" s="1">
        <v>41689</v>
      </c>
      <c r="B177" s="1">
        <v>41700</v>
      </c>
      <c r="C177">
        <v>8.5399999999999991</v>
      </c>
      <c r="D177">
        <v>0.22</v>
      </c>
      <c r="E177">
        <v>3</v>
      </c>
      <c r="F177">
        <f xml:space="preserve"> WYNAJEM3[[#This Row],[data_wyjazdu]] - WYNAJEM3[[#This Row],[data_przyjazdu]]</f>
        <v>11</v>
      </c>
    </row>
    <row r="178" spans="1:6" x14ac:dyDescent="0.25">
      <c r="A178" s="1">
        <v>41689</v>
      </c>
      <c r="B178" s="1">
        <v>41717</v>
      </c>
      <c r="C178">
        <v>5.57</v>
      </c>
      <c r="D178">
        <v>0.15</v>
      </c>
      <c r="E178">
        <v>4</v>
      </c>
      <c r="F178">
        <f xml:space="preserve"> WYNAJEM3[[#This Row],[data_wyjazdu]] - WYNAJEM3[[#This Row],[data_przyjazdu]]</f>
        <v>28</v>
      </c>
    </row>
    <row r="179" spans="1:6" x14ac:dyDescent="0.25">
      <c r="A179" s="1">
        <v>41689</v>
      </c>
      <c r="B179" s="1">
        <v>41717</v>
      </c>
      <c r="C179">
        <v>7.55</v>
      </c>
      <c r="D179">
        <v>0.2</v>
      </c>
      <c r="E179">
        <v>4</v>
      </c>
      <c r="F179">
        <f xml:space="preserve"> WYNAJEM3[[#This Row],[data_wyjazdu]] - WYNAJEM3[[#This Row],[data_przyjazdu]]</f>
        <v>28</v>
      </c>
    </row>
    <row r="180" spans="1:6" x14ac:dyDescent="0.25">
      <c r="A180" s="1">
        <v>41689</v>
      </c>
      <c r="B180" s="1">
        <v>41707</v>
      </c>
      <c r="C180">
        <v>10.79</v>
      </c>
      <c r="D180">
        <v>0.28000000000000003</v>
      </c>
      <c r="E180">
        <v>6</v>
      </c>
      <c r="F180">
        <f xml:space="preserve"> WYNAJEM3[[#This Row],[data_wyjazdu]] - WYNAJEM3[[#This Row],[data_przyjazdu]]</f>
        <v>18</v>
      </c>
    </row>
    <row r="181" spans="1:6" x14ac:dyDescent="0.25">
      <c r="A181" s="1">
        <v>41689</v>
      </c>
      <c r="B181" s="1">
        <v>41706</v>
      </c>
      <c r="C181">
        <v>8.39</v>
      </c>
      <c r="D181">
        <v>0.22</v>
      </c>
      <c r="E181">
        <v>2</v>
      </c>
      <c r="F181">
        <f xml:space="preserve"> WYNAJEM3[[#This Row],[data_wyjazdu]] - WYNAJEM3[[#This Row],[data_przyjazdu]]</f>
        <v>17</v>
      </c>
    </row>
    <row r="182" spans="1:6" x14ac:dyDescent="0.25">
      <c r="A182" s="1">
        <v>41689</v>
      </c>
      <c r="B182" s="1">
        <v>41711</v>
      </c>
      <c r="C182">
        <v>9.06</v>
      </c>
      <c r="D182">
        <v>0.24</v>
      </c>
      <c r="E182">
        <v>6</v>
      </c>
      <c r="F182">
        <f xml:space="preserve"> WYNAJEM3[[#This Row],[data_wyjazdu]] - WYNAJEM3[[#This Row],[data_przyjazdu]]</f>
        <v>22</v>
      </c>
    </row>
    <row r="183" spans="1:6" x14ac:dyDescent="0.25">
      <c r="A183" s="1">
        <v>41689</v>
      </c>
      <c r="B183" s="1">
        <v>41700</v>
      </c>
      <c r="C183">
        <v>16.940000000000001</v>
      </c>
      <c r="D183">
        <v>0.45</v>
      </c>
      <c r="E183">
        <v>3</v>
      </c>
      <c r="F183">
        <f xml:space="preserve"> WYNAJEM3[[#This Row],[data_wyjazdu]] - WYNAJEM3[[#This Row],[data_przyjazdu]]</f>
        <v>11</v>
      </c>
    </row>
    <row r="184" spans="1:6" x14ac:dyDescent="0.25">
      <c r="A184" s="1">
        <v>41689</v>
      </c>
      <c r="B184" s="1">
        <v>41708</v>
      </c>
      <c r="C184">
        <v>11.37</v>
      </c>
      <c r="D184">
        <v>0.3</v>
      </c>
      <c r="E184">
        <v>4</v>
      </c>
      <c r="F184">
        <f xml:space="preserve"> WYNAJEM3[[#This Row],[data_wyjazdu]] - WYNAJEM3[[#This Row],[data_przyjazdu]]</f>
        <v>19</v>
      </c>
    </row>
    <row r="185" spans="1:6" x14ac:dyDescent="0.25">
      <c r="A185" s="1">
        <v>41689</v>
      </c>
      <c r="B185" s="1">
        <v>41699</v>
      </c>
      <c r="C185">
        <v>4.25</v>
      </c>
      <c r="D185">
        <v>0.11</v>
      </c>
      <c r="E185">
        <v>5</v>
      </c>
      <c r="F185">
        <f xml:space="preserve"> WYNAJEM3[[#This Row],[data_wyjazdu]] - WYNAJEM3[[#This Row],[data_przyjazdu]]</f>
        <v>10</v>
      </c>
    </row>
    <row r="186" spans="1:6" x14ac:dyDescent="0.25">
      <c r="A186" s="1">
        <v>41689</v>
      </c>
      <c r="B186" s="1">
        <v>41710</v>
      </c>
      <c r="C186">
        <v>11.42</v>
      </c>
      <c r="D186">
        <v>0.3</v>
      </c>
      <c r="E186">
        <v>4</v>
      </c>
      <c r="F186">
        <f xml:space="preserve"> WYNAJEM3[[#This Row],[data_wyjazdu]] - WYNAJEM3[[#This Row],[data_przyjazdu]]</f>
        <v>21</v>
      </c>
    </row>
    <row r="187" spans="1:6" x14ac:dyDescent="0.25">
      <c r="A187" s="1">
        <v>41689</v>
      </c>
      <c r="B187" s="1">
        <v>41711</v>
      </c>
      <c r="C187">
        <v>3.79</v>
      </c>
      <c r="D187">
        <v>0.1</v>
      </c>
      <c r="E187">
        <v>3</v>
      </c>
      <c r="F187">
        <f xml:space="preserve"> WYNAJEM3[[#This Row],[data_wyjazdu]] - WYNAJEM3[[#This Row],[data_przyjazdu]]</f>
        <v>22</v>
      </c>
    </row>
    <row r="188" spans="1:6" x14ac:dyDescent="0.25">
      <c r="A188" s="1">
        <v>41689</v>
      </c>
      <c r="B188" s="1">
        <v>41712</v>
      </c>
      <c r="C188">
        <v>10.59</v>
      </c>
      <c r="D188">
        <v>0.28000000000000003</v>
      </c>
      <c r="E188">
        <v>4</v>
      </c>
      <c r="F188">
        <f xml:space="preserve"> WYNAJEM3[[#This Row],[data_wyjazdu]] - WYNAJEM3[[#This Row],[data_przyjazdu]]</f>
        <v>23</v>
      </c>
    </row>
    <row r="189" spans="1:6" x14ac:dyDescent="0.25">
      <c r="A189" s="1">
        <v>41689</v>
      </c>
      <c r="B189" s="1">
        <v>41705</v>
      </c>
      <c r="C189">
        <v>8.9499999999999993</v>
      </c>
      <c r="D189">
        <v>0.24</v>
      </c>
      <c r="E189">
        <v>2</v>
      </c>
      <c r="F189">
        <f xml:space="preserve"> WYNAJEM3[[#This Row],[data_wyjazdu]] - WYNAJEM3[[#This Row],[data_przyjazdu]]</f>
        <v>16</v>
      </c>
    </row>
    <row r="190" spans="1:6" x14ac:dyDescent="0.25">
      <c r="A190" s="1">
        <v>41689</v>
      </c>
      <c r="B190" s="1">
        <v>41693</v>
      </c>
      <c r="C190">
        <v>4.66</v>
      </c>
      <c r="D190">
        <v>0.12</v>
      </c>
      <c r="E190">
        <v>5</v>
      </c>
      <c r="F190">
        <f xml:space="preserve"> WYNAJEM3[[#This Row],[data_wyjazdu]] - WYNAJEM3[[#This Row],[data_przyjazdu]]</f>
        <v>4</v>
      </c>
    </row>
    <row r="191" spans="1:6" x14ac:dyDescent="0.25">
      <c r="A191" s="1">
        <v>41689</v>
      </c>
      <c r="B191" s="1">
        <v>41707</v>
      </c>
      <c r="C191">
        <v>6.88</v>
      </c>
      <c r="D191">
        <v>0.18</v>
      </c>
      <c r="E191">
        <v>5</v>
      </c>
      <c r="F191">
        <f xml:space="preserve"> WYNAJEM3[[#This Row],[data_wyjazdu]] - WYNAJEM3[[#This Row],[data_przyjazdu]]</f>
        <v>18</v>
      </c>
    </row>
    <row r="192" spans="1:6" x14ac:dyDescent="0.25">
      <c r="A192" s="1">
        <v>41692</v>
      </c>
      <c r="B192" s="1">
        <v>41706</v>
      </c>
      <c r="C192">
        <v>8.7200000000000006</v>
      </c>
      <c r="D192">
        <v>0.23</v>
      </c>
      <c r="E192">
        <v>4</v>
      </c>
      <c r="F192">
        <f xml:space="preserve"> WYNAJEM3[[#This Row],[data_wyjazdu]] - WYNAJEM3[[#This Row],[data_przyjazdu]]</f>
        <v>14</v>
      </c>
    </row>
    <row r="193" spans="1:6" x14ac:dyDescent="0.25">
      <c r="A193" s="1">
        <v>41696</v>
      </c>
      <c r="B193" s="1">
        <v>41698</v>
      </c>
      <c r="C193">
        <v>12.23</v>
      </c>
      <c r="D193">
        <v>0.32</v>
      </c>
      <c r="E193">
        <v>2</v>
      </c>
      <c r="F193">
        <f xml:space="preserve"> WYNAJEM3[[#This Row],[data_wyjazdu]] - WYNAJEM3[[#This Row],[data_przyjazdu]]</f>
        <v>2</v>
      </c>
    </row>
    <row r="194" spans="1:6" x14ac:dyDescent="0.25">
      <c r="A194" s="1">
        <v>41696</v>
      </c>
      <c r="B194" s="1">
        <v>41708</v>
      </c>
      <c r="C194">
        <v>10.199999999999999</v>
      </c>
      <c r="D194">
        <v>0.27</v>
      </c>
      <c r="E194">
        <v>4</v>
      </c>
      <c r="F194">
        <f xml:space="preserve"> WYNAJEM3[[#This Row],[data_wyjazdu]] - WYNAJEM3[[#This Row],[data_przyjazdu]]</f>
        <v>12</v>
      </c>
    </row>
    <row r="195" spans="1:6" x14ac:dyDescent="0.25">
      <c r="A195" s="1">
        <v>41696</v>
      </c>
      <c r="B195" s="1">
        <v>41703</v>
      </c>
      <c r="C195">
        <v>7.06</v>
      </c>
      <c r="D195">
        <v>0.19</v>
      </c>
      <c r="E195">
        <v>5</v>
      </c>
      <c r="F195">
        <f xml:space="preserve"> WYNAJEM3[[#This Row],[data_wyjazdu]] - WYNAJEM3[[#This Row],[data_przyjazdu]]</f>
        <v>7</v>
      </c>
    </row>
    <row r="196" spans="1:6" x14ac:dyDescent="0.25">
      <c r="A196" s="1">
        <v>41696</v>
      </c>
      <c r="B196" s="1">
        <v>41716</v>
      </c>
      <c r="C196">
        <v>5.64</v>
      </c>
      <c r="D196">
        <v>0.15</v>
      </c>
      <c r="E196">
        <v>6</v>
      </c>
      <c r="F196">
        <f xml:space="preserve"> WYNAJEM3[[#This Row],[data_wyjazdu]] - WYNAJEM3[[#This Row],[data_przyjazdu]]</f>
        <v>20</v>
      </c>
    </row>
    <row r="197" spans="1:6" x14ac:dyDescent="0.25">
      <c r="A197" s="1">
        <v>41696</v>
      </c>
      <c r="B197" s="1">
        <v>41721</v>
      </c>
      <c r="C197">
        <v>9.06</v>
      </c>
      <c r="D197">
        <v>0.24</v>
      </c>
      <c r="E197">
        <v>4</v>
      </c>
      <c r="F197">
        <f xml:space="preserve"> WYNAJEM3[[#This Row],[data_wyjazdu]] - WYNAJEM3[[#This Row],[data_przyjazdu]]</f>
        <v>25</v>
      </c>
    </row>
    <row r="198" spans="1:6" x14ac:dyDescent="0.25">
      <c r="A198" s="1">
        <v>41696</v>
      </c>
      <c r="B198" s="1">
        <v>41717</v>
      </c>
      <c r="C198">
        <v>6.23</v>
      </c>
      <c r="D198">
        <v>0.16</v>
      </c>
      <c r="E198">
        <v>2</v>
      </c>
      <c r="F198">
        <f xml:space="preserve"> WYNAJEM3[[#This Row],[data_wyjazdu]] - WYNAJEM3[[#This Row],[data_przyjazdu]]</f>
        <v>21</v>
      </c>
    </row>
    <row r="199" spans="1:6" x14ac:dyDescent="0.25">
      <c r="A199" s="1">
        <v>41698</v>
      </c>
      <c r="B199" s="1">
        <v>41721</v>
      </c>
      <c r="C199">
        <v>3.57</v>
      </c>
      <c r="D199">
        <v>0.09</v>
      </c>
      <c r="E199">
        <v>4</v>
      </c>
      <c r="F199">
        <f xml:space="preserve"> WYNAJEM3[[#This Row],[data_wyjazdu]] - WYNAJEM3[[#This Row],[data_przyjazdu]]</f>
        <v>23</v>
      </c>
    </row>
    <row r="200" spans="1:6" x14ac:dyDescent="0.25">
      <c r="A200" s="1">
        <v>41701</v>
      </c>
      <c r="B200" s="1">
        <v>41714</v>
      </c>
      <c r="C200">
        <v>8.89</v>
      </c>
      <c r="D200">
        <v>0.23</v>
      </c>
      <c r="E200">
        <v>3</v>
      </c>
      <c r="F200">
        <f xml:space="preserve"> WYNAJEM3[[#This Row],[data_wyjazdu]] - WYNAJEM3[[#This Row],[data_przyjazdu]]</f>
        <v>13</v>
      </c>
    </row>
    <row r="201" spans="1:6" x14ac:dyDescent="0.25">
      <c r="A201" s="1">
        <v>41701</v>
      </c>
      <c r="B201" s="1">
        <v>41726</v>
      </c>
      <c r="C201">
        <v>6.34</v>
      </c>
      <c r="D201">
        <v>0.17</v>
      </c>
      <c r="E201">
        <v>5</v>
      </c>
      <c r="F201">
        <f xml:space="preserve"> WYNAJEM3[[#This Row],[data_wyjazdu]] - WYNAJEM3[[#This Row],[data_przyjazdu]]</f>
        <v>25</v>
      </c>
    </row>
    <row r="202" spans="1:6" x14ac:dyDescent="0.25">
      <c r="A202" s="1">
        <v>41701</v>
      </c>
      <c r="B202" s="1">
        <v>41717</v>
      </c>
      <c r="C202">
        <v>11.69</v>
      </c>
      <c r="D202">
        <v>0.31</v>
      </c>
      <c r="E202">
        <v>6</v>
      </c>
      <c r="F202">
        <f xml:space="preserve"> WYNAJEM3[[#This Row],[data_wyjazdu]] - WYNAJEM3[[#This Row],[data_przyjazdu]]</f>
        <v>16</v>
      </c>
    </row>
    <row r="203" spans="1:6" x14ac:dyDescent="0.25">
      <c r="A203" s="1">
        <v>41701</v>
      </c>
      <c r="B203" s="1">
        <v>41712</v>
      </c>
      <c r="C203">
        <v>3.79</v>
      </c>
      <c r="D203">
        <v>0.1</v>
      </c>
      <c r="E203">
        <v>4</v>
      </c>
      <c r="F203">
        <f xml:space="preserve"> WYNAJEM3[[#This Row],[data_wyjazdu]] - WYNAJEM3[[#This Row],[data_przyjazdu]]</f>
        <v>11</v>
      </c>
    </row>
    <row r="204" spans="1:6" x14ac:dyDescent="0.25">
      <c r="A204" s="1">
        <v>41701</v>
      </c>
      <c r="B204" s="1">
        <v>41726</v>
      </c>
      <c r="C204">
        <v>9.1300000000000008</v>
      </c>
      <c r="D204">
        <v>0.24</v>
      </c>
      <c r="E204">
        <v>2</v>
      </c>
      <c r="F204">
        <f xml:space="preserve"> WYNAJEM3[[#This Row],[data_wyjazdu]] - WYNAJEM3[[#This Row],[data_przyjazdu]]</f>
        <v>25</v>
      </c>
    </row>
    <row r="205" spans="1:6" x14ac:dyDescent="0.25">
      <c r="A205" s="1">
        <v>41701</v>
      </c>
      <c r="B205" s="1">
        <v>41722</v>
      </c>
      <c r="C205">
        <v>5.78</v>
      </c>
      <c r="D205">
        <v>0.15</v>
      </c>
      <c r="E205">
        <v>6</v>
      </c>
      <c r="F205">
        <f xml:space="preserve"> WYNAJEM3[[#This Row],[data_wyjazdu]] - WYNAJEM3[[#This Row],[data_przyjazdu]]</f>
        <v>21</v>
      </c>
    </row>
    <row r="206" spans="1:6" x14ac:dyDescent="0.25">
      <c r="A206" s="1">
        <v>41701</v>
      </c>
      <c r="B206" s="1">
        <v>41719</v>
      </c>
      <c r="C206">
        <v>7.06</v>
      </c>
      <c r="D206">
        <v>0.19</v>
      </c>
      <c r="E206">
        <v>6</v>
      </c>
      <c r="F206">
        <f xml:space="preserve"> WYNAJEM3[[#This Row],[data_wyjazdu]] - WYNAJEM3[[#This Row],[data_przyjazdu]]</f>
        <v>18</v>
      </c>
    </row>
    <row r="207" spans="1:6" x14ac:dyDescent="0.25">
      <c r="A207" s="1">
        <v>41701</v>
      </c>
      <c r="B207" s="1">
        <v>41712</v>
      </c>
      <c r="C207">
        <v>7.31</v>
      </c>
      <c r="D207">
        <v>0.19</v>
      </c>
      <c r="E207">
        <v>4</v>
      </c>
      <c r="F207">
        <f xml:space="preserve"> WYNAJEM3[[#This Row],[data_wyjazdu]] - WYNAJEM3[[#This Row],[data_przyjazdu]]</f>
        <v>11</v>
      </c>
    </row>
    <row r="208" spans="1:6" x14ac:dyDescent="0.25">
      <c r="A208" s="1">
        <v>41701</v>
      </c>
      <c r="B208" s="1">
        <v>41711</v>
      </c>
      <c r="C208">
        <v>8.9499999999999993</v>
      </c>
      <c r="D208">
        <v>0.24</v>
      </c>
      <c r="E208">
        <v>4</v>
      </c>
      <c r="F208">
        <f xml:space="preserve"> WYNAJEM3[[#This Row],[data_wyjazdu]] - WYNAJEM3[[#This Row],[data_przyjazdu]]</f>
        <v>10</v>
      </c>
    </row>
    <row r="209" spans="1:6" x14ac:dyDescent="0.25">
      <c r="A209" s="1">
        <v>41701</v>
      </c>
      <c r="B209" s="1">
        <v>41719</v>
      </c>
      <c r="C209">
        <v>2.0099999999999998</v>
      </c>
      <c r="D209">
        <v>0.05</v>
      </c>
      <c r="E209">
        <v>5</v>
      </c>
      <c r="F209">
        <f xml:space="preserve"> WYNAJEM3[[#This Row],[data_wyjazdu]] - WYNAJEM3[[#This Row],[data_przyjazdu]]</f>
        <v>18</v>
      </c>
    </row>
    <row r="210" spans="1:6" x14ac:dyDescent="0.25">
      <c r="A210" s="1">
        <v>41701</v>
      </c>
      <c r="B210" s="1">
        <v>41705</v>
      </c>
      <c r="C210">
        <v>19.54</v>
      </c>
      <c r="D210">
        <v>0.51</v>
      </c>
      <c r="E210">
        <v>3</v>
      </c>
      <c r="F210">
        <f xml:space="preserve"> WYNAJEM3[[#This Row],[data_wyjazdu]] - WYNAJEM3[[#This Row],[data_przyjazdu]]</f>
        <v>4</v>
      </c>
    </row>
    <row r="211" spans="1:6" x14ac:dyDescent="0.25">
      <c r="A211" s="1">
        <v>41701</v>
      </c>
      <c r="B211" s="1">
        <v>41718</v>
      </c>
      <c r="C211">
        <v>13.02</v>
      </c>
      <c r="D211">
        <v>0.34</v>
      </c>
      <c r="E211">
        <v>5</v>
      </c>
      <c r="F211">
        <f xml:space="preserve"> WYNAJEM3[[#This Row],[data_wyjazdu]] - WYNAJEM3[[#This Row],[data_przyjazdu]]</f>
        <v>17</v>
      </c>
    </row>
    <row r="212" spans="1:6" x14ac:dyDescent="0.25">
      <c r="A212" s="1">
        <v>41701</v>
      </c>
      <c r="B212" s="1">
        <v>41720</v>
      </c>
      <c r="C212">
        <v>11.69</v>
      </c>
      <c r="D212">
        <v>0.31</v>
      </c>
      <c r="E212">
        <v>6</v>
      </c>
      <c r="F212">
        <f xml:space="preserve"> WYNAJEM3[[#This Row],[data_wyjazdu]] - WYNAJEM3[[#This Row],[data_przyjazdu]]</f>
        <v>19</v>
      </c>
    </row>
    <row r="213" spans="1:6" x14ac:dyDescent="0.25">
      <c r="A213" s="1">
        <v>41701</v>
      </c>
      <c r="B213" s="1">
        <v>41729</v>
      </c>
      <c r="C213">
        <v>13.02</v>
      </c>
      <c r="D213">
        <v>0.34</v>
      </c>
      <c r="E213">
        <v>2</v>
      </c>
      <c r="F213">
        <f xml:space="preserve"> WYNAJEM3[[#This Row],[data_wyjazdu]] - WYNAJEM3[[#This Row],[data_przyjazdu]]</f>
        <v>28</v>
      </c>
    </row>
    <row r="214" spans="1:6" x14ac:dyDescent="0.25">
      <c r="A214" s="1">
        <v>41701</v>
      </c>
      <c r="B214" s="1">
        <v>41713</v>
      </c>
      <c r="C214">
        <v>3.57</v>
      </c>
      <c r="D214">
        <v>0.09</v>
      </c>
      <c r="E214">
        <v>3</v>
      </c>
      <c r="F214">
        <f xml:space="preserve"> WYNAJEM3[[#This Row],[data_wyjazdu]] - WYNAJEM3[[#This Row],[data_przyjazdu]]</f>
        <v>12</v>
      </c>
    </row>
    <row r="215" spans="1:6" x14ac:dyDescent="0.25">
      <c r="A215" s="1">
        <v>41701</v>
      </c>
      <c r="B215" s="1">
        <v>41708</v>
      </c>
      <c r="C215">
        <v>7.06</v>
      </c>
      <c r="D215">
        <v>0.19</v>
      </c>
      <c r="E215">
        <v>3</v>
      </c>
      <c r="F215">
        <f xml:space="preserve"> WYNAJEM3[[#This Row],[data_wyjazdu]] - WYNAJEM3[[#This Row],[data_przyjazdu]]</f>
        <v>7</v>
      </c>
    </row>
    <row r="216" spans="1:6" x14ac:dyDescent="0.25">
      <c r="A216" s="1">
        <v>41704</v>
      </c>
      <c r="B216" s="1">
        <v>41717</v>
      </c>
      <c r="C216">
        <v>6.34</v>
      </c>
      <c r="D216">
        <v>0.17</v>
      </c>
      <c r="E216">
        <v>3</v>
      </c>
      <c r="F216">
        <f xml:space="preserve"> WYNAJEM3[[#This Row],[data_wyjazdu]] - WYNAJEM3[[#This Row],[data_przyjazdu]]</f>
        <v>13</v>
      </c>
    </row>
    <row r="217" spans="1:6" x14ac:dyDescent="0.25">
      <c r="A217" s="1">
        <v>41704</v>
      </c>
      <c r="B217" s="1">
        <v>41718</v>
      </c>
      <c r="C217">
        <v>2.72</v>
      </c>
      <c r="D217">
        <v>7.0000000000000007E-2</v>
      </c>
      <c r="E217">
        <v>2</v>
      </c>
      <c r="F217">
        <f xml:space="preserve"> WYNAJEM3[[#This Row],[data_wyjazdu]] - WYNAJEM3[[#This Row],[data_przyjazdu]]</f>
        <v>14</v>
      </c>
    </row>
    <row r="218" spans="1:6" x14ac:dyDescent="0.25">
      <c r="A218" s="1">
        <v>41705</v>
      </c>
      <c r="B218" s="1">
        <v>41710</v>
      </c>
      <c r="C218">
        <v>3.73</v>
      </c>
      <c r="D218">
        <v>0.1</v>
      </c>
      <c r="E218">
        <v>5</v>
      </c>
      <c r="F218">
        <f xml:space="preserve"> WYNAJEM3[[#This Row],[data_wyjazdu]] - WYNAJEM3[[#This Row],[data_przyjazdu]]</f>
        <v>5</v>
      </c>
    </row>
    <row r="219" spans="1:6" x14ac:dyDescent="0.25">
      <c r="A219" s="1">
        <v>41707</v>
      </c>
      <c r="B219" s="1">
        <v>41719</v>
      </c>
      <c r="C219">
        <v>10.59</v>
      </c>
      <c r="D219">
        <v>0.28000000000000003</v>
      </c>
      <c r="E219">
        <v>6</v>
      </c>
      <c r="F219">
        <f xml:space="preserve"> WYNAJEM3[[#This Row],[data_wyjazdu]] - WYNAJEM3[[#This Row],[data_przyjazdu]]</f>
        <v>12</v>
      </c>
    </row>
    <row r="220" spans="1:6" x14ac:dyDescent="0.25">
      <c r="A220" s="1">
        <v>41708</v>
      </c>
      <c r="B220" s="1">
        <v>41733</v>
      </c>
      <c r="C220">
        <v>3.73</v>
      </c>
      <c r="D220">
        <v>0.1</v>
      </c>
      <c r="E220">
        <v>5</v>
      </c>
      <c r="F220">
        <f xml:space="preserve"> WYNAJEM3[[#This Row],[data_wyjazdu]] - WYNAJEM3[[#This Row],[data_przyjazdu]]</f>
        <v>25</v>
      </c>
    </row>
    <row r="221" spans="1:6" x14ac:dyDescent="0.25">
      <c r="A221" s="1">
        <v>41708</v>
      </c>
      <c r="B221" s="1">
        <v>41720</v>
      </c>
      <c r="C221">
        <v>5.78</v>
      </c>
      <c r="D221">
        <v>0.15</v>
      </c>
      <c r="E221">
        <v>2</v>
      </c>
      <c r="F221">
        <f xml:space="preserve"> WYNAJEM3[[#This Row],[data_wyjazdu]] - WYNAJEM3[[#This Row],[data_przyjazdu]]</f>
        <v>12</v>
      </c>
    </row>
    <row r="222" spans="1:6" x14ac:dyDescent="0.25">
      <c r="A222" s="1">
        <v>41708</v>
      </c>
      <c r="B222" s="1">
        <v>41720</v>
      </c>
      <c r="C222">
        <v>10.79</v>
      </c>
      <c r="D222">
        <v>0.28000000000000003</v>
      </c>
      <c r="E222">
        <v>2</v>
      </c>
      <c r="F222">
        <f xml:space="preserve"> WYNAJEM3[[#This Row],[data_wyjazdu]] - WYNAJEM3[[#This Row],[data_przyjazdu]]</f>
        <v>12</v>
      </c>
    </row>
    <row r="223" spans="1:6" x14ac:dyDescent="0.25">
      <c r="A223" s="1">
        <v>41708</v>
      </c>
      <c r="B223" s="1">
        <v>41726</v>
      </c>
      <c r="C223">
        <v>5.47</v>
      </c>
      <c r="D223">
        <v>0.14000000000000001</v>
      </c>
      <c r="E223">
        <v>4</v>
      </c>
      <c r="F223">
        <f xml:space="preserve"> WYNAJEM3[[#This Row],[data_wyjazdu]] - WYNAJEM3[[#This Row],[data_przyjazdu]]</f>
        <v>18</v>
      </c>
    </row>
    <row r="224" spans="1:6" x14ac:dyDescent="0.25">
      <c r="A224" s="1">
        <v>41708</v>
      </c>
      <c r="B224" s="1">
        <v>41720</v>
      </c>
      <c r="C224">
        <v>5.57</v>
      </c>
      <c r="D224">
        <v>0.15</v>
      </c>
      <c r="E224">
        <v>2</v>
      </c>
      <c r="F224">
        <f xml:space="preserve"> WYNAJEM3[[#This Row],[data_wyjazdu]] - WYNAJEM3[[#This Row],[data_przyjazdu]]</f>
        <v>12</v>
      </c>
    </row>
    <row r="225" spans="1:6" x14ac:dyDescent="0.25">
      <c r="A225" s="1">
        <v>41709</v>
      </c>
      <c r="B225" s="1">
        <v>41736</v>
      </c>
      <c r="C225">
        <v>4.66</v>
      </c>
      <c r="D225">
        <v>0.12</v>
      </c>
      <c r="E225">
        <v>5</v>
      </c>
      <c r="F225">
        <f xml:space="preserve"> WYNAJEM3[[#This Row],[data_wyjazdu]] - WYNAJEM3[[#This Row],[data_przyjazdu]]</f>
        <v>27</v>
      </c>
    </row>
    <row r="226" spans="1:6" x14ac:dyDescent="0.25">
      <c r="A226" s="1">
        <v>41709</v>
      </c>
      <c r="B226" s="1">
        <v>41731</v>
      </c>
      <c r="C226">
        <v>8.9499999999999993</v>
      </c>
      <c r="D226">
        <v>0.24</v>
      </c>
      <c r="E226">
        <v>4</v>
      </c>
      <c r="F226">
        <f xml:space="preserve"> WYNAJEM3[[#This Row],[data_wyjazdu]] - WYNAJEM3[[#This Row],[data_przyjazdu]]</f>
        <v>22</v>
      </c>
    </row>
    <row r="227" spans="1:6" x14ac:dyDescent="0.25">
      <c r="A227" s="1">
        <v>41710</v>
      </c>
      <c r="B227" s="1">
        <v>41719</v>
      </c>
      <c r="C227">
        <v>3.94</v>
      </c>
      <c r="D227">
        <v>0.1</v>
      </c>
      <c r="E227">
        <v>3</v>
      </c>
      <c r="F227">
        <f xml:space="preserve"> WYNAJEM3[[#This Row],[data_wyjazdu]] - WYNAJEM3[[#This Row],[data_przyjazdu]]</f>
        <v>9</v>
      </c>
    </row>
    <row r="228" spans="1:6" x14ac:dyDescent="0.25">
      <c r="A228" s="1">
        <v>41713</v>
      </c>
      <c r="B228" s="1">
        <v>41724</v>
      </c>
      <c r="C228">
        <v>5.78</v>
      </c>
      <c r="D228">
        <v>0.15</v>
      </c>
      <c r="E228">
        <v>6</v>
      </c>
      <c r="F228">
        <f xml:space="preserve"> WYNAJEM3[[#This Row],[data_wyjazdu]] - WYNAJEM3[[#This Row],[data_przyjazdu]]</f>
        <v>11</v>
      </c>
    </row>
    <row r="229" spans="1:6" x14ac:dyDescent="0.25">
      <c r="A229" s="1">
        <v>41713</v>
      </c>
      <c r="B229" s="1">
        <v>41735</v>
      </c>
      <c r="C229">
        <v>13.81</v>
      </c>
      <c r="D229">
        <v>0.36</v>
      </c>
      <c r="E229">
        <v>2</v>
      </c>
      <c r="F229">
        <f xml:space="preserve"> WYNAJEM3[[#This Row],[data_wyjazdu]] - WYNAJEM3[[#This Row],[data_przyjazdu]]</f>
        <v>22</v>
      </c>
    </row>
    <row r="230" spans="1:6" x14ac:dyDescent="0.25">
      <c r="A230" s="1">
        <v>41713</v>
      </c>
      <c r="B230" s="1">
        <v>41739</v>
      </c>
      <c r="C230">
        <v>5.23</v>
      </c>
      <c r="D230">
        <v>0.14000000000000001</v>
      </c>
      <c r="E230">
        <v>6</v>
      </c>
      <c r="F230">
        <f xml:space="preserve"> WYNAJEM3[[#This Row],[data_wyjazdu]] - WYNAJEM3[[#This Row],[data_przyjazdu]]</f>
        <v>26</v>
      </c>
    </row>
    <row r="231" spans="1:6" x14ac:dyDescent="0.25">
      <c r="A231" s="1">
        <v>41713</v>
      </c>
      <c r="B231" s="1">
        <v>41728</v>
      </c>
      <c r="C231">
        <v>10.93</v>
      </c>
      <c r="D231">
        <v>0.28999999999999998</v>
      </c>
      <c r="E231">
        <v>6</v>
      </c>
      <c r="F231">
        <f xml:space="preserve"> WYNAJEM3[[#This Row],[data_wyjazdu]] - WYNAJEM3[[#This Row],[data_przyjazdu]]</f>
        <v>15</v>
      </c>
    </row>
    <row r="232" spans="1:6" x14ac:dyDescent="0.25">
      <c r="A232" s="1">
        <v>41713</v>
      </c>
      <c r="B232" s="1">
        <v>41731</v>
      </c>
      <c r="C232">
        <v>8.9499999999999993</v>
      </c>
      <c r="D232">
        <v>0.24</v>
      </c>
      <c r="E232">
        <v>4</v>
      </c>
      <c r="F232">
        <f xml:space="preserve"> WYNAJEM3[[#This Row],[data_wyjazdu]] - WYNAJEM3[[#This Row],[data_przyjazdu]]</f>
        <v>18</v>
      </c>
    </row>
    <row r="233" spans="1:6" x14ac:dyDescent="0.25">
      <c r="A233" s="1">
        <v>41713</v>
      </c>
      <c r="B233" s="1">
        <v>41731</v>
      </c>
      <c r="C233">
        <v>16.829999999999998</v>
      </c>
      <c r="D233">
        <v>0.44</v>
      </c>
      <c r="E233">
        <v>3</v>
      </c>
      <c r="F233">
        <f xml:space="preserve"> WYNAJEM3[[#This Row],[data_wyjazdu]] - WYNAJEM3[[#This Row],[data_przyjazdu]]</f>
        <v>18</v>
      </c>
    </row>
    <row r="234" spans="1:6" x14ac:dyDescent="0.25">
      <c r="A234" s="1">
        <v>41713</v>
      </c>
      <c r="B234" s="1">
        <v>41718</v>
      </c>
      <c r="C234">
        <v>14</v>
      </c>
      <c r="D234">
        <v>0.37</v>
      </c>
      <c r="E234">
        <v>2</v>
      </c>
      <c r="F234">
        <f xml:space="preserve"> WYNAJEM3[[#This Row],[data_wyjazdu]] - WYNAJEM3[[#This Row],[data_przyjazdu]]</f>
        <v>5</v>
      </c>
    </row>
    <row r="235" spans="1:6" x14ac:dyDescent="0.25">
      <c r="A235" s="1">
        <v>41713</v>
      </c>
      <c r="B235" s="1">
        <v>41735</v>
      </c>
      <c r="C235">
        <v>5.23</v>
      </c>
      <c r="D235">
        <v>0.14000000000000001</v>
      </c>
      <c r="E235">
        <v>6</v>
      </c>
      <c r="F235">
        <f xml:space="preserve"> WYNAJEM3[[#This Row],[data_wyjazdu]] - WYNAJEM3[[#This Row],[data_przyjazdu]]</f>
        <v>22</v>
      </c>
    </row>
    <row r="236" spans="1:6" x14ac:dyDescent="0.25">
      <c r="A236" s="1">
        <v>41713</v>
      </c>
      <c r="B236" s="1">
        <v>41724</v>
      </c>
      <c r="C236">
        <v>16.55</v>
      </c>
      <c r="D236">
        <v>0.44</v>
      </c>
      <c r="E236">
        <v>6</v>
      </c>
      <c r="F236">
        <f xml:space="preserve"> WYNAJEM3[[#This Row],[data_wyjazdu]] - WYNAJEM3[[#This Row],[data_przyjazdu]]</f>
        <v>11</v>
      </c>
    </row>
    <row r="237" spans="1:6" x14ac:dyDescent="0.25">
      <c r="A237" s="1">
        <v>41713</v>
      </c>
      <c r="B237" s="1">
        <v>41724</v>
      </c>
      <c r="C237">
        <v>12.23</v>
      </c>
      <c r="D237">
        <v>0.32</v>
      </c>
      <c r="E237">
        <v>3</v>
      </c>
      <c r="F237">
        <f xml:space="preserve"> WYNAJEM3[[#This Row],[data_wyjazdu]] - WYNAJEM3[[#This Row],[data_przyjazdu]]</f>
        <v>11</v>
      </c>
    </row>
    <row r="238" spans="1:6" x14ac:dyDescent="0.25">
      <c r="A238" s="1">
        <v>41713</v>
      </c>
      <c r="B238" s="1">
        <v>41720</v>
      </c>
      <c r="C238">
        <v>8.39</v>
      </c>
      <c r="D238">
        <v>0.22</v>
      </c>
      <c r="E238">
        <v>2</v>
      </c>
      <c r="F238">
        <f xml:space="preserve"> WYNAJEM3[[#This Row],[data_wyjazdu]] - WYNAJEM3[[#This Row],[data_przyjazdu]]</f>
        <v>7</v>
      </c>
    </row>
    <row r="239" spans="1:6" x14ac:dyDescent="0.25">
      <c r="A239" s="1">
        <v>41713</v>
      </c>
      <c r="B239" s="1">
        <v>41721</v>
      </c>
      <c r="C239">
        <v>5.67</v>
      </c>
      <c r="D239">
        <v>0.15</v>
      </c>
      <c r="E239">
        <v>5</v>
      </c>
      <c r="F239">
        <f xml:space="preserve"> WYNAJEM3[[#This Row],[data_wyjazdu]] - WYNAJEM3[[#This Row],[data_przyjazdu]]</f>
        <v>8</v>
      </c>
    </row>
    <row r="240" spans="1:6" x14ac:dyDescent="0.25">
      <c r="A240" s="1">
        <v>41713</v>
      </c>
      <c r="B240" s="1">
        <v>41719</v>
      </c>
      <c r="C240">
        <v>14.13</v>
      </c>
      <c r="D240">
        <v>0.37</v>
      </c>
      <c r="E240">
        <v>4</v>
      </c>
      <c r="F240">
        <f xml:space="preserve"> WYNAJEM3[[#This Row],[data_wyjazdu]] - WYNAJEM3[[#This Row],[data_przyjazdu]]</f>
        <v>6</v>
      </c>
    </row>
    <row r="241" spans="1:6" x14ac:dyDescent="0.25">
      <c r="A241" s="1">
        <v>41713</v>
      </c>
      <c r="B241" s="1">
        <v>41723</v>
      </c>
      <c r="C241">
        <v>11.69</v>
      </c>
      <c r="D241">
        <v>0.31</v>
      </c>
      <c r="E241">
        <v>4</v>
      </c>
      <c r="F241">
        <f xml:space="preserve"> WYNAJEM3[[#This Row],[data_wyjazdu]] - WYNAJEM3[[#This Row],[data_przyjazdu]]</f>
        <v>10</v>
      </c>
    </row>
    <row r="242" spans="1:6" x14ac:dyDescent="0.25">
      <c r="A242" s="1">
        <v>41713</v>
      </c>
      <c r="B242" s="1">
        <v>41728</v>
      </c>
      <c r="C242">
        <v>16.940000000000001</v>
      </c>
      <c r="D242">
        <v>0.45</v>
      </c>
      <c r="E242">
        <v>2</v>
      </c>
      <c r="F242">
        <f xml:space="preserve"> WYNAJEM3[[#This Row],[data_wyjazdu]] - WYNAJEM3[[#This Row],[data_przyjazdu]]</f>
        <v>15</v>
      </c>
    </row>
    <row r="243" spans="1:6" x14ac:dyDescent="0.25">
      <c r="A243" s="1">
        <v>41713</v>
      </c>
      <c r="B243" s="1">
        <v>41733</v>
      </c>
      <c r="C243">
        <v>14</v>
      </c>
      <c r="D243">
        <v>0.37</v>
      </c>
      <c r="E243">
        <v>4</v>
      </c>
      <c r="F243">
        <f xml:space="preserve"> WYNAJEM3[[#This Row],[data_wyjazdu]] - WYNAJEM3[[#This Row],[data_przyjazdu]]</f>
        <v>20</v>
      </c>
    </row>
    <row r="244" spans="1:6" x14ac:dyDescent="0.25">
      <c r="A244" s="1">
        <v>41715</v>
      </c>
      <c r="B244" s="1">
        <v>41743</v>
      </c>
      <c r="C244">
        <v>8.84</v>
      </c>
      <c r="D244">
        <v>0.23</v>
      </c>
      <c r="E244">
        <v>2</v>
      </c>
      <c r="F244">
        <f xml:space="preserve"> WYNAJEM3[[#This Row],[data_wyjazdu]] - WYNAJEM3[[#This Row],[data_przyjazdu]]</f>
        <v>28</v>
      </c>
    </row>
    <row r="245" spans="1:6" x14ac:dyDescent="0.25">
      <c r="A245" s="1">
        <v>41715</v>
      </c>
      <c r="B245" s="1">
        <v>41734</v>
      </c>
      <c r="C245">
        <v>6.75</v>
      </c>
      <c r="D245">
        <v>0.18</v>
      </c>
      <c r="E245">
        <v>4</v>
      </c>
      <c r="F245">
        <f xml:space="preserve"> WYNAJEM3[[#This Row],[data_wyjazdu]] - WYNAJEM3[[#This Row],[data_przyjazdu]]</f>
        <v>19</v>
      </c>
    </row>
    <row r="246" spans="1:6" x14ac:dyDescent="0.25">
      <c r="A246" s="1">
        <v>41715</v>
      </c>
      <c r="B246" s="1">
        <v>41728</v>
      </c>
      <c r="C246">
        <v>6.23</v>
      </c>
      <c r="D246">
        <v>0.16</v>
      </c>
      <c r="E246">
        <v>5</v>
      </c>
      <c r="F246">
        <f xml:space="preserve"> WYNAJEM3[[#This Row],[data_wyjazdu]] - WYNAJEM3[[#This Row],[data_przyjazdu]]</f>
        <v>13</v>
      </c>
    </row>
    <row r="247" spans="1:6" x14ac:dyDescent="0.25">
      <c r="A247" s="1">
        <v>41715</v>
      </c>
      <c r="B247" s="1">
        <v>41741</v>
      </c>
      <c r="C247">
        <v>8.7200000000000006</v>
      </c>
      <c r="D247">
        <v>0.23</v>
      </c>
      <c r="E247">
        <v>6</v>
      </c>
      <c r="F247">
        <f xml:space="preserve"> WYNAJEM3[[#This Row],[data_wyjazdu]] - WYNAJEM3[[#This Row],[data_przyjazdu]]</f>
        <v>26</v>
      </c>
    </row>
    <row r="248" spans="1:6" x14ac:dyDescent="0.25">
      <c r="A248" s="1">
        <v>41716</v>
      </c>
      <c r="B248" s="1">
        <v>41719</v>
      </c>
      <c r="C248">
        <v>6.34</v>
      </c>
      <c r="D248">
        <v>0.17</v>
      </c>
      <c r="E248">
        <v>5</v>
      </c>
      <c r="F248">
        <f xml:space="preserve"> WYNAJEM3[[#This Row],[data_wyjazdu]] - WYNAJEM3[[#This Row],[data_przyjazdu]]</f>
        <v>3</v>
      </c>
    </row>
    <row r="249" spans="1:6" x14ac:dyDescent="0.25">
      <c r="A249" s="1">
        <v>41716</v>
      </c>
      <c r="B249" s="1">
        <v>41734</v>
      </c>
      <c r="C249">
        <v>2.29</v>
      </c>
      <c r="D249">
        <v>0.06</v>
      </c>
      <c r="E249">
        <v>4</v>
      </c>
      <c r="F249">
        <f xml:space="preserve"> WYNAJEM3[[#This Row],[data_wyjazdu]] - WYNAJEM3[[#This Row],[data_przyjazdu]]</f>
        <v>18</v>
      </c>
    </row>
    <row r="250" spans="1:6" x14ac:dyDescent="0.25">
      <c r="A250" s="1">
        <v>41716</v>
      </c>
      <c r="B250" s="1">
        <v>41734</v>
      </c>
      <c r="C250">
        <v>4.25</v>
      </c>
      <c r="D250">
        <v>0.11</v>
      </c>
      <c r="E250">
        <v>4</v>
      </c>
      <c r="F250">
        <f xml:space="preserve"> WYNAJEM3[[#This Row],[data_wyjazdu]] - WYNAJEM3[[#This Row],[data_przyjazdu]]</f>
        <v>18</v>
      </c>
    </row>
    <row r="251" spans="1:6" x14ac:dyDescent="0.25">
      <c r="A251" s="1">
        <v>41719</v>
      </c>
      <c r="B251" s="1">
        <v>41742</v>
      </c>
      <c r="C251">
        <v>16.55</v>
      </c>
      <c r="D251">
        <v>0.44</v>
      </c>
      <c r="E251">
        <v>5</v>
      </c>
      <c r="F251">
        <f xml:space="preserve"> WYNAJEM3[[#This Row],[data_wyjazdu]] - WYNAJEM3[[#This Row],[data_przyjazdu]]</f>
        <v>23</v>
      </c>
    </row>
    <row r="252" spans="1:6" x14ac:dyDescent="0.25">
      <c r="A252" s="1">
        <v>41719</v>
      </c>
      <c r="B252" s="1">
        <v>41745</v>
      </c>
      <c r="C252">
        <v>7.55</v>
      </c>
      <c r="D252">
        <v>0.2</v>
      </c>
      <c r="E252">
        <v>3</v>
      </c>
      <c r="F252">
        <f xml:space="preserve"> WYNAJEM3[[#This Row],[data_wyjazdu]] - WYNAJEM3[[#This Row],[data_przyjazdu]]</f>
        <v>26</v>
      </c>
    </row>
    <row r="253" spans="1:6" x14ac:dyDescent="0.25">
      <c r="A253" s="1">
        <v>41719</v>
      </c>
      <c r="B253" s="1">
        <v>41731</v>
      </c>
      <c r="C253">
        <v>16.55</v>
      </c>
      <c r="D253">
        <v>0.44</v>
      </c>
      <c r="E253">
        <v>5</v>
      </c>
      <c r="F253">
        <f xml:space="preserve"> WYNAJEM3[[#This Row],[data_wyjazdu]] - WYNAJEM3[[#This Row],[data_przyjazdu]]</f>
        <v>12</v>
      </c>
    </row>
    <row r="254" spans="1:6" x14ac:dyDescent="0.25">
      <c r="A254" s="1">
        <v>41719</v>
      </c>
      <c r="B254" s="1">
        <v>41739</v>
      </c>
      <c r="C254">
        <v>3.79</v>
      </c>
      <c r="D254">
        <v>0.1</v>
      </c>
      <c r="E254">
        <v>3</v>
      </c>
      <c r="F254">
        <f xml:space="preserve"> WYNAJEM3[[#This Row],[data_wyjazdu]] - WYNAJEM3[[#This Row],[data_przyjazdu]]</f>
        <v>20</v>
      </c>
    </row>
    <row r="255" spans="1:6" x14ac:dyDescent="0.25">
      <c r="A255" s="1">
        <v>41719</v>
      </c>
      <c r="B255" s="1">
        <v>41725</v>
      </c>
      <c r="C255">
        <v>8.51</v>
      </c>
      <c r="D255">
        <v>0.22</v>
      </c>
      <c r="E255">
        <v>6</v>
      </c>
      <c r="F255">
        <f xml:space="preserve"> WYNAJEM3[[#This Row],[data_wyjazdu]] - WYNAJEM3[[#This Row],[data_przyjazdu]]</f>
        <v>6</v>
      </c>
    </row>
    <row r="256" spans="1:6" x14ac:dyDescent="0.25">
      <c r="A256" s="1">
        <v>41719</v>
      </c>
      <c r="B256" s="1">
        <v>41724</v>
      </c>
      <c r="C256">
        <v>7.71</v>
      </c>
      <c r="D256">
        <v>0.2</v>
      </c>
      <c r="E256">
        <v>2</v>
      </c>
      <c r="F256">
        <f xml:space="preserve"> WYNAJEM3[[#This Row],[data_wyjazdu]] - WYNAJEM3[[#This Row],[data_przyjazdu]]</f>
        <v>5</v>
      </c>
    </row>
    <row r="257" spans="1:6" x14ac:dyDescent="0.25">
      <c r="A257" s="1">
        <v>41725</v>
      </c>
      <c r="B257" s="1">
        <v>41742</v>
      </c>
      <c r="C257">
        <v>3.79</v>
      </c>
      <c r="D257">
        <v>0.1</v>
      </c>
      <c r="E257">
        <v>2</v>
      </c>
      <c r="F257">
        <f xml:space="preserve"> WYNAJEM3[[#This Row],[data_wyjazdu]] - WYNAJEM3[[#This Row],[data_przyjazdu]]</f>
        <v>17</v>
      </c>
    </row>
    <row r="258" spans="1:6" x14ac:dyDescent="0.25">
      <c r="A258" s="1">
        <v>41725</v>
      </c>
      <c r="B258" s="1">
        <v>41747</v>
      </c>
      <c r="C258">
        <v>16.55</v>
      </c>
      <c r="D258">
        <v>0.44</v>
      </c>
      <c r="E258">
        <v>4</v>
      </c>
      <c r="F258">
        <f xml:space="preserve"> WYNAJEM3[[#This Row],[data_wyjazdu]] - WYNAJEM3[[#This Row],[data_przyjazdu]]</f>
        <v>22</v>
      </c>
    </row>
    <row r="259" spans="1:6" x14ac:dyDescent="0.25">
      <c r="A259" s="1">
        <v>41725</v>
      </c>
      <c r="B259" s="1">
        <v>41728</v>
      </c>
      <c r="C259">
        <v>10.19</v>
      </c>
      <c r="D259">
        <v>0.27</v>
      </c>
      <c r="E259">
        <v>5</v>
      </c>
      <c r="F259">
        <f xml:space="preserve"> WYNAJEM3[[#This Row],[data_wyjazdu]] - WYNAJEM3[[#This Row],[data_przyjazdu]]</f>
        <v>3</v>
      </c>
    </row>
    <row r="260" spans="1:6" x14ac:dyDescent="0.25">
      <c r="A260" s="1">
        <v>41725</v>
      </c>
      <c r="B260" s="1">
        <v>41731</v>
      </c>
      <c r="C260">
        <v>8.39</v>
      </c>
      <c r="D260">
        <v>0.22</v>
      </c>
      <c r="E260">
        <v>5</v>
      </c>
      <c r="F260">
        <f xml:space="preserve"> WYNAJEM3[[#This Row],[data_wyjazdu]] - WYNAJEM3[[#This Row],[data_przyjazdu]]</f>
        <v>6</v>
      </c>
    </row>
    <row r="261" spans="1:6" x14ac:dyDescent="0.25">
      <c r="A261" s="1">
        <v>41725</v>
      </c>
      <c r="B261" s="1">
        <v>41752</v>
      </c>
      <c r="C261">
        <v>8.89</v>
      </c>
      <c r="D261">
        <v>0.23</v>
      </c>
      <c r="E261">
        <v>2</v>
      </c>
      <c r="F261">
        <f xml:space="preserve"> WYNAJEM3[[#This Row],[data_wyjazdu]] - WYNAJEM3[[#This Row],[data_przyjazdu]]</f>
        <v>27</v>
      </c>
    </row>
    <row r="262" spans="1:6" x14ac:dyDescent="0.25">
      <c r="A262" s="1">
        <v>41725</v>
      </c>
      <c r="B262" s="1">
        <v>41748</v>
      </c>
      <c r="C262">
        <v>7.35</v>
      </c>
      <c r="D262">
        <v>0.19</v>
      </c>
      <c r="E262">
        <v>2</v>
      </c>
      <c r="F262">
        <f xml:space="preserve"> WYNAJEM3[[#This Row],[data_wyjazdu]] - WYNAJEM3[[#This Row],[data_przyjazdu]]</f>
        <v>23</v>
      </c>
    </row>
    <row r="263" spans="1:6" x14ac:dyDescent="0.25">
      <c r="A263" s="1">
        <v>41731</v>
      </c>
      <c r="B263" s="1">
        <v>41740</v>
      </c>
      <c r="C263">
        <v>6.88</v>
      </c>
      <c r="D263">
        <v>0.18</v>
      </c>
      <c r="E263">
        <v>4</v>
      </c>
      <c r="F263">
        <f xml:space="preserve"> WYNAJEM3[[#This Row],[data_wyjazdu]] - WYNAJEM3[[#This Row],[data_przyjazdu]]</f>
        <v>9</v>
      </c>
    </row>
    <row r="264" spans="1:6" x14ac:dyDescent="0.25">
      <c r="A264" s="1">
        <v>41731</v>
      </c>
      <c r="B264" s="1">
        <v>41740</v>
      </c>
      <c r="C264">
        <v>13.02</v>
      </c>
      <c r="D264">
        <v>0.34</v>
      </c>
      <c r="E264">
        <v>3</v>
      </c>
      <c r="F264">
        <f xml:space="preserve"> WYNAJEM3[[#This Row],[data_wyjazdu]] - WYNAJEM3[[#This Row],[data_przyjazdu]]</f>
        <v>9</v>
      </c>
    </row>
    <row r="265" spans="1:6" x14ac:dyDescent="0.25">
      <c r="A265" s="1">
        <v>41731</v>
      </c>
      <c r="B265" s="1">
        <v>41750</v>
      </c>
      <c r="C265">
        <v>10.59</v>
      </c>
      <c r="D265">
        <v>0.28000000000000003</v>
      </c>
      <c r="E265">
        <v>3</v>
      </c>
      <c r="F265">
        <f xml:space="preserve"> WYNAJEM3[[#This Row],[data_wyjazdu]] - WYNAJEM3[[#This Row],[data_przyjazdu]]</f>
        <v>19</v>
      </c>
    </row>
    <row r="266" spans="1:6" x14ac:dyDescent="0.25">
      <c r="A266" s="1">
        <v>41731</v>
      </c>
      <c r="B266" s="1">
        <v>41751</v>
      </c>
      <c r="C266">
        <v>16.940000000000001</v>
      </c>
      <c r="D266">
        <v>0.45</v>
      </c>
      <c r="E266">
        <v>4</v>
      </c>
      <c r="F266">
        <f xml:space="preserve"> WYNAJEM3[[#This Row],[data_wyjazdu]] - WYNAJEM3[[#This Row],[data_przyjazdu]]</f>
        <v>20</v>
      </c>
    </row>
    <row r="267" spans="1:6" x14ac:dyDescent="0.25">
      <c r="A267" s="1">
        <v>41731</v>
      </c>
      <c r="B267" s="1">
        <v>41748</v>
      </c>
      <c r="C267">
        <v>11.44</v>
      </c>
      <c r="D267">
        <v>0.3</v>
      </c>
      <c r="E267">
        <v>4</v>
      </c>
      <c r="F267">
        <f xml:space="preserve"> WYNAJEM3[[#This Row],[data_wyjazdu]] - WYNAJEM3[[#This Row],[data_przyjazdu]]</f>
        <v>17</v>
      </c>
    </row>
    <row r="268" spans="1:6" x14ac:dyDescent="0.25">
      <c r="A268" s="1">
        <v>41731</v>
      </c>
      <c r="B268" s="1">
        <v>41733</v>
      </c>
      <c r="C268">
        <v>3.79</v>
      </c>
      <c r="D268">
        <v>0.1</v>
      </c>
      <c r="E268">
        <v>4</v>
      </c>
      <c r="F268">
        <f xml:space="preserve"> WYNAJEM3[[#This Row],[data_wyjazdu]] - WYNAJEM3[[#This Row],[data_przyjazdu]]</f>
        <v>2</v>
      </c>
    </row>
    <row r="269" spans="1:6" x14ac:dyDescent="0.25">
      <c r="A269" s="1">
        <v>41732</v>
      </c>
      <c r="B269" s="1">
        <v>41758</v>
      </c>
      <c r="C269">
        <v>10.19</v>
      </c>
      <c r="D269">
        <v>0.27</v>
      </c>
      <c r="E269">
        <v>2</v>
      </c>
      <c r="F269">
        <f xml:space="preserve"> WYNAJEM3[[#This Row],[data_wyjazdu]] - WYNAJEM3[[#This Row],[data_przyjazdu]]</f>
        <v>26</v>
      </c>
    </row>
    <row r="270" spans="1:6" x14ac:dyDescent="0.25">
      <c r="A270" s="1">
        <v>41737</v>
      </c>
      <c r="B270" s="1">
        <v>41747</v>
      </c>
      <c r="C270">
        <v>7.35</v>
      </c>
      <c r="D270">
        <v>0.19</v>
      </c>
      <c r="E270">
        <v>5</v>
      </c>
      <c r="F270">
        <f xml:space="preserve"> WYNAJEM3[[#This Row],[data_wyjazdu]] - WYNAJEM3[[#This Row],[data_przyjazdu]]</f>
        <v>10</v>
      </c>
    </row>
    <row r="271" spans="1:6" x14ac:dyDescent="0.25">
      <c r="A271" s="1">
        <v>41737</v>
      </c>
      <c r="B271" s="1">
        <v>41752</v>
      </c>
      <c r="C271">
        <v>9.74</v>
      </c>
      <c r="D271">
        <v>0.26</v>
      </c>
      <c r="E271">
        <v>6</v>
      </c>
      <c r="F271">
        <f xml:space="preserve"> WYNAJEM3[[#This Row],[data_wyjazdu]] - WYNAJEM3[[#This Row],[data_przyjazdu]]</f>
        <v>15</v>
      </c>
    </row>
    <row r="272" spans="1:6" x14ac:dyDescent="0.25">
      <c r="A272" s="1">
        <v>41737</v>
      </c>
      <c r="B272" s="1">
        <v>41758</v>
      </c>
      <c r="C272">
        <v>8.65</v>
      </c>
      <c r="D272">
        <v>0.23</v>
      </c>
      <c r="E272">
        <v>3</v>
      </c>
      <c r="F272">
        <f xml:space="preserve"> WYNAJEM3[[#This Row],[data_wyjazdu]] - WYNAJEM3[[#This Row],[data_przyjazdu]]</f>
        <v>21</v>
      </c>
    </row>
    <row r="273" spans="1:6" x14ac:dyDescent="0.25">
      <c r="A273" s="1">
        <v>41737</v>
      </c>
      <c r="B273" s="1">
        <v>41759</v>
      </c>
      <c r="C273">
        <v>7.06</v>
      </c>
      <c r="D273">
        <v>0.19</v>
      </c>
      <c r="E273">
        <v>2</v>
      </c>
      <c r="F273">
        <f xml:space="preserve"> WYNAJEM3[[#This Row],[data_wyjazdu]] - WYNAJEM3[[#This Row],[data_przyjazdu]]</f>
        <v>22</v>
      </c>
    </row>
    <row r="274" spans="1:6" x14ac:dyDescent="0.25">
      <c r="A274" s="1">
        <v>41737</v>
      </c>
      <c r="B274" s="1">
        <v>41762</v>
      </c>
      <c r="C274">
        <v>14</v>
      </c>
      <c r="D274">
        <v>0.37</v>
      </c>
      <c r="E274">
        <v>2</v>
      </c>
      <c r="F274">
        <f xml:space="preserve"> WYNAJEM3[[#This Row],[data_wyjazdu]] - WYNAJEM3[[#This Row],[data_przyjazdu]]</f>
        <v>25</v>
      </c>
    </row>
    <row r="275" spans="1:6" x14ac:dyDescent="0.25">
      <c r="A275" s="1">
        <v>41737</v>
      </c>
      <c r="B275" s="1">
        <v>41764</v>
      </c>
      <c r="C275">
        <v>16.940000000000001</v>
      </c>
      <c r="D275">
        <v>0.45</v>
      </c>
      <c r="E275">
        <v>4</v>
      </c>
      <c r="F275">
        <f xml:space="preserve"> WYNAJEM3[[#This Row],[data_wyjazdu]] - WYNAJEM3[[#This Row],[data_przyjazdu]]</f>
        <v>27</v>
      </c>
    </row>
    <row r="276" spans="1:6" x14ac:dyDescent="0.25">
      <c r="A276" s="1">
        <v>41743</v>
      </c>
      <c r="B276" s="1">
        <v>41759</v>
      </c>
      <c r="C276">
        <v>16.55</v>
      </c>
      <c r="D276">
        <v>0.44</v>
      </c>
      <c r="E276">
        <v>4</v>
      </c>
      <c r="F276">
        <f xml:space="preserve"> WYNAJEM3[[#This Row],[data_wyjazdu]] - WYNAJEM3[[#This Row],[data_przyjazdu]]</f>
        <v>16</v>
      </c>
    </row>
    <row r="277" spans="1:6" x14ac:dyDescent="0.25">
      <c r="A277" s="1">
        <v>41743</v>
      </c>
      <c r="B277" s="1">
        <v>41766</v>
      </c>
      <c r="C277">
        <v>14.13</v>
      </c>
      <c r="D277">
        <v>0.37</v>
      </c>
      <c r="E277">
        <v>6</v>
      </c>
      <c r="F277">
        <f xml:space="preserve"> WYNAJEM3[[#This Row],[data_wyjazdu]] - WYNAJEM3[[#This Row],[data_przyjazdu]]</f>
        <v>23</v>
      </c>
    </row>
    <row r="278" spans="1:6" x14ac:dyDescent="0.25">
      <c r="A278" s="1">
        <v>41743</v>
      </c>
      <c r="B278" s="1">
        <v>41761</v>
      </c>
      <c r="C278">
        <v>11.42</v>
      </c>
      <c r="D278">
        <v>0.3</v>
      </c>
      <c r="E278">
        <v>5</v>
      </c>
      <c r="F278">
        <f xml:space="preserve"> WYNAJEM3[[#This Row],[data_wyjazdu]] - WYNAJEM3[[#This Row],[data_przyjazdu]]</f>
        <v>18</v>
      </c>
    </row>
    <row r="279" spans="1:6" x14ac:dyDescent="0.25">
      <c r="A279" s="1">
        <v>41743</v>
      </c>
      <c r="B279" s="1">
        <v>41762</v>
      </c>
      <c r="C279">
        <v>16.829999999999998</v>
      </c>
      <c r="D279">
        <v>0.44</v>
      </c>
      <c r="E279">
        <v>5</v>
      </c>
      <c r="F279">
        <f xml:space="preserve"> WYNAJEM3[[#This Row],[data_wyjazdu]] - WYNAJEM3[[#This Row],[data_przyjazdu]]</f>
        <v>19</v>
      </c>
    </row>
    <row r="280" spans="1:6" x14ac:dyDescent="0.25">
      <c r="A280" s="1">
        <v>41743</v>
      </c>
      <c r="B280" s="1">
        <v>41768</v>
      </c>
      <c r="C280">
        <v>9.06</v>
      </c>
      <c r="D280">
        <v>0.24</v>
      </c>
      <c r="E280">
        <v>4</v>
      </c>
      <c r="F280">
        <f xml:space="preserve"> WYNAJEM3[[#This Row],[data_wyjazdu]] - WYNAJEM3[[#This Row],[data_przyjazdu]]</f>
        <v>25</v>
      </c>
    </row>
    <row r="281" spans="1:6" x14ac:dyDescent="0.25">
      <c r="A281" s="1">
        <v>41743</v>
      </c>
      <c r="B281" s="1">
        <v>41755</v>
      </c>
      <c r="C281">
        <v>11.69</v>
      </c>
      <c r="D281">
        <v>0.31</v>
      </c>
      <c r="E281">
        <v>5</v>
      </c>
      <c r="F281">
        <f xml:space="preserve"> WYNAJEM3[[#This Row],[data_wyjazdu]] - WYNAJEM3[[#This Row],[data_przyjazdu]]</f>
        <v>12</v>
      </c>
    </row>
    <row r="282" spans="1:6" x14ac:dyDescent="0.25">
      <c r="A282" s="1">
        <v>41747</v>
      </c>
      <c r="B282" s="1">
        <v>41772</v>
      </c>
      <c r="C282">
        <v>6.58</v>
      </c>
      <c r="D282">
        <v>0.17</v>
      </c>
      <c r="E282">
        <v>3</v>
      </c>
      <c r="F282">
        <f xml:space="preserve"> WYNAJEM3[[#This Row],[data_wyjazdu]] - WYNAJEM3[[#This Row],[data_przyjazdu]]</f>
        <v>25</v>
      </c>
    </row>
    <row r="283" spans="1:6" x14ac:dyDescent="0.25">
      <c r="A283" s="1">
        <v>41749</v>
      </c>
      <c r="B283" s="1">
        <v>41755</v>
      </c>
      <c r="C283">
        <v>11.44</v>
      </c>
      <c r="D283">
        <v>0.3</v>
      </c>
      <c r="E283">
        <v>6</v>
      </c>
      <c r="F283">
        <f xml:space="preserve"> WYNAJEM3[[#This Row],[data_wyjazdu]] - WYNAJEM3[[#This Row],[data_przyjazdu]]</f>
        <v>6</v>
      </c>
    </row>
    <row r="284" spans="1:6" x14ac:dyDescent="0.25">
      <c r="A284" s="1">
        <v>41749</v>
      </c>
      <c r="B284" s="1">
        <v>41763</v>
      </c>
      <c r="C284">
        <v>6.75</v>
      </c>
      <c r="D284">
        <v>0.18</v>
      </c>
      <c r="E284">
        <v>6</v>
      </c>
      <c r="F284">
        <f xml:space="preserve"> WYNAJEM3[[#This Row],[data_wyjazdu]] - WYNAJEM3[[#This Row],[data_przyjazdu]]</f>
        <v>14</v>
      </c>
    </row>
    <row r="285" spans="1:6" x14ac:dyDescent="0.25">
      <c r="A285" s="1">
        <v>41752</v>
      </c>
      <c r="B285" s="1">
        <v>41771</v>
      </c>
      <c r="C285">
        <v>7.71</v>
      </c>
      <c r="D285">
        <v>0.2</v>
      </c>
      <c r="E285">
        <v>5</v>
      </c>
      <c r="F285">
        <f xml:space="preserve"> WYNAJEM3[[#This Row],[data_wyjazdu]] - WYNAJEM3[[#This Row],[data_przyjazdu]]</f>
        <v>19</v>
      </c>
    </row>
    <row r="286" spans="1:6" x14ac:dyDescent="0.25">
      <c r="A286" s="1">
        <v>41752</v>
      </c>
      <c r="B286" s="1">
        <v>41754</v>
      </c>
      <c r="C286">
        <v>6.75</v>
      </c>
      <c r="D286">
        <v>0.18</v>
      </c>
      <c r="E286">
        <v>4</v>
      </c>
      <c r="F286">
        <f xml:space="preserve"> WYNAJEM3[[#This Row],[data_wyjazdu]] - WYNAJEM3[[#This Row],[data_przyjazdu]]</f>
        <v>2</v>
      </c>
    </row>
    <row r="287" spans="1:6" x14ac:dyDescent="0.25">
      <c r="A287" s="1">
        <v>41753</v>
      </c>
      <c r="B287" s="1">
        <v>41758</v>
      </c>
      <c r="C287">
        <v>3.57</v>
      </c>
      <c r="D287">
        <v>0.09</v>
      </c>
      <c r="E287">
        <v>2</v>
      </c>
      <c r="F287">
        <f xml:space="preserve"> WYNAJEM3[[#This Row],[data_wyjazdu]] - WYNAJEM3[[#This Row],[data_przyjazdu]]</f>
        <v>5</v>
      </c>
    </row>
    <row r="288" spans="1:6" x14ac:dyDescent="0.25">
      <c r="A288" s="1">
        <v>41755</v>
      </c>
      <c r="B288" s="1">
        <v>41782</v>
      </c>
      <c r="C288">
        <v>10.19</v>
      </c>
      <c r="D288">
        <v>0.27</v>
      </c>
      <c r="E288">
        <v>3</v>
      </c>
      <c r="F288">
        <f xml:space="preserve"> WYNAJEM3[[#This Row],[data_wyjazdu]] - WYNAJEM3[[#This Row],[data_przyjazdu]]</f>
        <v>27</v>
      </c>
    </row>
    <row r="289" spans="1:6" x14ac:dyDescent="0.25">
      <c r="A289" s="1">
        <v>41755</v>
      </c>
      <c r="B289" s="1">
        <v>41779</v>
      </c>
      <c r="C289">
        <v>11.78</v>
      </c>
      <c r="D289">
        <v>0.31</v>
      </c>
      <c r="E289">
        <v>3</v>
      </c>
      <c r="F289">
        <f xml:space="preserve"> WYNAJEM3[[#This Row],[data_wyjazdu]] - WYNAJEM3[[#This Row],[data_przyjazdu]]</f>
        <v>24</v>
      </c>
    </row>
    <row r="290" spans="1:6" x14ac:dyDescent="0.25">
      <c r="A290" s="1">
        <v>41755</v>
      </c>
      <c r="B290" s="1">
        <v>41771</v>
      </c>
      <c r="C290">
        <v>3.79</v>
      </c>
      <c r="D290">
        <v>0.1</v>
      </c>
      <c r="E290">
        <v>3</v>
      </c>
      <c r="F290">
        <f xml:space="preserve"> WYNAJEM3[[#This Row],[data_wyjazdu]] - WYNAJEM3[[#This Row],[data_przyjazdu]]</f>
        <v>16</v>
      </c>
    </row>
    <row r="291" spans="1:6" x14ac:dyDescent="0.25">
      <c r="A291" s="1">
        <v>41755</v>
      </c>
      <c r="B291" s="1">
        <v>41761</v>
      </c>
      <c r="C291">
        <v>6.75</v>
      </c>
      <c r="D291">
        <v>0.18</v>
      </c>
      <c r="E291">
        <v>6</v>
      </c>
      <c r="F291">
        <f xml:space="preserve"> WYNAJEM3[[#This Row],[data_wyjazdu]] - WYNAJEM3[[#This Row],[data_przyjazdu]]</f>
        <v>6</v>
      </c>
    </row>
    <row r="292" spans="1:6" x14ac:dyDescent="0.25">
      <c r="A292" s="1">
        <v>41755</v>
      </c>
      <c r="B292" s="1">
        <v>41767</v>
      </c>
      <c r="C292">
        <v>12.01</v>
      </c>
      <c r="D292">
        <v>0.32</v>
      </c>
      <c r="E292">
        <v>2</v>
      </c>
      <c r="F292">
        <f xml:space="preserve"> WYNAJEM3[[#This Row],[data_wyjazdu]] - WYNAJEM3[[#This Row],[data_przyjazdu]]</f>
        <v>12</v>
      </c>
    </row>
    <row r="293" spans="1:6" x14ac:dyDescent="0.25">
      <c r="A293" s="1">
        <v>41755</v>
      </c>
      <c r="B293" s="1">
        <v>41764</v>
      </c>
      <c r="C293">
        <v>2.0099999999999998</v>
      </c>
      <c r="D293">
        <v>0.05</v>
      </c>
      <c r="E293">
        <v>2</v>
      </c>
      <c r="F293">
        <f xml:space="preserve"> WYNAJEM3[[#This Row],[data_wyjazdu]] - WYNAJEM3[[#This Row],[data_przyjazdu]]</f>
        <v>9</v>
      </c>
    </row>
    <row r="294" spans="1:6" x14ac:dyDescent="0.25">
      <c r="A294" s="1">
        <v>41757</v>
      </c>
      <c r="B294" s="1">
        <v>41768</v>
      </c>
      <c r="C294">
        <v>9.06</v>
      </c>
      <c r="D294">
        <v>0.24</v>
      </c>
      <c r="E294">
        <v>5</v>
      </c>
      <c r="F294">
        <f xml:space="preserve"> WYNAJEM3[[#This Row],[data_wyjazdu]] - WYNAJEM3[[#This Row],[data_przyjazdu]]</f>
        <v>11</v>
      </c>
    </row>
    <row r="295" spans="1:6" x14ac:dyDescent="0.25">
      <c r="A295" s="1">
        <v>41761</v>
      </c>
      <c r="B295" s="1">
        <v>41786</v>
      </c>
      <c r="C295">
        <v>13.81</v>
      </c>
      <c r="D295">
        <v>0.36</v>
      </c>
      <c r="E295">
        <v>3</v>
      </c>
      <c r="F295">
        <f xml:space="preserve"> WYNAJEM3[[#This Row],[data_wyjazdu]] - WYNAJEM3[[#This Row],[data_przyjazdu]]</f>
        <v>25</v>
      </c>
    </row>
    <row r="296" spans="1:6" x14ac:dyDescent="0.25">
      <c r="A296" s="1">
        <v>41761</v>
      </c>
      <c r="B296" s="1">
        <v>41782</v>
      </c>
      <c r="C296">
        <v>5.47</v>
      </c>
      <c r="D296">
        <v>0.14000000000000001</v>
      </c>
      <c r="E296">
        <v>3</v>
      </c>
      <c r="F296">
        <f xml:space="preserve"> WYNAJEM3[[#This Row],[data_wyjazdu]] - WYNAJEM3[[#This Row],[data_przyjazdu]]</f>
        <v>21</v>
      </c>
    </row>
    <row r="297" spans="1:6" x14ac:dyDescent="0.25">
      <c r="A297" s="1">
        <v>41761</v>
      </c>
      <c r="B297" s="1">
        <v>41777</v>
      </c>
      <c r="C297">
        <v>9.06</v>
      </c>
      <c r="D297">
        <v>0.24</v>
      </c>
      <c r="E297">
        <v>5</v>
      </c>
      <c r="F297">
        <f xml:space="preserve"> WYNAJEM3[[#This Row],[data_wyjazdu]] - WYNAJEM3[[#This Row],[data_przyjazdu]]</f>
        <v>16</v>
      </c>
    </row>
    <row r="298" spans="1:6" x14ac:dyDescent="0.25">
      <c r="A298" s="1">
        <v>41764</v>
      </c>
      <c r="B298" s="1">
        <v>41780</v>
      </c>
      <c r="C298">
        <v>8.39</v>
      </c>
      <c r="D298">
        <v>0.22</v>
      </c>
      <c r="E298">
        <v>5</v>
      </c>
      <c r="F298">
        <f xml:space="preserve"> WYNAJEM3[[#This Row],[data_wyjazdu]] - WYNAJEM3[[#This Row],[data_przyjazdu]]</f>
        <v>16</v>
      </c>
    </row>
    <row r="299" spans="1:6" x14ac:dyDescent="0.25">
      <c r="A299" s="1">
        <v>41764</v>
      </c>
      <c r="B299" s="1">
        <v>41776</v>
      </c>
      <c r="C299">
        <v>3.73</v>
      </c>
      <c r="D299">
        <v>0.1</v>
      </c>
      <c r="E299">
        <v>5</v>
      </c>
      <c r="F299">
        <f xml:space="preserve"> WYNAJEM3[[#This Row],[data_wyjazdu]] - WYNAJEM3[[#This Row],[data_przyjazdu]]</f>
        <v>12</v>
      </c>
    </row>
    <row r="300" spans="1:6" x14ac:dyDescent="0.25">
      <c r="A300" s="1">
        <v>41765</v>
      </c>
      <c r="B300" s="1">
        <v>41773</v>
      </c>
      <c r="C300">
        <v>7.31</v>
      </c>
      <c r="D300">
        <v>0.19</v>
      </c>
      <c r="E300">
        <v>4</v>
      </c>
      <c r="F300">
        <f xml:space="preserve"> WYNAJEM3[[#This Row],[data_wyjazdu]] - WYNAJEM3[[#This Row],[data_przyjazdu]]</f>
        <v>8</v>
      </c>
    </row>
    <row r="301" spans="1:6" x14ac:dyDescent="0.25">
      <c r="A301" s="1">
        <v>41767</v>
      </c>
      <c r="B301" s="1">
        <v>41780</v>
      </c>
      <c r="C301">
        <v>14.31</v>
      </c>
      <c r="D301">
        <v>0.38</v>
      </c>
      <c r="E301">
        <v>6</v>
      </c>
      <c r="F301">
        <f xml:space="preserve"> WYNAJEM3[[#This Row],[data_wyjazdu]] - WYNAJEM3[[#This Row],[data_przyjazdu]]</f>
        <v>13</v>
      </c>
    </row>
    <row r="302" spans="1:6" x14ac:dyDescent="0.25">
      <c r="A302" s="1">
        <v>41767</v>
      </c>
      <c r="B302" s="1">
        <v>41794</v>
      </c>
      <c r="C302">
        <v>14.13</v>
      </c>
      <c r="D302">
        <v>0.37</v>
      </c>
      <c r="E302">
        <v>4</v>
      </c>
      <c r="F302">
        <f xml:space="preserve"> WYNAJEM3[[#This Row],[data_wyjazdu]] - WYNAJEM3[[#This Row],[data_przyjazdu]]</f>
        <v>27</v>
      </c>
    </row>
    <row r="303" spans="1:6" x14ac:dyDescent="0.25">
      <c r="A303" s="1">
        <v>41767</v>
      </c>
      <c r="B303" s="1">
        <v>41777</v>
      </c>
      <c r="C303">
        <v>3.88</v>
      </c>
      <c r="D303">
        <v>0.1</v>
      </c>
      <c r="E303">
        <v>5</v>
      </c>
      <c r="F303">
        <f xml:space="preserve"> WYNAJEM3[[#This Row],[data_wyjazdu]] - WYNAJEM3[[#This Row],[data_przyjazdu]]</f>
        <v>10</v>
      </c>
    </row>
    <row r="304" spans="1:6" x14ac:dyDescent="0.25">
      <c r="A304" s="1">
        <v>41767</v>
      </c>
      <c r="B304" s="1">
        <v>41769</v>
      </c>
      <c r="C304">
        <v>7.35</v>
      </c>
      <c r="D304">
        <v>0.19</v>
      </c>
      <c r="E304">
        <v>6</v>
      </c>
      <c r="F304">
        <f xml:space="preserve"> WYNAJEM3[[#This Row],[data_wyjazdu]] - WYNAJEM3[[#This Row],[data_przyjazdu]]</f>
        <v>2</v>
      </c>
    </row>
    <row r="305" spans="1:6" x14ac:dyDescent="0.25">
      <c r="A305" s="1">
        <v>41767</v>
      </c>
      <c r="B305" s="1">
        <v>41776</v>
      </c>
      <c r="C305">
        <v>12.01</v>
      </c>
      <c r="D305">
        <v>0.32</v>
      </c>
      <c r="E305">
        <v>4</v>
      </c>
      <c r="F305">
        <f xml:space="preserve"> WYNAJEM3[[#This Row],[data_wyjazdu]] - WYNAJEM3[[#This Row],[data_przyjazdu]]</f>
        <v>9</v>
      </c>
    </row>
    <row r="306" spans="1:6" x14ac:dyDescent="0.25">
      <c r="A306" s="1">
        <v>41767</v>
      </c>
      <c r="B306" s="1">
        <v>41775</v>
      </c>
      <c r="C306">
        <v>13.07</v>
      </c>
      <c r="D306">
        <v>0.34</v>
      </c>
      <c r="E306">
        <v>3</v>
      </c>
      <c r="F306">
        <f xml:space="preserve"> WYNAJEM3[[#This Row],[data_wyjazdu]] - WYNAJEM3[[#This Row],[data_przyjazdu]]</f>
        <v>8</v>
      </c>
    </row>
    <row r="307" spans="1:6" x14ac:dyDescent="0.25">
      <c r="A307" s="1">
        <v>41773</v>
      </c>
      <c r="B307" s="1">
        <v>41789</v>
      </c>
      <c r="C307">
        <v>7.35</v>
      </c>
      <c r="D307">
        <v>0.19</v>
      </c>
      <c r="E307">
        <v>4</v>
      </c>
      <c r="F307">
        <f xml:space="preserve"> WYNAJEM3[[#This Row],[data_wyjazdu]] - WYNAJEM3[[#This Row],[data_przyjazdu]]</f>
        <v>16</v>
      </c>
    </row>
    <row r="308" spans="1:6" x14ac:dyDescent="0.25">
      <c r="A308" s="1">
        <v>41773</v>
      </c>
      <c r="B308" s="1">
        <v>41776</v>
      </c>
      <c r="C308">
        <v>11.37</v>
      </c>
      <c r="D308">
        <v>0.3</v>
      </c>
      <c r="E308">
        <v>2</v>
      </c>
      <c r="F308">
        <f xml:space="preserve"> WYNAJEM3[[#This Row],[data_wyjazdu]] - WYNAJEM3[[#This Row],[data_przyjazdu]]</f>
        <v>3</v>
      </c>
    </row>
    <row r="309" spans="1:6" x14ac:dyDescent="0.25">
      <c r="A309" s="1">
        <v>41773</v>
      </c>
      <c r="B309" s="1">
        <v>41778</v>
      </c>
      <c r="C309">
        <v>13.81</v>
      </c>
      <c r="D309">
        <v>0.36</v>
      </c>
      <c r="E309">
        <v>3</v>
      </c>
      <c r="F309">
        <f xml:space="preserve"> WYNAJEM3[[#This Row],[data_wyjazdu]] - WYNAJEM3[[#This Row],[data_przyjazdu]]</f>
        <v>5</v>
      </c>
    </row>
    <row r="310" spans="1:6" x14ac:dyDescent="0.25">
      <c r="A310" s="1">
        <v>41773</v>
      </c>
      <c r="B310" s="1">
        <v>41780</v>
      </c>
      <c r="C310">
        <v>5.64</v>
      </c>
      <c r="D310">
        <v>0.15</v>
      </c>
      <c r="E310">
        <v>6</v>
      </c>
      <c r="F310">
        <f xml:space="preserve"> WYNAJEM3[[#This Row],[data_wyjazdu]] - WYNAJEM3[[#This Row],[data_przyjazdu]]</f>
        <v>7</v>
      </c>
    </row>
    <row r="311" spans="1:6" x14ac:dyDescent="0.25">
      <c r="A311" s="1">
        <v>41773</v>
      </c>
      <c r="B311" s="1">
        <v>41782</v>
      </c>
      <c r="C311">
        <v>7.55</v>
      </c>
      <c r="D311">
        <v>0.2</v>
      </c>
      <c r="E311">
        <v>2</v>
      </c>
      <c r="F311">
        <f xml:space="preserve"> WYNAJEM3[[#This Row],[data_wyjazdu]] - WYNAJEM3[[#This Row],[data_przyjazdu]]</f>
        <v>9</v>
      </c>
    </row>
    <row r="312" spans="1:6" x14ac:dyDescent="0.25">
      <c r="A312" s="1">
        <v>41773</v>
      </c>
      <c r="B312" s="1">
        <v>41787</v>
      </c>
      <c r="C312">
        <v>5.23</v>
      </c>
      <c r="D312">
        <v>0.14000000000000001</v>
      </c>
      <c r="E312">
        <v>3</v>
      </c>
      <c r="F312">
        <f xml:space="preserve"> WYNAJEM3[[#This Row],[data_wyjazdu]] - WYNAJEM3[[#This Row],[data_przyjazdu]]</f>
        <v>14</v>
      </c>
    </row>
    <row r="313" spans="1:6" x14ac:dyDescent="0.25">
      <c r="A313" s="1">
        <v>41773</v>
      </c>
      <c r="B313" s="1">
        <v>41791</v>
      </c>
      <c r="C313">
        <v>7.55</v>
      </c>
      <c r="D313">
        <v>0.2</v>
      </c>
      <c r="E313">
        <v>2</v>
      </c>
      <c r="F313">
        <f xml:space="preserve"> WYNAJEM3[[#This Row],[data_wyjazdu]] - WYNAJEM3[[#This Row],[data_przyjazdu]]</f>
        <v>18</v>
      </c>
    </row>
    <row r="314" spans="1:6" x14ac:dyDescent="0.25">
      <c r="A314" s="1">
        <v>41779</v>
      </c>
      <c r="B314" s="1">
        <v>41792</v>
      </c>
      <c r="C314">
        <v>8.89</v>
      </c>
      <c r="D314">
        <v>0.23</v>
      </c>
      <c r="E314">
        <v>3</v>
      </c>
      <c r="F314">
        <f xml:space="preserve"> WYNAJEM3[[#This Row],[data_wyjazdu]] - WYNAJEM3[[#This Row],[data_przyjazdu]]</f>
        <v>13</v>
      </c>
    </row>
    <row r="315" spans="1:6" x14ac:dyDescent="0.25">
      <c r="A315" s="1">
        <v>41779</v>
      </c>
      <c r="B315" s="1">
        <v>41803</v>
      </c>
      <c r="C315">
        <v>8.65</v>
      </c>
      <c r="D315">
        <v>0.23</v>
      </c>
      <c r="E315">
        <v>3</v>
      </c>
      <c r="F315">
        <f xml:space="preserve"> WYNAJEM3[[#This Row],[data_wyjazdu]] - WYNAJEM3[[#This Row],[data_przyjazdu]]</f>
        <v>24</v>
      </c>
    </row>
    <row r="316" spans="1:6" x14ac:dyDescent="0.25">
      <c r="A316" s="1">
        <v>41779</v>
      </c>
      <c r="B316" s="1">
        <v>41788</v>
      </c>
      <c r="C316">
        <v>7.3</v>
      </c>
      <c r="D316">
        <v>0.19</v>
      </c>
      <c r="E316">
        <v>6</v>
      </c>
      <c r="F316">
        <f xml:space="preserve"> WYNAJEM3[[#This Row],[data_wyjazdu]] - WYNAJEM3[[#This Row],[data_przyjazdu]]</f>
        <v>9</v>
      </c>
    </row>
    <row r="317" spans="1:6" x14ac:dyDescent="0.25">
      <c r="A317" s="1">
        <v>41779</v>
      </c>
      <c r="B317" s="1">
        <v>41801</v>
      </c>
      <c r="C317">
        <v>10.59</v>
      </c>
      <c r="D317">
        <v>0.28000000000000003</v>
      </c>
      <c r="E317">
        <v>5</v>
      </c>
      <c r="F317">
        <f xml:space="preserve"> WYNAJEM3[[#This Row],[data_wyjazdu]] - WYNAJEM3[[#This Row],[data_przyjazdu]]</f>
        <v>22</v>
      </c>
    </row>
    <row r="318" spans="1:6" x14ac:dyDescent="0.25">
      <c r="A318" s="1">
        <v>41779</v>
      </c>
      <c r="B318" s="1">
        <v>41789</v>
      </c>
      <c r="C318">
        <v>11.37</v>
      </c>
      <c r="D318">
        <v>0.3</v>
      </c>
      <c r="E318">
        <v>5</v>
      </c>
      <c r="F318">
        <f xml:space="preserve"> WYNAJEM3[[#This Row],[data_wyjazdu]] - WYNAJEM3[[#This Row],[data_przyjazdu]]</f>
        <v>10</v>
      </c>
    </row>
    <row r="319" spans="1:6" x14ac:dyDescent="0.25">
      <c r="A319" s="1">
        <v>41779</v>
      </c>
      <c r="B319" s="1">
        <v>41793</v>
      </c>
      <c r="C319">
        <v>10.79</v>
      </c>
      <c r="D319">
        <v>0.28000000000000003</v>
      </c>
      <c r="E319">
        <v>4</v>
      </c>
      <c r="F319">
        <f xml:space="preserve"> WYNAJEM3[[#This Row],[data_wyjazdu]] - WYNAJEM3[[#This Row],[data_przyjazdu]]</f>
        <v>14</v>
      </c>
    </row>
    <row r="320" spans="1:6" x14ac:dyDescent="0.25">
      <c r="A320" s="1">
        <v>41785</v>
      </c>
      <c r="B320" s="1">
        <v>41793</v>
      </c>
      <c r="C320">
        <v>11.44</v>
      </c>
      <c r="D320">
        <v>0.3</v>
      </c>
      <c r="E320">
        <v>4</v>
      </c>
      <c r="F320">
        <f xml:space="preserve"> WYNAJEM3[[#This Row],[data_wyjazdu]] - WYNAJEM3[[#This Row],[data_przyjazdu]]</f>
        <v>8</v>
      </c>
    </row>
    <row r="321" spans="1:6" x14ac:dyDescent="0.25">
      <c r="A321" s="1">
        <v>41785</v>
      </c>
      <c r="B321" s="1">
        <v>41796</v>
      </c>
      <c r="C321">
        <v>13.07</v>
      </c>
      <c r="D321">
        <v>0.34</v>
      </c>
      <c r="E321">
        <v>2</v>
      </c>
      <c r="F321">
        <f xml:space="preserve"> WYNAJEM3[[#This Row],[data_wyjazdu]] - WYNAJEM3[[#This Row],[data_przyjazdu]]</f>
        <v>11</v>
      </c>
    </row>
    <row r="322" spans="1:6" x14ac:dyDescent="0.25">
      <c r="A322" s="1">
        <v>41785</v>
      </c>
      <c r="B322" s="1">
        <v>41801</v>
      </c>
      <c r="C322">
        <v>5.57</v>
      </c>
      <c r="D322">
        <v>0.15</v>
      </c>
      <c r="E322">
        <v>6</v>
      </c>
      <c r="F322">
        <f xml:space="preserve"> WYNAJEM3[[#This Row],[data_wyjazdu]] - WYNAJEM3[[#This Row],[data_przyjazdu]]</f>
        <v>16</v>
      </c>
    </row>
    <row r="323" spans="1:6" x14ac:dyDescent="0.25">
      <c r="A323" s="1">
        <v>41785</v>
      </c>
      <c r="B323" s="1">
        <v>41787</v>
      </c>
      <c r="C323">
        <v>11.78</v>
      </c>
      <c r="D323">
        <v>0.31</v>
      </c>
      <c r="E323">
        <v>5</v>
      </c>
      <c r="F323">
        <f xml:space="preserve"> WYNAJEM3[[#This Row],[data_wyjazdu]] - WYNAJEM3[[#This Row],[data_przyjazdu]]</f>
        <v>2</v>
      </c>
    </row>
    <row r="324" spans="1:6" x14ac:dyDescent="0.25">
      <c r="A324" s="1">
        <v>41785</v>
      </c>
      <c r="B324" s="1">
        <v>41788</v>
      </c>
      <c r="C324">
        <v>11.78</v>
      </c>
      <c r="D324">
        <v>0.31</v>
      </c>
      <c r="E324">
        <v>2</v>
      </c>
      <c r="F324">
        <f xml:space="preserve"> WYNAJEM3[[#This Row],[data_wyjazdu]] - WYNAJEM3[[#This Row],[data_przyjazdu]]</f>
        <v>3</v>
      </c>
    </row>
    <row r="325" spans="1:6" x14ac:dyDescent="0.25">
      <c r="A325" s="1">
        <v>41785</v>
      </c>
      <c r="B325" s="1">
        <v>41802</v>
      </c>
      <c r="C325">
        <v>9.74</v>
      </c>
      <c r="D325">
        <v>0.26</v>
      </c>
      <c r="E325">
        <v>3</v>
      </c>
      <c r="F325">
        <f xml:space="preserve"> WYNAJEM3[[#This Row],[data_wyjazdu]] - WYNAJEM3[[#This Row],[data_przyjazdu]]</f>
        <v>17</v>
      </c>
    </row>
    <row r="326" spans="1:6" x14ac:dyDescent="0.25">
      <c r="A326" s="1">
        <v>41791</v>
      </c>
      <c r="B326" s="1">
        <v>41818</v>
      </c>
      <c r="C326">
        <v>12.01</v>
      </c>
      <c r="D326">
        <v>0.32</v>
      </c>
      <c r="E326">
        <v>6</v>
      </c>
      <c r="F326">
        <f xml:space="preserve"> WYNAJEM3[[#This Row],[data_wyjazdu]] - WYNAJEM3[[#This Row],[data_przyjazdu]]</f>
        <v>27</v>
      </c>
    </row>
    <row r="327" spans="1:6" x14ac:dyDescent="0.25">
      <c r="A327" s="1">
        <v>41791</v>
      </c>
      <c r="B327" s="1">
        <v>41798</v>
      </c>
      <c r="C327">
        <v>9.4600000000000009</v>
      </c>
      <c r="D327">
        <v>0.25</v>
      </c>
      <c r="E327">
        <v>3</v>
      </c>
      <c r="F327">
        <f xml:space="preserve"> WYNAJEM3[[#This Row],[data_wyjazdu]] - WYNAJEM3[[#This Row],[data_przyjazdu]]</f>
        <v>7</v>
      </c>
    </row>
    <row r="328" spans="1:6" x14ac:dyDescent="0.25">
      <c r="A328" s="1">
        <v>41791</v>
      </c>
      <c r="B328" s="1">
        <v>41795</v>
      </c>
      <c r="C328">
        <v>11.37</v>
      </c>
      <c r="D328">
        <v>0.3</v>
      </c>
      <c r="E328">
        <v>6</v>
      </c>
      <c r="F328">
        <f xml:space="preserve"> WYNAJEM3[[#This Row],[data_wyjazdu]] - WYNAJEM3[[#This Row],[data_przyjazdu]]</f>
        <v>4</v>
      </c>
    </row>
    <row r="329" spans="1:6" x14ac:dyDescent="0.25">
      <c r="A329" s="1">
        <v>41791</v>
      </c>
      <c r="B329" s="1">
        <v>41807</v>
      </c>
      <c r="C329">
        <v>5.78</v>
      </c>
      <c r="D329">
        <v>0.15</v>
      </c>
      <c r="E329">
        <v>3</v>
      </c>
      <c r="F329">
        <f xml:space="preserve"> WYNAJEM3[[#This Row],[data_wyjazdu]] - WYNAJEM3[[#This Row],[data_przyjazdu]]</f>
        <v>16</v>
      </c>
    </row>
    <row r="330" spans="1:6" x14ac:dyDescent="0.25">
      <c r="A330" s="1">
        <v>41791</v>
      </c>
      <c r="B330" s="1">
        <v>41812</v>
      </c>
      <c r="C330">
        <v>12.01</v>
      </c>
      <c r="D330">
        <v>0.32</v>
      </c>
      <c r="E330">
        <v>5</v>
      </c>
      <c r="F330">
        <f xml:space="preserve"> WYNAJEM3[[#This Row],[data_wyjazdu]] - WYNAJEM3[[#This Row],[data_przyjazdu]]</f>
        <v>21</v>
      </c>
    </row>
    <row r="331" spans="1:6" x14ac:dyDescent="0.25">
      <c r="A331" s="1">
        <v>41791</v>
      </c>
      <c r="B331" s="1">
        <v>41815</v>
      </c>
      <c r="C331">
        <v>7.55</v>
      </c>
      <c r="D331">
        <v>0.2</v>
      </c>
      <c r="E331">
        <v>5</v>
      </c>
      <c r="F331">
        <f xml:space="preserve"> WYNAJEM3[[#This Row],[data_wyjazdu]] - WYNAJEM3[[#This Row],[data_przyjazdu]]</f>
        <v>24</v>
      </c>
    </row>
    <row r="332" spans="1:6" x14ac:dyDescent="0.25">
      <c r="A332" s="1">
        <v>41791</v>
      </c>
      <c r="B332" s="1">
        <v>41794</v>
      </c>
      <c r="C332">
        <v>9.74</v>
      </c>
      <c r="D332">
        <v>0.26</v>
      </c>
      <c r="E332">
        <v>3</v>
      </c>
      <c r="F332">
        <f xml:space="preserve"> WYNAJEM3[[#This Row],[data_wyjazdu]] - WYNAJEM3[[#This Row],[data_przyjazdu]]</f>
        <v>3</v>
      </c>
    </row>
    <row r="333" spans="1:6" x14ac:dyDescent="0.25">
      <c r="A333" s="1">
        <v>41792</v>
      </c>
      <c r="B333" s="1">
        <v>41802</v>
      </c>
      <c r="C333">
        <v>2.72</v>
      </c>
      <c r="D333">
        <v>7.0000000000000007E-2</v>
      </c>
      <c r="E333">
        <v>2</v>
      </c>
      <c r="F333">
        <f xml:space="preserve"> WYNAJEM3[[#This Row],[data_wyjazdu]] - WYNAJEM3[[#This Row],[data_przyjazdu]]</f>
        <v>10</v>
      </c>
    </row>
    <row r="334" spans="1:6" x14ac:dyDescent="0.25">
      <c r="A334" s="1">
        <v>41792</v>
      </c>
      <c r="B334" s="1">
        <v>41801</v>
      </c>
      <c r="C334">
        <v>3.57</v>
      </c>
      <c r="D334">
        <v>0.09</v>
      </c>
      <c r="E334">
        <v>3</v>
      </c>
      <c r="F334">
        <f xml:space="preserve"> WYNAJEM3[[#This Row],[data_wyjazdu]] - WYNAJEM3[[#This Row],[data_przyjazdu]]</f>
        <v>9</v>
      </c>
    </row>
    <row r="335" spans="1:6" x14ac:dyDescent="0.25">
      <c r="A335" s="1">
        <v>41792</v>
      </c>
      <c r="B335" s="1">
        <v>41813</v>
      </c>
      <c r="C335">
        <v>7.55</v>
      </c>
      <c r="D335">
        <v>0.2</v>
      </c>
      <c r="E335">
        <v>6</v>
      </c>
      <c r="F335">
        <f xml:space="preserve"> WYNAJEM3[[#This Row],[data_wyjazdu]] - WYNAJEM3[[#This Row],[data_przyjazdu]]</f>
        <v>21</v>
      </c>
    </row>
    <row r="336" spans="1:6" x14ac:dyDescent="0.25">
      <c r="A336" s="1">
        <v>41792</v>
      </c>
      <c r="B336" s="1">
        <v>41812</v>
      </c>
      <c r="C336">
        <v>3.57</v>
      </c>
      <c r="D336">
        <v>0.09</v>
      </c>
      <c r="E336">
        <v>2</v>
      </c>
      <c r="F336">
        <f xml:space="preserve"> WYNAJEM3[[#This Row],[data_wyjazdu]] - WYNAJEM3[[#This Row],[data_przyjazdu]]</f>
        <v>20</v>
      </c>
    </row>
    <row r="337" spans="1:6" x14ac:dyDescent="0.25">
      <c r="A337" s="1">
        <v>41793</v>
      </c>
      <c r="B337" s="1">
        <v>41803</v>
      </c>
      <c r="C337">
        <v>2.29</v>
      </c>
      <c r="D337">
        <v>0.06</v>
      </c>
      <c r="E337">
        <v>5</v>
      </c>
      <c r="F337">
        <f xml:space="preserve"> WYNAJEM3[[#This Row],[data_wyjazdu]] - WYNAJEM3[[#This Row],[data_przyjazdu]]</f>
        <v>10</v>
      </c>
    </row>
    <row r="338" spans="1:6" x14ac:dyDescent="0.25">
      <c r="A338" s="1">
        <v>41793</v>
      </c>
      <c r="B338" s="1">
        <v>41817</v>
      </c>
      <c r="C338">
        <v>9.06</v>
      </c>
      <c r="D338">
        <v>0.24</v>
      </c>
      <c r="E338">
        <v>4</v>
      </c>
      <c r="F338">
        <f xml:space="preserve"> WYNAJEM3[[#This Row],[data_wyjazdu]] - WYNAJEM3[[#This Row],[data_przyjazdu]]</f>
        <v>24</v>
      </c>
    </row>
    <row r="339" spans="1:6" x14ac:dyDescent="0.25">
      <c r="A339" s="1">
        <v>41794</v>
      </c>
      <c r="B339" s="1">
        <v>41798</v>
      </c>
      <c r="C339">
        <v>4.25</v>
      </c>
      <c r="D339">
        <v>0.11</v>
      </c>
      <c r="E339">
        <v>2</v>
      </c>
      <c r="F339">
        <f xml:space="preserve"> WYNAJEM3[[#This Row],[data_wyjazdu]] - WYNAJEM3[[#This Row],[data_przyjazdu]]</f>
        <v>4</v>
      </c>
    </row>
    <row r="340" spans="1:6" x14ac:dyDescent="0.25">
      <c r="A340" s="1">
        <v>41794</v>
      </c>
      <c r="B340" s="1">
        <v>41804</v>
      </c>
      <c r="C340">
        <v>7.31</v>
      </c>
      <c r="D340">
        <v>0.19</v>
      </c>
      <c r="E340">
        <v>6</v>
      </c>
      <c r="F340">
        <f xml:space="preserve"> WYNAJEM3[[#This Row],[data_wyjazdu]] - WYNAJEM3[[#This Row],[data_przyjazdu]]</f>
        <v>10</v>
      </c>
    </row>
    <row r="341" spans="1:6" x14ac:dyDescent="0.25">
      <c r="A341" s="1">
        <v>41794</v>
      </c>
      <c r="B341" s="1">
        <v>41800</v>
      </c>
      <c r="C341">
        <v>9.06</v>
      </c>
      <c r="D341">
        <v>0.24</v>
      </c>
      <c r="E341">
        <v>2</v>
      </c>
      <c r="F341">
        <f xml:space="preserve"> WYNAJEM3[[#This Row],[data_wyjazdu]] - WYNAJEM3[[#This Row],[data_przyjazdu]]</f>
        <v>6</v>
      </c>
    </row>
    <row r="342" spans="1:6" x14ac:dyDescent="0.25">
      <c r="A342" s="1">
        <v>41795</v>
      </c>
      <c r="B342" s="1">
        <v>41799</v>
      </c>
      <c r="C342">
        <v>6.43</v>
      </c>
      <c r="D342">
        <v>0.17</v>
      </c>
      <c r="E342">
        <v>3</v>
      </c>
      <c r="F342">
        <f xml:space="preserve"> WYNAJEM3[[#This Row],[data_wyjazdu]] - WYNAJEM3[[#This Row],[data_przyjazdu]]</f>
        <v>4</v>
      </c>
    </row>
    <row r="343" spans="1:6" x14ac:dyDescent="0.25">
      <c r="A343" s="1">
        <v>41797</v>
      </c>
      <c r="B343" s="1">
        <v>41808</v>
      </c>
      <c r="C343">
        <v>2.0099999999999998</v>
      </c>
      <c r="D343">
        <v>0.05</v>
      </c>
      <c r="E343">
        <v>3</v>
      </c>
      <c r="F343">
        <f xml:space="preserve"> WYNAJEM3[[#This Row],[data_wyjazdu]] - WYNAJEM3[[#This Row],[data_przyjazdu]]</f>
        <v>11</v>
      </c>
    </row>
    <row r="344" spans="1:6" x14ac:dyDescent="0.25">
      <c r="A344" s="1">
        <v>41797</v>
      </c>
      <c r="B344" s="1">
        <v>41802</v>
      </c>
      <c r="C344">
        <v>8.51</v>
      </c>
      <c r="D344">
        <v>0.22</v>
      </c>
      <c r="E344">
        <v>3</v>
      </c>
      <c r="F344">
        <f xml:space="preserve"> WYNAJEM3[[#This Row],[data_wyjazdu]] - WYNAJEM3[[#This Row],[data_przyjazdu]]</f>
        <v>5</v>
      </c>
    </row>
    <row r="345" spans="1:6" x14ac:dyDescent="0.25">
      <c r="A345" s="1">
        <v>41797</v>
      </c>
      <c r="B345" s="1">
        <v>41817</v>
      </c>
      <c r="C345">
        <v>16.55</v>
      </c>
      <c r="D345">
        <v>0.44</v>
      </c>
      <c r="E345">
        <v>4</v>
      </c>
      <c r="F345">
        <f xml:space="preserve"> WYNAJEM3[[#This Row],[data_wyjazdu]] - WYNAJEM3[[#This Row],[data_przyjazdu]]</f>
        <v>20</v>
      </c>
    </row>
    <row r="346" spans="1:6" x14ac:dyDescent="0.25">
      <c r="A346" s="1">
        <v>41797</v>
      </c>
      <c r="B346" s="1">
        <v>41804</v>
      </c>
      <c r="C346">
        <v>9.1300000000000008</v>
      </c>
      <c r="D346">
        <v>0.24</v>
      </c>
      <c r="E346">
        <v>3</v>
      </c>
      <c r="F346">
        <f xml:space="preserve"> WYNAJEM3[[#This Row],[data_wyjazdu]] - WYNAJEM3[[#This Row],[data_przyjazdu]]</f>
        <v>7</v>
      </c>
    </row>
    <row r="347" spans="1:6" x14ac:dyDescent="0.25">
      <c r="A347" s="1">
        <v>41797</v>
      </c>
      <c r="B347" s="1">
        <v>41816</v>
      </c>
      <c r="C347">
        <v>10.199999999999999</v>
      </c>
      <c r="D347">
        <v>0.27</v>
      </c>
      <c r="E347">
        <v>5</v>
      </c>
      <c r="F347">
        <f xml:space="preserve"> WYNAJEM3[[#This Row],[data_wyjazdu]] - WYNAJEM3[[#This Row],[data_przyjazdu]]</f>
        <v>19</v>
      </c>
    </row>
    <row r="348" spans="1:6" x14ac:dyDescent="0.25">
      <c r="A348" s="1">
        <v>41799</v>
      </c>
      <c r="B348" s="1">
        <v>41823</v>
      </c>
      <c r="C348">
        <v>6.23</v>
      </c>
      <c r="D348">
        <v>0.16</v>
      </c>
      <c r="E348">
        <v>2</v>
      </c>
      <c r="F348">
        <f xml:space="preserve"> WYNAJEM3[[#This Row],[data_wyjazdu]] - WYNAJEM3[[#This Row],[data_przyjazdu]]</f>
        <v>24</v>
      </c>
    </row>
    <row r="349" spans="1:6" x14ac:dyDescent="0.25">
      <c r="A349" s="1">
        <v>41803</v>
      </c>
      <c r="B349" s="1">
        <v>41827</v>
      </c>
      <c r="C349">
        <v>8.51</v>
      </c>
      <c r="D349">
        <v>0.22</v>
      </c>
      <c r="E349">
        <v>3</v>
      </c>
      <c r="F349">
        <f xml:space="preserve"> WYNAJEM3[[#This Row],[data_wyjazdu]] - WYNAJEM3[[#This Row],[data_przyjazdu]]</f>
        <v>24</v>
      </c>
    </row>
    <row r="350" spans="1:6" x14ac:dyDescent="0.25">
      <c r="A350" s="1">
        <v>41803</v>
      </c>
      <c r="B350" s="1">
        <v>41811</v>
      </c>
      <c r="C350">
        <v>13.82</v>
      </c>
      <c r="D350">
        <v>0.36</v>
      </c>
      <c r="E350">
        <v>4</v>
      </c>
      <c r="F350">
        <f xml:space="preserve"> WYNAJEM3[[#This Row],[data_wyjazdu]] - WYNAJEM3[[#This Row],[data_przyjazdu]]</f>
        <v>8</v>
      </c>
    </row>
    <row r="351" spans="1:6" x14ac:dyDescent="0.25">
      <c r="A351" s="1">
        <v>41803</v>
      </c>
      <c r="B351" s="1">
        <v>41825</v>
      </c>
      <c r="C351">
        <v>6.34</v>
      </c>
      <c r="D351">
        <v>0.17</v>
      </c>
      <c r="E351">
        <v>6</v>
      </c>
      <c r="F351">
        <f xml:space="preserve"> WYNAJEM3[[#This Row],[data_wyjazdu]] - WYNAJEM3[[#This Row],[data_przyjazdu]]</f>
        <v>22</v>
      </c>
    </row>
    <row r="352" spans="1:6" x14ac:dyDescent="0.25">
      <c r="A352" s="1">
        <v>41803</v>
      </c>
      <c r="B352" s="1">
        <v>41829</v>
      </c>
      <c r="C352">
        <v>10.19</v>
      </c>
      <c r="D352">
        <v>0.27</v>
      </c>
      <c r="E352">
        <v>6</v>
      </c>
      <c r="F352">
        <f xml:space="preserve"> WYNAJEM3[[#This Row],[data_wyjazdu]] - WYNAJEM3[[#This Row],[data_przyjazdu]]</f>
        <v>26</v>
      </c>
    </row>
    <row r="353" spans="1:6" x14ac:dyDescent="0.25">
      <c r="A353" s="1">
        <v>41803</v>
      </c>
      <c r="B353" s="1">
        <v>41805</v>
      </c>
      <c r="C353">
        <v>14</v>
      </c>
      <c r="D353">
        <v>0.37</v>
      </c>
      <c r="E353">
        <v>3</v>
      </c>
      <c r="F353">
        <f xml:space="preserve"> WYNAJEM3[[#This Row],[data_wyjazdu]] - WYNAJEM3[[#This Row],[data_przyjazdu]]</f>
        <v>2</v>
      </c>
    </row>
    <row r="354" spans="1:6" x14ac:dyDescent="0.25">
      <c r="A354" s="1">
        <v>41803</v>
      </c>
      <c r="B354" s="1">
        <v>41814</v>
      </c>
      <c r="C354">
        <v>14</v>
      </c>
      <c r="D354">
        <v>0.37</v>
      </c>
      <c r="E354">
        <v>4</v>
      </c>
      <c r="F354">
        <f xml:space="preserve"> WYNAJEM3[[#This Row],[data_wyjazdu]] - WYNAJEM3[[#This Row],[data_przyjazdu]]</f>
        <v>11</v>
      </c>
    </row>
    <row r="355" spans="1:6" x14ac:dyDescent="0.25">
      <c r="A355" s="1">
        <v>41803</v>
      </c>
      <c r="B355" s="1">
        <v>41816</v>
      </c>
      <c r="C355">
        <v>10.19</v>
      </c>
      <c r="D355">
        <v>0.27</v>
      </c>
      <c r="E355">
        <v>2</v>
      </c>
      <c r="F355">
        <f xml:space="preserve"> WYNAJEM3[[#This Row],[data_wyjazdu]] - WYNAJEM3[[#This Row],[data_przyjazdu]]</f>
        <v>13</v>
      </c>
    </row>
    <row r="356" spans="1:6" x14ac:dyDescent="0.25">
      <c r="A356" s="1">
        <v>41803</v>
      </c>
      <c r="B356" s="1">
        <v>41818</v>
      </c>
      <c r="C356">
        <v>8.89</v>
      </c>
      <c r="D356">
        <v>0.23</v>
      </c>
      <c r="E356">
        <v>5</v>
      </c>
      <c r="F356">
        <f xml:space="preserve"> WYNAJEM3[[#This Row],[data_wyjazdu]] - WYNAJEM3[[#This Row],[data_przyjazdu]]</f>
        <v>15</v>
      </c>
    </row>
    <row r="357" spans="1:6" x14ac:dyDescent="0.25">
      <c r="A357" s="1">
        <v>41803</v>
      </c>
      <c r="B357" s="1">
        <v>41814</v>
      </c>
      <c r="C357">
        <v>11.44</v>
      </c>
      <c r="D357">
        <v>0.3</v>
      </c>
      <c r="E357">
        <v>6</v>
      </c>
      <c r="F357">
        <f xml:space="preserve"> WYNAJEM3[[#This Row],[data_wyjazdu]] - WYNAJEM3[[#This Row],[data_przyjazdu]]</f>
        <v>11</v>
      </c>
    </row>
    <row r="358" spans="1:6" x14ac:dyDescent="0.25">
      <c r="A358" s="1">
        <v>41803</v>
      </c>
      <c r="B358" s="1">
        <v>41827</v>
      </c>
      <c r="C358">
        <v>10.93</v>
      </c>
      <c r="D358">
        <v>0.28999999999999998</v>
      </c>
      <c r="E358">
        <v>2</v>
      </c>
      <c r="F358">
        <f xml:space="preserve"> WYNAJEM3[[#This Row],[data_wyjazdu]] - WYNAJEM3[[#This Row],[data_przyjazdu]]</f>
        <v>24</v>
      </c>
    </row>
    <row r="359" spans="1:6" x14ac:dyDescent="0.25">
      <c r="A359" s="1">
        <v>41803</v>
      </c>
      <c r="B359" s="1">
        <v>41822</v>
      </c>
      <c r="C359">
        <v>6.34</v>
      </c>
      <c r="D359">
        <v>0.17</v>
      </c>
      <c r="E359">
        <v>4</v>
      </c>
      <c r="F359">
        <f xml:space="preserve"> WYNAJEM3[[#This Row],[data_wyjazdu]] - WYNAJEM3[[#This Row],[data_przyjazdu]]</f>
        <v>19</v>
      </c>
    </row>
    <row r="360" spans="1:6" x14ac:dyDescent="0.25">
      <c r="A360" s="1">
        <v>41803</v>
      </c>
      <c r="B360" s="1">
        <v>41813</v>
      </c>
      <c r="C360">
        <v>5.67</v>
      </c>
      <c r="D360">
        <v>0.15</v>
      </c>
      <c r="E360">
        <v>5</v>
      </c>
      <c r="F360">
        <f xml:space="preserve"> WYNAJEM3[[#This Row],[data_wyjazdu]] - WYNAJEM3[[#This Row],[data_przyjazdu]]</f>
        <v>10</v>
      </c>
    </row>
    <row r="361" spans="1:6" x14ac:dyDescent="0.25">
      <c r="A361" s="1">
        <v>41803</v>
      </c>
      <c r="B361" s="1">
        <v>41821</v>
      </c>
      <c r="C361">
        <v>8.51</v>
      </c>
      <c r="D361">
        <v>0.22</v>
      </c>
      <c r="E361">
        <v>6</v>
      </c>
      <c r="F361">
        <f xml:space="preserve"> WYNAJEM3[[#This Row],[data_wyjazdu]] - WYNAJEM3[[#This Row],[data_przyjazdu]]</f>
        <v>18</v>
      </c>
    </row>
    <row r="362" spans="1:6" x14ac:dyDescent="0.25">
      <c r="A362" s="1">
        <v>41803</v>
      </c>
      <c r="B362" s="1">
        <v>41817</v>
      </c>
      <c r="C362">
        <v>16.829999999999998</v>
      </c>
      <c r="D362">
        <v>0.44</v>
      </c>
      <c r="E362">
        <v>5</v>
      </c>
      <c r="F362">
        <f xml:space="preserve"> WYNAJEM3[[#This Row],[data_wyjazdu]] - WYNAJEM3[[#This Row],[data_przyjazdu]]</f>
        <v>14</v>
      </c>
    </row>
    <row r="363" spans="1:6" x14ac:dyDescent="0.25">
      <c r="A363" s="1">
        <v>41803</v>
      </c>
      <c r="B363" s="1">
        <v>41814</v>
      </c>
      <c r="C363">
        <v>11.69</v>
      </c>
      <c r="D363">
        <v>0.31</v>
      </c>
      <c r="E363">
        <v>5</v>
      </c>
      <c r="F363">
        <f xml:space="preserve"> WYNAJEM3[[#This Row],[data_wyjazdu]] - WYNAJEM3[[#This Row],[data_przyjazdu]]</f>
        <v>11</v>
      </c>
    </row>
    <row r="364" spans="1:6" x14ac:dyDescent="0.25">
      <c r="A364" s="1">
        <v>41806</v>
      </c>
      <c r="B364" s="1">
        <v>41808</v>
      </c>
      <c r="C364">
        <v>7.71</v>
      </c>
      <c r="D364">
        <v>0.2</v>
      </c>
      <c r="E364">
        <v>3</v>
      </c>
      <c r="F364">
        <f xml:space="preserve"> WYNAJEM3[[#This Row],[data_wyjazdu]] - WYNAJEM3[[#This Row],[data_przyjazdu]]</f>
        <v>2</v>
      </c>
    </row>
    <row r="365" spans="1:6" x14ac:dyDescent="0.25">
      <c r="A365" s="1">
        <v>41806</v>
      </c>
      <c r="B365" s="1">
        <v>41834</v>
      </c>
      <c r="C365">
        <v>5.67</v>
      </c>
      <c r="D365">
        <v>0.15</v>
      </c>
      <c r="E365">
        <v>5</v>
      </c>
      <c r="F365">
        <f xml:space="preserve"> WYNAJEM3[[#This Row],[data_wyjazdu]] - WYNAJEM3[[#This Row],[data_przyjazdu]]</f>
        <v>28</v>
      </c>
    </row>
    <row r="366" spans="1:6" x14ac:dyDescent="0.25">
      <c r="A366" s="1">
        <v>41809</v>
      </c>
      <c r="B366" s="1">
        <v>41837</v>
      </c>
      <c r="C366">
        <v>7.3</v>
      </c>
      <c r="D366">
        <v>0.19</v>
      </c>
      <c r="E366">
        <v>6</v>
      </c>
      <c r="F366">
        <f xml:space="preserve"> WYNAJEM3[[#This Row],[data_wyjazdu]] - WYNAJEM3[[#This Row],[data_przyjazdu]]</f>
        <v>28</v>
      </c>
    </row>
    <row r="367" spans="1:6" x14ac:dyDescent="0.25">
      <c r="A367" s="1">
        <v>41809</v>
      </c>
      <c r="B367" s="1">
        <v>41813</v>
      </c>
      <c r="C367">
        <v>5.64</v>
      </c>
      <c r="D367">
        <v>0.15</v>
      </c>
      <c r="E367">
        <v>5</v>
      </c>
      <c r="F367">
        <f xml:space="preserve"> WYNAJEM3[[#This Row],[data_wyjazdu]] - WYNAJEM3[[#This Row],[data_przyjazdu]]</f>
        <v>4</v>
      </c>
    </row>
    <row r="368" spans="1:6" x14ac:dyDescent="0.25">
      <c r="A368" s="1">
        <v>41809</v>
      </c>
      <c r="B368" s="1">
        <v>41815</v>
      </c>
      <c r="C368">
        <v>10.79</v>
      </c>
      <c r="D368">
        <v>0.28000000000000003</v>
      </c>
      <c r="E368">
        <v>5</v>
      </c>
      <c r="F368">
        <f xml:space="preserve"> WYNAJEM3[[#This Row],[data_wyjazdu]] - WYNAJEM3[[#This Row],[data_przyjazdu]]</f>
        <v>6</v>
      </c>
    </row>
    <row r="369" spans="1:6" x14ac:dyDescent="0.25">
      <c r="A369" s="1">
        <v>41809</v>
      </c>
      <c r="B369" s="1">
        <v>41830</v>
      </c>
      <c r="C369">
        <v>10.199999999999999</v>
      </c>
      <c r="D369">
        <v>0.27</v>
      </c>
      <c r="E369">
        <v>6</v>
      </c>
      <c r="F369">
        <f xml:space="preserve"> WYNAJEM3[[#This Row],[data_wyjazdu]] - WYNAJEM3[[#This Row],[data_przyjazdu]]</f>
        <v>21</v>
      </c>
    </row>
    <row r="370" spans="1:6" x14ac:dyDescent="0.25">
      <c r="A370" s="1">
        <v>41809</v>
      </c>
      <c r="B370" s="1">
        <v>41821</v>
      </c>
      <c r="C370">
        <v>16.55</v>
      </c>
      <c r="D370">
        <v>0.44</v>
      </c>
      <c r="E370">
        <v>3</v>
      </c>
      <c r="F370">
        <f xml:space="preserve"> WYNAJEM3[[#This Row],[data_wyjazdu]] - WYNAJEM3[[#This Row],[data_przyjazdu]]</f>
        <v>12</v>
      </c>
    </row>
    <row r="371" spans="1:6" x14ac:dyDescent="0.25">
      <c r="A371" s="1">
        <v>41809</v>
      </c>
      <c r="B371" s="1">
        <v>41829</v>
      </c>
      <c r="C371">
        <v>8.9499999999999993</v>
      </c>
      <c r="D371">
        <v>0.24</v>
      </c>
      <c r="E371">
        <v>6</v>
      </c>
      <c r="F371">
        <f xml:space="preserve"> WYNAJEM3[[#This Row],[data_wyjazdu]] - WYNAJEM3[[#This Row],[data_przyjazdu]]</f>
        <v>20</v>
      </c>
    </row>
    <row r="372" spans="1:6" x14ac:dyDescent="0.25">
      <c r="A372" s="1">
        <v>41815</v>
      </c>
      <c r="B372" s="1">
        <v>41825</v>
      </c>
      <c r="C372">
        <v>5.64</v>
      </c>
      <c r="D372">
        <v>0.15</v>
      </c>
      <c r="E372">
        <v>4</v>
      </c>
      <c r="F372">
        <f xml:space="preserve"> WYNAJEM3[[#This Row],[data_wyjazdu]] - WYNAJEM3[[#This Row],[data_przyjazdu]]</f>
        <v>10</v>
      </c>
    </row>
    <row r="373" spans="1:6" x14ac:dyDescent="0.25">
      <c r="A373" s="1">
        <v>41815</v>
      </c>
      <c r="B373" s="1">
        <v>41840</v>
      </c>
      <c r="C373">
        <v>6.34</v>
      </c>
      <c r="D373">
        <v>0.17</v>
      </c>
      <c r="E373">
        <v>3</v>
      </c>
      <c r="F373">
        <f xml:space="preserve"> WYNAJEM3[[#This Row],[data_wyjazdu]] - WYNAJEM3[[#This Row],[data_przyjazdu]]</f>
        <v>25</v>
      </c>
    </row>
    <row r="374" spans="1:6" x14ac:dyDescent="0.25">
      <c r="A374" s="1">
        <v>41815</v>
      </c>
      <c r="B374" s="1">
        <v>41832</v>
      </c>
      <c r="C374">
        <v>11.69</v>
      </c>
      <c r="D374">
        <v>0.31</v>
      </c>
      <c r="E374">
        <v>6</v>
      </c>
      <c r="F374">
        <f xml:space="preserve"> WYNAJEM3[[#This Row],[data_wyjazdu]] - WYNAJEM3[[#This Row],[data_przyjazdu]]</f>
        <v>17</v>
      </c>
    </row>
    <row r="375" spans="1:6" x14ac:dyDescent="0.25">
      <c r="A375" s="1">
        <v>41815</v>
      </c>
      <c r="B375" s="1">
        <v>41839</v>
      </c>
      <c r="C375">
        <v>11.42</v>
      </c>
      <c r="D375">
        <v>0.3</v>
      </c>
      <c r="E375">
        <v>5</v>
      </c>
      <c r="F375">
        <f xml:space="preserve"> WYNAJEM3[[#This Row],[data_wyjazdu]] - WYNAJEM3[[#This Row],[data_przyjazdu]]</f>
        <v>24</v>
      </c>
    </row>
    <row r="376" spans="1:6" x14ac:dyDescent="0.25">
      <c r="A376" s="1">
        <v>41815</v>
      </c>
      <c r="B376" s="1">
        <v>41822</v>
      </c>
      <c r="C376">
        <v>8.5399999999999991</v>
      </c>
      <c r="D376">
        <v>0.22</v>
      </c>
      <c r="E376">
        <v>6</v>
      </c>
      <c r="F376">
        <f xml:space="preserve"> WYNAJEM3[[#This Row],[data_wyjazdu]] - WYNAJEM3[[#This Row],[data_przyjazdu]]</f>
        <v>7</v>
      </c>
    </row>
    <row r="377" spans="1:6" x14ac:dyDescent="0.25">
      <c r="A377" s="1">
        <v>41815</v>
      </c>
      <c r="B377" s="1">
        <v>41831</v>
      </c>
      <c r="C377">
        <v>10.199999999999999</v>
      </c>
      <c r="D377">
        <v>0.27</v>
      </c>
      <c r="E377">
        <v>3</v>
      </c>
      <c r="F377">
        <f xml:space="preserve"> WYNAJEM3[[#This Row],[data_wyjazdu]] - WYNAJEM3[[#This Row],[data_przyjazdu]]</f>
        <v>16</v>
      </c>
    </row>
    <row r="378" spans="1:6" x14ac:dyDescent="0.25">
      <c r="A378" s="1">
        <v>41815</v>
      </c>
      <c r="B378" s="1">
        <v>41833</v>
      </c>
      <c r="C378">
        <v>8.39</v>
      </c>
      <c r="D378">
        <v>0.22</v>
      </c>
      <c r="E378">
        <v>6</v>
      </c>
      <c r="F378">
        <f xml:space="preserve"> WYNAJEM3[[#This Row],[data_wyjazdu]] - WYNAJEM3[[#This Row],[data_przyjazdu]]</f>
        <v>18</v>
      </c>
    </row>
    <row r="379" spans="1:6" x14ac:dyDescent="0.25">
      <c r="A379" s="1">
        <v>41815</v>
      </c>
      <c r="B379" s="1">
        <v>41826</v>
      </c>
      <c r="C379">
        <v>9.4600000000000009</v>
      </c>
      <c r="D379">
        <v>0.25</v>
      </c>
      <c r="E379">
        <v>4</v>
      </c>
      <c r="F379">
        <f xml:space="preserve"> WYNAJEM3[[#This Row],[data_wyjazdu]] - WYNAJEM3[[#This Row],[data_przyjazdu]]</f>
        <v>11</v>
      </c>
    </row>
    <row r="380" spans="1:6" x14ac:dyDescent="0.25">
      <c r="A380" s="1">
        <v>41815</v>
      </c>
      <c r="B380" s="1">
        <v>41843</v>
      </c>
      <c r="C380">
        <v>11.37</v>
      </c>
      <c r="D380">
        <v>0.3</v>
      </c>
      <c r="E380">
        <v>5</v>
      </c>
      <c r="F380">
        <f xml:space="preserve"> WYNAJEM3[[#This Row],[data_wyjazdu]] - WYNAJEM3[[#This Row],[data_przyjazdu]]</f>
        <v>28</v>
      </c>
    </row>
    <row r="381" spans="1:6" x14ac:dyDescent="0.25">
      <c r="A381" s="1">
        <v>41815</v>
      </c>
      <c r="B381" s="1">
        <v>41841</v>
      </c>
      <c r="C381">
        <v>3.79</v>
      </c>
      <c r="D381">
        <v>0.1</v>
      </c>
      <c r="E381">
        <v>5</v>
      </c>
      <c r="F381">
        <f xml:space="preserve"> WYNAJEM3[[#This Row],[data_wyjazdu]] - WYNAJEM3[[#This Row],[data_przyjazdu]]</f>
        <v>26</v>
      </c>
    </row>
    <row r="382" spans="1:6" x14ac:dyDescent="0.25">
      <c r="A382" s="1">
        <v>41815</v>
      </c>
      <c r="B382" s="1">
        <v>41835</v>
      </c>
      <c r="C382">
        <v>8.84</v>
      </c>
      <c r="D382">
        <v>0.23</v>
      </c>
      <c r="E382">
        <v>2</v>
      </c>
      <c r="F382">
        <f xml:space="preserve"> WYNAJEM3[[#This Row],[data_wyjazdu]] - WYNAJEM3[[#This Row],[data_przyjazdu]]</f>
        <v>20</v>
      </c>
    </row>
    <row r="383" spans="1:6" x14ac:dyDescent="0.25">
      <c r="A383" s="1">
        <v>41815</v>
      </c>
      <c r="B383" s="1">
        <v>41825</v>
      </c>
      <c r="C383">
        <v>19.54</v>
      </c>
      <c r="D383">
        <v>0.51</v>
      </c>
      <c r="E383">
        <v>4</v>
      </c>
      <c r="F383">
        <f xml:space="preserve"> WYNAJEM3[[#This Row],[data_wyjazdu]] - WYNAJEM3[[#This Row],[data_przyjazdu]]</f>
        <v>10</v>
      </c>
    </row>
    <row r="384" spans="1:6" x14ac:dyDescent="0.25">
      <c r="A384" s="1">
        <v>41815</v>
      </c>
      <c r="B384" s="1">
        <v>41821</v>
      </c>
      <c r="C384">
        <v>3.79</v>
      </c>
      <c r="D384">
        <v>0.1</v>
      </c>
      <c r="E384">
        <v>5</v>
      </c>
      <c r="F384">
        <f xml:space="preserve"> WYNAJEM3[[#This Row],[data_wyjazdu]] - WYNAJEM3[[#This Row],[data_przyjazdu]]</f>
        <v>6</v>
      </c>
    </row>
    <row r="385" spans="1:6" x14ac:dyDescent="0.25">
      <c r="A385" s="1">
        <v>41815</v>
      </c>
      <c r="B385" s="1">
        <v>41828</v>
      </c>
      <c r="C385">
        <v>9.74</v>
      </c>
      <c r="D385">
        <v>0.26</v>
      </c>
      <c r="E385">
        <v>6</v>
      </c>
      <c r="F385">
        <f xml:space="preserve"> WYNAJEM3[[#This Row],[data_wyjazdu]] - WYNAJEM3[[#This Row],[data_przyjazdu]]</f>
        <v>13</v>
      </c>
    </row>
    <row r="386" spans="1:6" x14ac:dyDescent="0.25">
      <c r="A386" s="1">
        <v>41815</v>
      </c>
      <c r="B386" s="1">
        <v>41837</v>
      </c>
      <c r="C386">
        <v>10.199999999999999</v>
      </c>
      <c r="D386">
        <v>0.27</v>
      </c>
      <c r="E386">
        <v>2</v>
      </c>
      <c r="F386">
        <f xml:space="preserve"> WYNAJEM3[[#This Row],[data_wyjazdu]] - WYNAJEM3[[#This Row],[data_przyjazdu]]</f>
        <v>22</v>
      </c>
    </row>
    <row r="387" spans="1:6" x14ac:dyDescent="0.25">
      <c r="A387" s="1">
        <v>41815</v>
      </c>
      <c r="B387" s="1">
        <v>41836</v>
      </c>
      <c r="C387">
        <v>3.88</v>
      </c>
      <c r="D387">
        <v>0.1</v>
      </c>
      <c r="E387">
        <v>4</v>
      </c>
      <c r="F387">
        <f xml:space="preserve"> WYNAJEM3[[#This Row],[data_wyjazdu]] - WYNAJEM3[[#This Row],[data_przyjazdu]]</f>
        <v>21</v>
      </c>
    </row>
    <row r="388" spans="1:6" x14ac:dyDescent="0.25">
      <c r="A388" s="1">
        <v>41818</v>
      </c>
      <c r="B388" s="1">
        <v>41835</v>
      </c>
      <c r="C388">
        <v>4.66</v>
      </c>
      <c r="D388">
        <v>0.12</v>
      </c>
      <c r="E388">
        <v>4</v>
      </c>
      <c r="F388">
        <f xml:space="preserve"> WYNAJEM3[[#This Row],[data_wyjazdu]] - WYNAJEM3[[#This Row],[data_przyjazdu]]</f>
        <v>17</v>
      </c>
    </row>
    <row r="389" spans="1:6" x14ac:dyDescent="0.25">
      <c r="A389" s="1">
        <v>41821</v>
      </c>
      <c r="B389" s="1">
        <v>41840</v>
      </c>
      <c r="C389">
        <v>16.55</v>
      </c>
      <c r="D389">
        <v>0.44</v>
      </c>
      <c r="E389">
        <v>6</v>
      </c>
      <c r="F389">
        <f xml:space="preserve"> WYNAJEM3[[#This Row],[data_wyjazdu]] - WYNAJEM3[[#This Row],[data_przyjazdu]]</f>
        <v>19</v>
      </c>
    </row>
    <row r="390" spans="1:6" x14ac:dyDescent="0.25">
      <c r="A390" s="1">
        <v>41821</v>
      </c>
      <c r="B390" s="1">
        <v>41835</v>
      </c>
      <c r="C390">
        <v>13.81</v>
      </c>
      <c r="D390">
        <v>0.36</v>
      </c>
      <c r="E390">
        <v>3</v>
      </c>
      <c r="F390">
        <f xml:space="preserve"> WYNAJEM3[[#This Row],[data_wyjazdu]] - WYNAJEM3[[#This Row],[data_przyjazdu]]</f>
        <v>14</v>
      </c>
    </row>
    <row r="391" spans="1:6" x14ac:dyDescent="0.25">
      <c r="A391" s="1">
        <v>41821</v>
      </c>
      <c r="B391" s="1">
        <v>41837</v>
      </c>
      <c r="C391">
        <v>8.51</v>
      </c>
      <c r="D391">
        <v>0.22</v>
      </c>
      <c r="E391">
        <v>5</v>
      </c>
      <c r="F391">
        <f xml:space="preserve"> WYNAJEM3[[#This Row],[data_wyjazdu]] - WYNAJEM3[[#This Row],[data_przyjazdu]]</f>
        <v>16</v>
      </c>
    </row>
    <row r="392" spans="1:6" x14ac:dyDescent="0.25">
      <c r="A392" s="1">
        <v>41821</v>
      </c>
      <c r="B392" s="1">
        <v>41827</v>
      </c>
      <c r="C392">
        <v>8.65</v>
      </c>
      <c r="D392">
        <v>0.23</v>
      </c>
      <c r="E392">
        <v>2</v>
      </c>
      <c r="F392">
        <f xml:space="preserve"> WYNAJEM3[[#This Row],[data_wyjazdu]] - WYNAJEM3[[#This Row],[data_przyjazdu]]</f>
        <v>6</v>
      </c>
    </row>
    <row r="393" spans="1:6" x14ac:dyDescent="0.25">
      <c r="A393" s="1">
        <v>41821</v>
      </c>
      <c r="B393" s="1">
        <v>41832</v>
      </c>
      <c r="C393">
        <v>11.69</v>
      </c>
      <c r="D393">
        <v>0.31</v>
      </c>
      <c r="E393">
        <v>4</v>
      </c>
      <c r="F393">
        <f xml:space="preserve"> WYNAJEM3[[#This Row],[data_wyjazdu]] - WYNAJEM3[[#This Row],[data_przyjazdu]]</f>
        <v>11</v>
      </c>
    </row>
    <row r="394" spans="1:6" x14ac:dyDescent="0.25">
      <c r="A394" s="1">
        <v>41821</v>
      </c>
      <c r="B394" s="1">
        <v>41828</v>
      </c>
      <c r="C394">
        <v>7.06</v>
      </c>
      <c r="D394">
        <v>0.19</v>
      </c>
      <c r="E394">
        <v>3</v>
      </c>
      <c r="F394">
        <f xml:space="preserve"> WYNAJEM3[[#This Row],[data_wyjazdu]] - WYNAJEM3[[#This Row],[data_przyjazdu]]</f>
        <v>7</v>
      </c>
    </row>
    <row r="395" spans="1:6" x14ac:dyDescent="0.25">
      <c r="A395" s="1">
        <v>41827</v>
      </c>
      <c r="B395" s="1">
        <v>41837</v>
      </c>
      <c r="C395">
        <v>11.44</v>
      </c>
      <c r="D395">
        <v>0.3</v>
      </c>
      <c r="E395">
        <v>5</v>
      </c>
      <c r="F395">
        <f xml:space="preserve"> WYNAJEM3[[#This Row],[data_wyjazdu]] - WYNAJEM3[[#This Row],[data_przyjazdu]]</f>
        <v>10</v>
      </c>
    </row>
    <row r="396" spans="1:6" x14ac:dyDescent="0.25">
      <c r="A396" s="1">
        <v>41827</v>
      </c>
      <c r="B396" s="1">
        <v>41831</v>
      </c>
      <c r="C396">
        <v>8.9499999999999993</v>
      </c>
      <c r="D396">
        <v>0.24</v>
      </c>
      <c r="E396">
        <v>4</v>
      </c>
      <c r="F396">
        <f xml:space="preserve"> WYNAJEM3[[#This Row],[data_wyjazdu]] - WYNAJEM3[[#This Row],[data_przyjazdu]]</f>
        <v>4</v>
      </c>
    </row>
    <row r="397" spans="1:6" x14ac:dyDescent="0.25">
      <c r="A397" s="1">
        <v>41827</v>
      </c>
      <c r="B397" s="1">
        <v>41847</v>
      </c>
      <c r="C397">
        <v>9.4600000000000009</v>
      </c>
      <c r="D397">
        <v>0.25</v>
      </c>
      <c r="E397">
        <v>6</v>
      </c>
      <c r="F397">
        <f xml:space="preserve"> WYNAJEM3[[#This Row],[data_wyjazdu]] - WYNAJEM3[[#This Row],[data_przyjazdu]]</f>
        <v>20</v>
      </c>
    </row>
    <row r="398" spans="1:6" x14ac:dyDescent="0.25">
      <c r="A398" s="1">
        <v>41827</v>
      </c>
      <c r="B398" s="1">
        <v>41841</v>
      </c>
      <c r="C398">
        <v>5.23</v>
      </c>
      <c r="D398">
        <v>0.14000000000000001</v>
      </c>
      <c r="E398">
        <v>3</v>
      </c>
      <c r="F398">
        <f xml:space="preserve"> WYNAJEM3[[#This Row],[data_wyjazdu]] - WYNAJEM3[[#This Row],[data_przyjazdu]]</f>
        <v>14</v>
      </c>
    </row>
    <row r="399" spans="1:6" x14ac:dyDescent="0.25">
      <c r="A399" s="1">
        <v>41827</v>
      </c>
      <c r="B399" s="1">
        <v>41847</v>
      </c>
      <c r="C399">
        <v>11.78</v>
      </c>
      <c r="D399">
        <v>0.31</v>
      </c>
      <c r="E399">
        <v>4</v>
      </c>
      <c r="F399">
        <f xml:space="preserve"> WYNAJEM3[[#This Row],[data_wyjazdu]] - WYNAJEM3[[#This Row],[data_przyjazdu]]</f>
        <v>20</v>
      </c>
    </row>
    <row r="400" spans="1:6" x14ac:dyDescent="0.25">
      <c r="A400" s="1">
        <v>41827</v>
      </c>
      <c r="B400" s="1">
        <v>41836</v>
      </c>
      <c r="C400">
        <v>5.64</v>
      </c>
      <c r="D400">
        <v>0.15</v>
      </c>
      <c r="E400">
        <v>3</v>
      </c>
      <c r="F400">
        <f xml:space="preserve"> WYNAJEM3[[#This Row],[data_wyjazdu]] - WYNAJEM3[[#This Row],[data_przyjazdu]]</f>
        <v>9</v>
      </c>
    </row>
    <row r="401" spans="1:6" x14ac:dyDescent="0.25">
      <c r="A401" s="1">
        <v>41827</v>
      </c>
      <c r="B401" s="1">
        <v>41839</v>
      </c>
      <c r="C401">
        <v>10.199999999999999</v>
      </c>
      <c r="D401">
        <v>0.27</v>
      </c>
      <c r="E401">
        <v>2</v>
      </c>
      <c r="F401">
        <f xml:space="preserve"> WYNAJEM3[[#This Row],[data_wyjazdu]] - WYNAJEM3[[#This Row],[data_przyjazdu]]</f>
        <v>12</v>
      </c>
    </row>
    <row r="402" spans="1:6" x14ac:dyDescent="0.25">
      <c r="A402" s="1">
        <v>41827</v>
      </c>
      <c r="B402" s="1">
        <v>41852</v>
      </c>
      <c r="C402">
        <v>3.88</v>
      </c>
      <c r="D402">
        <v>0.1</v>
      </c>
      <c r="E402">
        <v>5</v>
      </c>
      <c r="F402">
        <f xml:space="preserve"> WYNAJEM3[[#This Row],[data_wyjazdu]] - WYNAJEM3[[#This Row],[data_przyjazdu]]</f>
        <v>25</v>
      </c>
    </row>
    <row r="403" spans="1:6" x14ac:dyDescent="0.25">
      <c r="A403" s="1">
        <v>41827</v>
      </c>
      <c r="B403" s="1">
        <v>41835</v>
      </c>
      <c r="C403">
        <v>4.66</v>
      </c>
      <c r="D403">
        <v>0.12</v>
      </c>
      <c r="E403">
        <v>4</v>
      </c>
      <c r="F403">
        <f xml:space="preserve"> WYNAJEM3[[#This Row],[data_wyjazdu]] - WYNAJEM3[[#This Row],[data_przyjazdu]]</f>
        <v>8</v>
      </c>
    </row>
    <row r="404" spans="1:6" x14ac:dyDescent="0.25">
      <c r="A404" s="1">
        <v>41827</v>
      </c>
      <c r="B404" s="1">
        <v>41838</v>
      </c>
      <c r="C404">
        <v>10.19</v>
      </c>
      <c r="D404">
        <v>0.27</v>
      </c>
      <c r="E404">
        <v>6</v>
      </c>
      <c r="F404">
        <f xml:space="preserve"> WYNAJEM3[[#This Row],[data_wyjazdu]] - WYNAJEM3[[#This Row],[data_przyjazdu]]</f>
        <v>11</v>
      </c>
    </row>
    <row r="405" spans="1:6" x14ac:dyDescent="0.25">
      <c r="A405" s="1">
        <v>41827</v>
      </c>
      <c r="B405" s="1">
        <v>41844</v>
      </c>
      <c r="C405">
        <v>10.19</v>
      </c>
      <c r="D405">
        <v>0.27</v>
      </c>
      <c r="E405">
        <v>6</v>
      </c>
      <c r="F405">
        <f xml:space="preserve"> WYNAJEM3[[#This Row],[data_wyjazdu]] - WYNAJEM3[[#This Row],[data_przyjazdu]]</f>
        <v>17</v>
      </c>
    </row>
    <row r="406" spans="1:6" x14ac:dyDescent="0.25">
      <c r="A406" s="1">
        <v>41827</v>
      </c>
      <c r="B406" s="1">
        <v>41848</v>
      </c>
      <c r="C406">
        <v>3.79</v>
      </c>
      <c r="D406">
        <v>0.1</v>
      </c>
      <c r="E406">
        <v>6</v>
      </c>
      <c r="F406">
        <f xml:space="preserve"> WYNAJEM3[[#This Row],[data_wyjazdu]] - WYNAJEM3[[#This Row],[data_przyjazdu]]</f>
        <v>21</v>
      </c>
    </row>
    <row r="407" spans="1:6" x14ac:dyDescent="0.25">
      <c r="A407" s="1">
        <v>41827</v>
      </c>
      <c r="B407" s="1">
        <v>41847</v>
      </c>
      <c r="C407">
        <v>9.06</v>
      </c>
      <c r="D407">
        <v>0.24</v>
      </c>
      <c r="E407">
        <v>2</v>
      </c>
      <c r="F407">
        <f xml:space="preserve"> WYNAJEM3[[#This Row],[data_wyjazdu]] - WYNAJEM3[[#This Row],[data_przyjazdu]]</f>
        <v>20</v>
      </c>
    </row>
    <row r="408" spans="1:6" x14ac:dyDescent="0.25">
      <c r="A408" s="1">
        <v>41827</v>
      </c>
      <c r="B408" s="1">
        <v>41831</v>
      </c>
      <c r="C408">
        <v>6.23</v>
      </c>
      <c r="D408">
        <v>0.16</v>
      </c>
      <c r="E408">
        <v>3</v>
      </c>
      <c r="F408">
        <f xml:space="preserve"> WYNAJEM3[[#This Row],[data_wyjazdu]] - WYNAJEM3[[#This Row],[data_przyjazdu]]</f>
        <v>4</v>
      </c>
    </row>
    <row r="409" spans="1:6" x14ac:dyDescent="0.25">
      <c r="A409" s="1">
        <v>41827</v>
      </c>
      <c r="B409" s="1">
        <v>41852</v>
      </c>
      <c r="C409">
        <v>10.79</v>
      </c>
      <c r="D409">
        <v>0.28000000000000003</v>
      </c>
      <c r="E409">
        <v>3</v>
      </c>
      <c r="F409">
        <f xml:space="preserve"> WYNAJEM3[[#This Row],[data_wyjazdu]] - WYNAJEM3[[#This Row],[data_przyjazdu]]</f>
        <v>25</v>
      </c>
    </row>
    <row r="410" spans="1:6" x14ac:dyDescent="0.25">
      <c r="A410" s="1">
        <v>41830</v>
      </c>
      <c r="B410" s="1">
        <v>41847</v>
      </c>
      <c r="C410">
        <v>5.67</v>
      </c>
      <c r="D410">
        <v>0.15</v>
      </c>
      <c r="E410">
        <v>5</v>
      </c>
      <c r="F410">
        <f xml:space="preserve"> WYNAJEM3[[#This Row],[data_wyjazdu]] - WYNAJEM3[[#This Row],[data_przyjazdu]]</f>
        <v>17</v>
      </c>
    </row>
    <row r="411" spans="1:6" x14ac:dyDescent="0.25">
      <c r="A411" s="1">
        <v>41831</v>
      </c>
      <c r="B411" s="1">
        <v>41855</v>
      </c>
      <c r="C411">
        <v>2.29</v>
      </c>
      <c r="D411">
        <v>0.06</v>
      </c>
      <c r="E411">
        <v>3</v>
      </c>
      <c r="F411">
        <f xml:space="preserve"> WYNAJEM3[[#This Row],[data_wyjazdu]] - WYNAJEM3[[#This Row],[data_przyjazdu]]</f>
        <v>24</v>
      </c>
    </row>
    <row r="412" spans="1:6" x14ac:dyDescent="0.25">
      <c r="A412" s="1">
        <v>41833</v>
      </c>
      <c r="B412" s="1">
        <v>41853</v>
      </c>
      <c r="C412">
        <v>10.93</v>
      </c>
      <c r="D412">
        <v>0.28999999999999998</v>
      </c>
      <c r="E412">
        <v>2</v>
      </c>
      <c r="F412">
        <f xml:space="preserve"> WYNAJEM3[[#This Row],[data_wyjazdu]] - WYNAJEM3[[#This Row],[data_przyjazdu]]</f>
        <v>20</v>
      </c>
    </row>
    <row r="413" spans="1:6" x14ac:dyDescent="0.25">
      <c r="A413" s="1">
        <v>41833</v>
      </c>
      <c r="B413" s="1">
        <v>41841</v>
      </c>
      <c r="C413">
        <v>16.55</v>
      </c>
      <c r="D413">
        <v>0.44</v>
      </c>
      <c r="E413">
        <v>4</v>
      </c>
      <c r="F413">
        <f xml:space="preserve"> WYNAJEM3[[#This Row],[data_wyjazdu]] - WYNAJEM3[[#This Row],[data_przyjazdu]]</f>
        <v>8</v>
      </c>
    </row>
    <row r="414" spans="1:6" x14ac:dyDescent="0.25">
      <c r="A414" s="1">
        <v>41834</v>
      </c>
      <c r="B414" s="1">
        <v>41836</v>
      </c>
      <c r="C414">
        <v>6.43</v>
      </c>
      <c r="D414">
        <v>0.17</v>
      </c>
      <c r="E414">
        <v>6</v>
      </c>
      <c r="F414">
        <f xml:space="preserve"> WYNAJEM3[[#This Row],[data_wyjazdu]] - WYNAJEM3[[#This Row],[data_przyjazdu]]</f>
        <v>2</v>
      </c>
    </row>
    <row r="415" spans="1:6" x14ac:dyDescent="0.25">
      <c r="A415" s="1">
        <v>41835</v>
      </c>
      <c r="B415" s="1">
        <v>41863</v>
      </c>
      <c r="C415">
        <v>3.94</v>
      </c>
      <c r="D415">
        <v>0.1</v>
      </c>
      <c r="E415">
        <v>6</v>
      </c>
      <c r="F415">
        <f xml:space="preserve"> WYNAJEM3[[#This Row],[data_wyjazdu]] - WYNAJEM3[[#This Row],[data_przyjazdu]]</f>
        <v>28</v>
      </c>
    </row>
    <row r="416" spans="1:6" x14ac:dyDescent="0.25">
      <c r="A416" s="1">
        <v>41835</v>
      </c>
      <c r="B416" s="1">
        <v>41847</v>
      </c>
      <c r="C416">
        <v>3.79</v>
      </c>
      <c r="D416">
        <v>0.1</v>
      </c>
      <c r="E416">
        <v>3</v>
      </c>
      <c r="F416">
        <f xml:space="preserve"> WYNAJEM3[[#This Row],[data_wyjazdu]] - WYNAJEM3[[#This Row],[data_przyjazdu]]</f>
        <v>12</v>
      </c>
    </row>
    <row r="417" spans="1:6" x14ac:dyDescent="0.25">
      <c r="A417" s="1">
        <v>41835</v>
      </c>
      <c r="B417" s="1">
        <v>41856</v>
      </c>
      <c r="C417">
        <v>6.58</v>
      </c>
      <c r="D417">
        <v>0.17</v>
      </c>
      <c r="E417">
        <v>3</v>
      </c>
      <c r="F417">
        <f xml:space="preserve"> WYNAJEM3[[#This Row],[data_wyjazdu]] - WYNAJEM3[[#This Row],[data_przyjazdu]]</f>
        <v>21</v>
      </c>
    </row>
    <row r="418" spans="1:6" x14ac:dyDescent="0.25">
      <c r="A418" s="1">
        <v>41837</v>
      </c>
      <c r="B418" s="1">
        <v>41853</v>
      </c>
      <c r="C418">
        <v>5.67</v>
      </c>
      <c r="D418">
        <v>0.15</v>
      </c>
      <c r="E418">
        <v>2</v>
      </c>
      <c r="F418">
        <f xml:space="preserve"> WYNAJEM3[[#This Row],[data_wyjazdu]] - WYNAJEM3[[#This Row],[data_przyjazdu]]</f>
        <v>16</v>
      </c>
    </row>
    <row r="419" spans="1:6" x14ac:dyDescent="0.25">
      <c r="A419" s="1">
        <v>41839</v>
      </c>
      <c r="B419" s="1">
        <v>41857</v>
      </c>
      <c r="C419">
        <v>10.19</v>
      </c>
      <c r="D419">
        <v>0.27</v>
      </c>
      <c r="E419">
        <v>6</v>
      </c>
      <c r="F419">
        <f xml:space="preserve"> WYNAJEM3[[#This Row],[data_wyjazdu]] - WYNAJEM3[[#This Row],[data_przyjazdu]]</f>
        <v>18</v>
      </c>
    </row>
    <row r="420" spans="1:6" x14ac:dyDescent="0.25">
      <c r="A420" s="1">
        <v>41839</v>
      </c>
      <c r="B420" s="1">
        <v>41848</v>
      </c>
      <c r="C420">
        <v>7.06</v>
      </c>
      <c r="D420">
        <v>0.19</v>
      </c>
      <c r="E420">
        <v>2</v>
      </c>
      <c r="F420">
        <f xml:space="preserve"> WYNAJEM3[[#This Row],[data_wyjazdu]] - WYNAJEM3[[#This Row],[data_przyjazdu]]</f>
        <v>9</v>
      </c>
    </row>
    <row r="421" spans="1:6" x14ac:dyDescent="0.25">
      <c r="A421" s="1">
        <v>41839</v>
      </c>
      <c r="B421" s="1">
        <v>41860</v>
      </c>
      <c r="C421">
        <v>6.75</v>
      </c>
      <c r="D421">
        <v>0.18</v>
      </c>
      <c r="E421">
        <v>5</v>
      </c>
      <c r="F421">
        <f xml:space="preserve"> WYNAJEM3[[#This Row],[data_wyjazdu]] - WYNAJEM3[[#This Row],[data_przyjazdu]]</f>
        <v>21</v>
      </c>
    </row>
    <row r="422" spans="1:6" x14ac:dyDescent="0.25">
      <c r="A422" s="1">
        <v>41839</v>
      </c>
      <c r="B422" s="1">
        <v>41861</v>
      </c>
      <c r="C422">
        <v>8.83</v>
      </c>
      <c r="D422">
        <v>0.23</v>
      </c>
      <c r="E422">
        <v>6</v>
      </c>
      <c r="F422">
        <f xml:space="preserve"> WYNAJEM3[[#This Row],[data_wyjazdu]] - WYNAJEM3[[#This Row],[data_przyjazdu]]</f>
        <v>22</v>
      </c>
    </row>
    <row r="423" spans="1:6" x14ac:dyDescent="0.25">
      <c r="A423" s="1">
        <v>41839</v>
      </c>
      <c r="B423" s="1">
        <v>41860</v>
      </c>
      <c r="C423">
        <v>8.39</v>
      </c>
      <c r="D423">
        <v>0.22</v>
      </c>
      <c r="E423">
        <v>2</v>
      </c>
      <c r="F423">
        <f xml:space="preserve"> WYNAJEM3[[#This Row],[data_wyjazdu]] - WYNAJEM3[[#This Row],[data_przyjazdu]]</f>
        <v>21</v>
      </c>
    </row>
    <row r="424" spans="1:6" x14ac:dyDescent="0.25">
      <c r="A424" s="1">
        <v>41839</v>
      </c>
      <c r="B424" s="1">
        <v>41853</v>
      </c>
      <c r="C424">
        <v>6.23</v>
      </c>
      <c r="D424">
        <v>0.16</v>
      </c>
      <c r="E424">
        <v>3</v>
      </c>
      <c r="F424">
        <f xml:space="preserve"> WYNAJEM3[[#This Row],[data_wyjazdu]] - WYNAJEM3[[#This Row],[data_przyjazdu]]</f>
        <v>14</v>
      </c>
    </row>
    <row r="425" spans="1:6" x14ac:dyDescent="0.25">
      <c r="A425" s="1">
        <v>41839</v>
      </c>
      <c r="B425" s="1">
        <v>41859</v>
      </c>
      <c r="C425">
        <v>3.79</v>
      </c>
      <c r="D425">
        <v>0.1</v>
      </c>
      <c r="E425">
        <v>4</v>
      </c>
      <c r="F425">
        <f xml:space="preserve"> WYNAJEM3[[#This Row],[data_wyjazdu]] - WYNAJEM3[[#This Row],[data_przyjazdu]]</f>
        <v>20</v>
      </c>
    </row>
    <row r="426" spans="1:6" x14ac:dyDescent="0.25">
      <c r="A426" s="1">
        <v>41839</v>
      </c>
      <c r="B426" s="1">
        <v>41866</v>
      </c>
      <c r="C426">
        <v>11.37</v>
      </c>
      <c r="D426">
        <v>0.3</v>
      </c>
      <c r="E426">
        <v>5</v>
      </c>
      <c r="F426">
        <f xml:space="preserve"> WYNAJEM3[[#This Row],[data_wyjazdu]] - WYNAJEM3[[#This Row],[data_przyjazdu]]</f>
        <v>27</v>
      </c>
    </row>
    <row r="427" spans="1:6" x14ac:dyDescent="0.25">
      <c r="A427" s="1">
        <v>41839</v>
      </c>
      <c r="B427" s="1">
        <v>41847</v>
      </c>
      <c r="C427">
        <v>5.64</v>
      </c>
      <c r="D427">
        <v>0.15</v>
      </c>
      <c r="E427">
        <v>5</v>
      </c>
      <c r="F427">
        <f xml:space="preserve"> WYNAJEM3[[#This Row],[data_wyjazdu]] - WYNAJEM3[[#This Row],[data_przyjazdu]]</f>
        <v>8</v>
      </c>
    </row>
    <row r="428" spans="1:6" x14ac:dyDescent="0.25">
      <c r="A428" s="1">
        <v>41839</v>
      </c>
      <c r="B428" s="1">
        <v>41858</v>
      </c>
      <c r="C428">
        <v>7.55</v>
      </c>
      <c r="D428">
        <v>0.2</v>
      </c>
      <c r="E428">
        <v>2</v>
      </c>
      <c r="F428">
        <f xml:space="preserve"> WYNAJEM3[[#This Row],[data_wyjazdu]] - WYNAJEM3[[#This Row],[data_przyjazdu]]</f>
        <v>19</v>
      </c>
    </row>
    <row r="429" spans="1:6" x14ac:dyDescent="0.25">
      <c r="A429" s="1">
        <v>41839</v>
      </c>
      <c r="B429" s="1">
        <v>41853</v>
      </c>
      <c r="C429">
        <v>10.199999999999999</v>
      </c>
      <c r="D429">
        <v>0.27</v>
      </c>
      <c r="E429">
        <v>4</v>
      </c>
      <c r="F429">
        <f xml:space="preserve"> WYNAJEM3[[#This Row],[data_wyjazdu]] - WYNAJEM3[[#This Row],[data_przyjazdu]]</f>
        <v>14</v>
      </c>
    </row>
    <row r="430" spans="1:6" x14ac:dyDescent="0.25">
      <c r="A430" s="1">
        <v>41839</v>
      </c>
      <c r="B430" s="1">
        <v>41862</v>
      </c>
      <c r="C430">
        <v>2.0099999999999998</v>
      </c>
      <c r="D430">
        <v>0.05</v>
      </c>
      <c r="E430">
        <v>6</v>
      </c>
      <c r="F430">
        <f xml:space="preserve"> WYNAJEM3[[#This Row],[data_wyjazdu]] - WYNAJEM3[[#This Row],[data_przyjazdu]]</f>
        <v>23</v>
      </c>
    </row>
    <row r="431" spans="1:6" x14ac:dyDescent="0.25">
      <c r="A431" s="1">
        <v>41839</v>
      </c>
      <c r="B431" s="1">
        <v>41862</v>
      </c>
      <c r="C431">
        <v>13.81</v>
      </c>
      <c r="D431">
        <v>0.36</v>
      </c>
      <c r="E431">
        <v>3</v>
      </c>
      <c r="F431">
        <f xml:space="preserve"> WYNAJEM3[[#This Row],[data_wyjazdu]] - WYNAJEM3[[#This Row],[data_przyjazdu]]</f>
        <v>23</v>
      </c>
    </row>
    <row r="432" spans="1:6" x14ac:dyDescent="0.25">
      <c r="A432" s="1">
        <v>41841</v>
      </c>
      <c r="B432" s="1">
        <v>41868</v>
      </c>
      <c r="C432">
        <v>8.7200000000000006</v>
      </c>
      <c r="D432">
        <v>0.23</v>
      </c>
      <c r="E432">
        <v>2</v>
      </c>
      <c r="F432">
        <f xml:space="preserve"> WYNAJEM3[[#This Row],[data_wyjazdu]] - WYNAJEM3[[#This Row],[data_przyjazdu]]</f>
        <v>27</v>
      </c>
    </row>
    <row r="433" spans="1:6" x14ac:dyDescent="0.25">
      <c r="A433" s="1">
        <v>41841</v>
      </c>
      <c r="B433" s="1">
        <v>41859</v>
      </c>
      <c r="C433">
        <v>11.44</v>
      </c>
      <c r="D433">
        <v>0.3</v>
      </c>
      <c r="E433">
        <v>3</v>
      </c>
      <c r="F433">
        <f xml:space="preserve"> WYNAJEM3[[#This Row],[data_wyjazdu]] - WYNAJEM3[[#This Row],[data_przyjazdu]]</f>
        <v>18</v>
      </c>
    </row>
    <row r="434" spans="1:6" x14ac:dyDescent="0.25">
      <c r="A434" s="1">
        <v>41841</v>
      </c>
      <c r="B434" s="1">
        <v>41854</v>
      </c>
      <c r="C434">
        <v>3.94</v>
      </c>
      <c r="D434">
        <v>0.1</v>
      </c>
      <c r="E434">
        <v>2</v>
      </c>
      <c r="F434">
        <f xml:space="preserve"> WYNAJEM3[[#This Row],[data_wyjazdu]] - WYNAJEM3[[#This Row],[data_przyjazdu]]</f>
        <v>13</v>
      </c>
    </row>
    <row r="435" spans="1:6" x14ac:dyDescent="0.25">
      <c r="A435" s="1">
        <v>41845</v>
      </c>
      <c r="B435" s="1">
        <v>41871</v>
      </c>
      <c r="C435">
        <v>9.4600000000000009</v>
      </c>
      <c r="D435">
        <v>0.25</v>
      </c>
      <c r="E435">
        <v>3</v>
      </c>
      <c r="F435">
        <f xml:space="preserve"> WYNAJEM3[[#This Row],[data_wyjazdu]] - WYNAJEM3[[#This Row],[data_przyjazdu]]</f>
        <v>26</v>
      </c>
    </row>
    <row r="436" spans="1:6" x14ac:dyDescent="0.25">
      <c r="A436" s="1">
        <v>41845</v>
      </c>
      <c r="B436" s="1">
        <v>41853</v>
      </c>
      <c r="C436">
        <v>11.69</v>
      </c>
      <c r="D436">
        <v>0.31</v>
      </c>
      <c r="E436">
        <v>4</v>
      </c>
      <c r="F436">
        <f xml:space="preserve"> WYNAJEM3[[#This Row],[data_wyjazdu]] - WYNAJEM3[[#This Row],[data_przyjazdu]]</f>
        <v>8</v>
      </c>
    </row>
    <row r="437" spans="1:6" x14ac:dyDescent="0.25">
      <c r="A437" s="1">
        <v>41845</v>
      </c>
      <c r="B437" s="1">
        <v>41870</v>
      </c>
      <c r="C437">
        <v>8.83</v>
      </c>
      <c r="D437">
        <v>0.23</v>
      </c>
      <c r="E437">
        <v>2</v>
      </c>
      <c r="F437">
        <f xml:space="preserve"> WYNAJEM3[[#This Row],[data_wyjazdu]] - WYNAJEM3[[#This Row],[data_przyjazdu]]</f>
        <v>25</v>
      </c>
    </row>
    <row r="438" spans="1:6" x14ac:dyDescent="0.25">
      <c r="A438" s="1">
        <v>41845</v>
      </c>
      <c r="B438" s="1">
        <v>41866</v>
      </c>
      <c r="C438">
        <v>8.83</v>
      </c>
      <c r="D438">
        <v>0.23</v>
      </c>
      <c r="E438">
        <v>6</v>
      </c>
      <c r="F438">
        <f xml:space="preserve"> WYNAJEM3[[#This Row],[data_wyjazdu]] - WYNAJEM3[[#This Row],[data_przyjazdu]]</f>
        <v>21</v>
      </c>
    </row>
    <row r="439" spans="1:6" x14ac:dyDescent="0.25">
      <c r="A439" s="1">
        <v>41845</v>
      </c>
      <c r="B439" s="1">
        <v>41866</v>
      </c>
      <c r="C439">
        <v>9.1300000000000008</v>
      </c>
      <c r="D439">
        <v>0.24</v>
      </c>
      <c r="E439">
        <v>4</v>
      </c>
      <c r="F439">
        <f xml:space="preserve"> WYNAJEM3[[#This Row],[data_wyjazdu]] - WYNAJEM3[[#This Row],[data_przyjazdu]]</f>
        <v>21</v>
      </c>
    </row>
    <row r="440" spans="1:6" x14ac:dyDescent="0.25">
      <c r="A440" s="1">
        <v>41845</v>
      </c>
      <c r="B440" s="1">
        <v>41873</v>
      </c>
      <c r="C440">
        <v>9.06</v>
      </c>
      <c r="D440">
        <v>0.24</v>
      </c>
      <c r="E440">
        <v>5</v>
      </c>
      <c r="F440">
        <f xml:space="preserve"> WYNAJEM3[[#This Row],[data_wyjazdu]] - WYNAJEM3[[#This Row],[data_przyjazdu]]</f>
        <v>28</v>
      </c>
    </row>
    <row r="441" spans="1:6" x14ac:dyDescent="0.25">
      <c r="A441" s="1">
        <v>41851</v>
      </c>
      <c r="B441" s="1">
        <v>41873</v>
      </c>
      <c r="C441">
        <v>10.19</v>
      </c>
      <c r="D441">
        <v>0.27</v>
      </c>
      <c r="E441">
        <v>5</v>
      </c>
      <c r="F441">
        <f xml:space="preserve"> WYNAJEM3[[#This Row],[data_wyjazdu]] - WYNAJEM3[[#This Row],[data_przyjazdu]]</f>
        <v>22</v>
      </c>
    </row>
    <row r="442" spans="1:6" x14ac:dyDescent="0.25">
      <c r="A442" s="1">
        <v>41851</v>
      </c>
      <c r="B442" s="1">
        <v>41872</v>
      </c>
      <c r="C442">
        <v>14</v>
      </c>
      <c r="D442">
        <v>0.37</v>
      </c>
      <c r="E442">
        <v>4</v>
      </c>
      <c r="F442">
        <f xml:space="preserve"> WYNAJEM3[[#This Row],[data_wyjazdu]] - WYNAJEM3[[#This Row],[data_przyjazdu]]</f>
        <v>21</v>
      </c>
    </row>
    <row r="443" spans="1:6" x14ac:dyDescent="0.25">
      <c r="A443" s="1">
        <v>41851</v>
      </c>
      <c r="B443" s="1">
        <v>41858</v>
      </c>
      <c r="C443">
        <v>11.44</v>
      </c>
      <c r="D443">
        <v>0.3</v>
      </c>
      <c r="E443">
        <v>5</v>
      </c>
      <c r="F443">
        <f xml:space="preserve"> WYNAJEM3[[#This Row],[data_wyjazdu]] - WYNAJEM3[[#This Row],[data_przyjazdu]]</f>
        <v>7</v>
      </c>
    </row>
    <row r="444" spans="1:6" x14ac:dyDescent="0.25">
      <c r="A444" s="1">
        <v>41851</v>
      </c>
      <c r="B444" s="1">
        <v>41871</v>
      </c>
      <c r="C444">
        <v>7.31</v>
      </c>
      <c r="D444">
        <v>0.19</v>
      </c>
      <c r="E444">
        <v>2</v>
      </c>
      <c r="F444">
        <f xml:space="preserve"> WYNAJEM3[[#This Row],[data_wyjazdu]] - WYNAJEM3[[#This Row],[data_przyjazdu]]</f>
        <v>20</v>
      </c>
    </row>
    <row r="445" spans="1:6" x14ac:dyDescent="0.25">
      <c r="A445" s="1">
        <v>41851</v>
      </c>
      <c r="B445" s="1">
        <v>41863</v>
      </c>
      <c r="C445">
        <v>9.4600000000000009</v>
      </c>
      <c r="D445">
        <v>0.25</v>
      </c>
      <c r="E445">
        <v>2</v>
      </c>
      <c r="F445">
        <f xml:space="preserve"> WYNAJEM3[[#This Row],[data_wyjazdu]] - WYNAJEM3[[#This Row],[data_przyjazdu]]</f>
        <v>12</v>
      </c>
    </row>
    <row r="446" spans="1:6" x14ac:dyDescent="0.25">
      <c r="A446" s="1">
        <v>41851</v>
      </c>
      <c r="B446" s="1">
        <v>41856</v>
      </c>
      <c r="C446">
        <v>8.83</v>
      </c>
      <c r="D446">
        <v>0.23</v>
      </c>
      <c r="E446">
        <v>3</v>
      </c>
      <c r="F446">
        <f xml:space="preserve"> WYNAJEM3[[#This Row],[data_wyjazdu]] - WYNAJEM3[[#This Row],[data_przyjazdu]]</f>
        <v>5</v>
      </c>
    </row>
    <row r="447" spans="1:6" x14ac:dyDescent="0.25">
      <c r="A447" s="1">
        <v>41851</v>
      </c>
      <c r="B447" s="1">
        <v>41855</v>
      </c>
      <c r="C447">
        <v>6.88</v>
      </c>
      <c r="D447">
        <v>0.18</v>
      </c>
      <c r="E447">
        <v>2</v>
      </c>
      <c r="F447">
        <f xml:space="preserve"> WYNAJEM3[[#This Row],[data_wyjazdu]] - WYNAJEM3[[#This Row],[data_przyjazdu]]</f>
        <v>4</v>
      </c>
    </row>
    <row r="448" spans="1:6" x14ac:dyDescent="0.25">
      <c r="A448" s="1">
        <v>41851</v>
      </c>
      <c r="B448" s="1">
        <v>41853</v>
      </c>
      <c r="C448">
        <v>6.75</v>
      </c>
      <c r="D448">
        <v>0.18</v>
      </c>
      <c r="E448">
        <v>3</v>
      </c>
      <c r="F448">
        <f xml:space="preserve"> WYNAJEM3[[#This Row],[data_wyjazdu]] - WYNAJEM3[[#This Row],[data_przyjazdu]]</f>
        <v>2</v>
      </c>
    </row>
    <row r="449" spans="1:6" x14ac:dyDescent="0.25">
      <c r="A449" s="1">
        <v>41851</v>
      </c>
      <c r="B449" s="1">
        <v>41869</v>
      </c>
      <c r="C449">
        <v>19.54</v>
      </c>
      <c r="D449">
        <v>0.51</v>
      </c>
      <c r="E449">
        <v>3</v>
      </c>
      <c r="F449">
        <f xml:space="preserve"> WYNAJEM3[[#This Row],[data_wyjazdu]] - WYNAJEM3[[#This Row],[data_przyjazdu]]</f>
        <v>18</v>
      </c>
    </row>
    <row r="450" spans="1:6" x14ac:dyDescent="0.25">
      <c r="A450" s="1">
        <v>41851</v>
      </c>
      <c r="B450" s="1">
        <v>41856</v>
      </c>
      <c r="C450">
        <v>14.31</v>
      </c>
      <c r="D450">
        <v>0.38</v>
      </c>
      <c r="E450">
        <v>6</v>
      </c>
      <c r="F450">
        <f xml:space="preserve"> WYNAJEM3[[#This Row],[data_wyjazdu]] - WYNAJEM3[[#This Row],[data_przyjazdu]]</f>
        <v>5</v>
      </c>
    </row>
    <row r="451" spans="1:6" x14ac:dyDescent="0.25">
      <c r="A451" s="1">
        <v>41851</v>
      </c>
      <c r="B451" s="1">
        <v>41870</v>
      </c>
      <c r="C451">
        <v>3.79</v>
      </c>
      <c r="D451">
        <v>0.1</v>
      </c>
      <c r="E451">
        <v>2</v>
      </c>
      <c r="F451">
        <f xml:space="preserve"> WYNAJEM3[[#This Row],[data_wyjazdu]] - WYNAJEM3[[#This Row],[data_przyjazdu]]</f>
        <v>19</v>
      </c>
    </row>
    <row r="452" spans="1:6" x14ac:dyDescent="0.25">
      <c r="A452" s="1">
        <v>41851</v>
      </c>
      <c r="B452" s="1">
        <v>41868</v>
      </c>
      <c r="C452">
        <v>8.89</v>
      </c>
      <c r="D452">
        <v>0.23</v>
      </c>
      <c r="E452">
        <v>5</v>
      </c>
      <c r="F452">
        <f xml:space="preserve"> WYNAJEM3[[#This Row],[data_wyjazdu]] - WYNAJEM3[[#This Row],[data_przyjazdu]]</f>
        <v>17</v>
      </c>
    </row>
    <row r="453" spans="1:6" x14ac:dyDescent="0.25">
      <c r="A453" s="1">
        <v>41851</v>
      </c>
      <c r="B453" s="1">
        <v>41867</v>
      </c>
      <c r="C453">
        <v>7.71</v>
      </c>
      <c r="D453">
        <v>0.2</v>
      </c>
      <c r="E453">
        <v>5</v>
      </c>
      <c r="F453">
        <f xml:space="preserve"> WYNAJEM3[[#This Row],[data_wyjazdu]] - WYNAJEM3[[#This Row],[data_przyjazdu]]</f>
        <v>16</v>
      </c>
    </row>
    <row r="454" spans="1:6" x14ac:dyDescent="0.25">
      <c r="A454" s="1">
        <v>41851</v>
      </c>
      <c r="B454" s="1">
        <v>41864</v>
      </c>
      <c r="C454">
        <v>16.829999999999998</v>
      </c>
      <c r="D454">
        <v>0.44</v>
      </c>
      <c r="E454">
        <v>6</v>
      </c>
      <c r="F454">
        <f xml:space="preserve"> WYNAJEM3[[#This Row],[data_wyjazdu]] - WYNAJEM3[[#This Row],[data_przyjazdu]]</f>
        <v>13</v>
      </c>
    </row>
    <row r="455" spans="1:6" x14ac:dyDescent="0.25">
      <c r="A455" s="1">
        <v>41851</v>
      </c>
      <c r="B455" s="1">
        <v>41857</v>
      </c>
      <c r="C455">
        <v>5.23</v>
      </c>
      <c r="D455">
        <v>0.14000000000000001</v>
      </c>
      <c r="E455">
        <v>6</v>
      </c>
      <c r="F455">
        <f xml:space="preserve"> WYNAJEM3[[#This Row],[data_wyjazdu]] - WYNAJEM3[[#This Row],[data_przyjazdu]]</f>
        <v>6</v>
      </c>
    </row>
    <row r="456" spans="1:6" x14ac:dyDescent="0.25">
      <c r="A456" s="1">
        <v>41851</v>
      </c>
      <c r="B456" s="1">
        <v>41853</v>
      </c>
      <c r="C456">
        <v>10.79</v>
      </c>
      <c r="D456">
        <v>0.28000000000000003</v>
      </c>
      <c r="E456">
        <v>5</v>
      </c>
      <c r="F456">
        <f xml:space="preserve"> WYNAJEM3[[#This Row],[data_wyjazdu]] - WYNAJEM3[[#This Row],[data_przyjazdu]]</f>
        <v>2</v>
      </c>
    </row>
    <row r="457" spans="1:6" x14ac:dyDescent="0.25">
      <c r="A457" s="1">
        <v>41851</v>
      </c>
      <c r="B457" s="1">
        <v>41868</v>
      </c>
      <c r="C457">
        <v>12.23</v>
      </c>
      <c r="D457">
        <v>0.32</v>
      </c>
      <c r="E457">
        <v>2</v>
      </c>
      <c r="F457">
        <f xml:space="preserve"> WYNAJEM3[[#This Row],[data_wyjazdu]] - WYNAJEM3[[#This Row],[data_przyjazdu]]</f>
        <v>17</v>
      </c>
    </row>
    <row r="458" spans="1:6" x14ac:dyDescent="0.25">
      <c r="A458" s="1">
        <v>41851</v>
      </c>
      <c r="B458" s="1">
        <v>41870</v>
      </c>
      <c r="C458">
        <v>5.78</v>
      </c>
      <c r="D458">
        <v>0.15</v>
      </c>
      <c r="E458">
        <v>6</v>
      </c>
      <c r="F458">
        <f xml:space="preserve"> WYNAJEM3[[#This Row],[data_wyjazdu]] - WYNAJEM3[[#This Row],[data_przyjazdu]]</f>
        <v>19</v>
      </c>
    </row>
    <row r="459" spans="1:6" x14ac:dyDescent="0.25">
      <c r="A459" s="1">
        <v>41857</v>
      </c>
      <c r="B459" s="1">
        <v>41865</v>
      </c>
      <c r="C459">
        <v>5.23</v>
      </c>
      <c r="D459">
        <v>0.14000000000000001</v>
      </c>
      <c r="E459">
        <v>3</v>
      </c>
      <c r="F459">
        <f xml:space="preserve"> WYNAJEM3[[#This Row],[data_wyjazdu]] - WYNAJEM3[[#This Row],[data_przyjazdu]]</f>
        <v>8</v>
      </c>
    </row>
    <row r="460" spans="1:6" x14ac:dyDescent="0.25">
      <c r="A460" s="1">
        <v>41857</v>
      </c>
      <c r="B460" s="1">
        <v>41868</v>
      </c>
      <c r="C460">
        <v>9.06</v>
      </c>
      <c r="D460">
        <v>0.24</v>
      </c>
      <c r="E460">
        <v>2</v>
      </c>
      <c r="F460">
        <f xml:space="preserve"> WYNAJEM3[[#This Row],[data_wyjazdu]] - WYNAJEM3[[#This Row],[data_przyjazdu]]</f>
        <v>11</v>
      </c>
    </row>
    <row r="461" spans="1:6" x14ac:dyDescent="0.25">
      <c r="A461" s="1">
        <v>41857</v>
      </c>
      <c r="B461" s="1">
        <v>41885</v>
      </c>
      <c r="C461">
        <v>12.23</v>
      </c>
      <c r="D461">
        <v>0.32</v>
      </c>
      <c r="E461">
        <v>4</v>
      </c>
      <c r="F461">
        <f xml:space="preserve"> WYNAJEM3[[#This Row],[data_wyjazdu]] - WYNAJEM3[[#This Row],[data_przyjazdu]]</f>
        <v>28</v>
      </c>
    </row>
    <row r="462" spans="1:6" x14ac:dyDescent="0.25">
      <c r="A462" s="1">
        <v>41857</v>
      </c>
      <c r="B462" s="1">
        <v>41881</v>
      </c>
      <c r="C462">
        <v>8.83</v>
      </c>
      <c r="D462">
        <v>0.23</v>
      </c>
      <c r="E462">
        <v>4</v>
      </c>
      <c r="F462">
        <f xml:space="preserve"> WYNAJEM3[[#This Row],[data_wyjazdu]] - WYNAJEM3[[#This Row],[data_przyjazdu]]</f>
        <v>24</v>
      </c>
    </row>
    <row r="463" spans="1:6" x14ac:dyDescent="0.25">
      <c r="A463" s="1">
        <v>41857</v>
      </c>
      <c r="B463" s="1">
        <v>41876</v>
      </c>
      <c r="C463">
        <v>10.93</v>
      </c>
      <c r="D463">
        <v>0.28999999999999998</v>
      </c>
      <c r="E463">
        <v>5</v>
      </c>
      <c r="F463">
        <f xml:space="preserve"> WYNAJEM3[[#This Row],[data_wyjazdu]] - WYNAJEM3[[#This Row],[data_przyjazdu]]</f>
        <v>19</v>
      </c>
    </row>
    <row r="464" spans="1:6" x14ac:dyDescent="0.25">
      <c r="A464" s="1">
        <v>41860</v>
      </c>
      <c r="B464" s="1">
        <v>41874</v>
      </c>
      <c r="C464">
        <v>3.94</v>
      </c>
      <c r="D464">
        <v>0.1</v>
      </c>
      <c r="E464">
        <v>2</v>
      </c>
      <c r="F464">
        <f xml:space="preserve"> WYNAJEM3[[#This Row],[data_wyjazdu]] - WYNAJEM3[[#This Row],[data_przyjazdu]]</f>
        <v>14</v>
      </c>
    </row>
    <row r="465" spans="1:6" x14ac:dyDescent="0.25">
      <c r="A465" s="1">
        <v>41863</v>
      </c>
      <c r="B465" s="1">
        <v>41885</v>
      </c>
      <c r="C465">
        <v>19.54</v>
      </c>
      <c r="D465">
        <v>0.51</v>
      </c>
      <c r="E465">
        <v>6</v>
      </c>
      <c r="F465">
        <f xml:space="preserve"> WYNAJEM3[[#This Row],[data_wyjazdu]] - WYNAJEM3[[#This Row],[data_przyjazdu]]</f>
        <v>22</v>
      </c>
    </row>
    <row r="466" spans="1:6" x14ac:dyDescent="0.25">
      <c r="A466" s="1">
        <v>41863</v>
      </c>
      <c r="B466" s="1">
        <v>41872</v>
      </c>
      <c r="C466">
        <v>6.75</v>
      </c>
      <c r="D466">
        <v>0.18</v>
      </c>
      <c r="E466">
        <v>2</v>
      </c>
      <c r="F466">
        <f xml:space="preserve"> WYNAJEM3[[#This Row],[data_wyjazdu]] - WYNAJEM3[[#This Row],[data_przyjazdu]]</f>
        <v>9</v>
      </c>
    </row>
    <row r="467" spans="1:6" x14ac:dyDescent="0.25">
      <c r="A467" s="1">
        <v>41863</v>
      </c>
      <c r="B467" s="1">
        <v>41888</v>
      </c>
      <c r="C467">
        <v>7.55</v>
      </c>
      <c r="D467">
        <v>0.2</v>
      </c>
      <c r="E467">
        <v>5</v>
      </c>
      <c r="F467">
        <f xml:space="preserve"> WYNAJEM3[[#This Row],[data_wyjazdu]] - WYNAJEM3[[#This Row],[data_przyjazdu]]</f>
        <v>25</v>
      </c>
    </row>
    <row r="468" spans="1:6" x14ac:dyDescent="0.25">
      <c r="A468" s="1">
        <v>41863</v>
      </c>
      <c r="B468" s="1">
        <v>41886</v>
      </c>
      <c r="C468">
        <v>3.73</v>
      </c>
      <c r="D468">
        <v>0.1</v>
      </c>
      <c r="E468">
        <v>5</v>
      </c>
      <c r="F468">
        <f xml:space="preserve"> WYNAJEM3[[#This Row],[data_wyjazdu]] - WYNAJEM3[[#This Row],[data_przyjazdu]]</f>
        <v>23</v>
      </c>
    </row>
    <row r="469" spans="1:6" x14ac:dyDescent="0.25">
      <c r="A469" s="1">
        <v>41863</v>
      </c>
      <c r="B469" s="1">
        <v>41874</v>
      </c>
      <c r="C469">
        <v>8.51</v>
      </c>
      <c r="D469">
        <v>0.22</v>
      </c>
      <c r="E469">
        <v>2</v>
      </c>
      <c r="F469">
        <f xml:space="preserve"> WYNAJEM3[[#This Row],[data_wyjazdu]] - WYNAJEM3[[#This Row],[data_przyjazdu]]</f>
        <v>11</v>
      </c>
    </row>
    <row r="470" spans="1:6" x14ac:dyDescent="0.25">
      <c r="A470" s="1">
        <v>41863</v>
      </c>
      <c r="B470" s="1">
        <v>41878</v>
      </c>
      <c r="C470">
        <v>6.88</v>
      </c>
      <c r="D470">
        <v>0.18</v>
      </c>
      <c r="E470">
        <v>3</v>
      </c>
      <c r="F470">
        <f xml:space="preserve"> WYNAJEM3[[#This Row],[data_wyjazdu]] - WYNAJEM3[[#This Row],[data_przyjazdu]]</f>
        <v>15</v>
      </c>
    </row>
    <row r="471" spans="1:6" x14ac:dyDescent="0.25">
      <c r="A471" s="1">
        <v>41863</v>
      </c>
      <c r="B471" s="1">
        <v>41874</v>
      </c>
      <c r="C471">
        <v>6.75</v>
      </c>
      <c r="D471">
        <v>0.18</v>
      </c>
      <c r="E471">
        <v>4</v>
      </c>
      <c r="F471">
        <f xml:space="preserve"> WYNAJEM3[[#This Row],[data_wyjazdu]] - WYNAJEM3[[#This Row],[data_przyjazdu]]</f>
        <v>11</v>
      </c>
    </row>
    <row r="472" spans="1:6" x14ac:dyDescent="0.25">
      <c r="A472" s="1">
        <v>41863</v>
      </c>
      <c r="B472" s="1">
        <v>41875</v>
      </c>
      <c r="C472">
        <v>11.42</v>
      </c>
      <c r="D472">
        <v>0.3</v>
      </c>
      <c r="E472">
        <v>5</v>
      </c>
      <c r="F472">
        <f xml:space="preserve"> WYNAJEM3[[#This Row],[data_wyjazdu]] - WYNAJEM3[[#This Row],[data_przyjazdu]]</f>
        <v>12</v>
      </c>
    </row>
    <row r="473" spans="1:6" x14ac:dyDescent="0.25">
      <c r="A473" s="1">
        <v>41863</v>
      </c>
      <c r="B473" s="1">
        <v>41866</v>
      </c>
      <c r="C473">
        <v>16.940000000000001</v>
      </c>
      <c r="D473">
        <v>0.45</v>
      </c>
      <c r="E473">
        <v>3</v>
      </c>
      <c r="F473">
        <f xml:space="preserve"> WYNAJEM3[[#This Row],[data_wyjazdu]] - WYNAJEM3[[#This Row],[data_przyjazdu]]</f>
        <v>3</v>
      </c>
    </row>
    <row r="474" spans="1:6" x14ac:dyDescent="0.25">
      <c r="A474" s="1">
        <v>41863</v>
      </c>
      <c r="B474" s="1">
        <v>41867</v>
      </c>
      <c r="C474">
        <v>6.34</v>
      </c>
      <c r="D474">
        <v>0.17</v>
      </c>
      <c r="E474">
        <v>6</v>
      </c>
      <c r="F474">
        <f xml:space="preserve"> WYNAJEM3[[#This Row],[data_wyjazdu]] - WYNAJEM3[[#This Row],[data_przyjazdu]]</f>
        <v>4</v>
      </c>
    </row>
    <row r="475" spans="1:6" x14ac:dyDescent="0.25">
      <c r="A475" s="1">
        <v>41863</v>
      </c>
      <c r="B475" s="1">
        <v>41870</v>
      </c>
      <c r="C475">
        <v>8.83</v>
      </c>
      <c r="D475">
        <v>0.23</v>
      </c>
      <c r="E475">
        <v>4</v>
      </c>
      <c r="F475">
        <f xml:space="preserve"> WYNAJEM3[[#This Row],[data_wyjazdu]] - WYNAJEM3[[#This Row],[data_przyjazdu]]</f>
        <v>7</v>
      </c>
    </row>
    <row r="476" spans="1:6" x14ac:dyDescent="0.25">
      <c r="A476" s="1">
        <v>41863</v>
      </c>
      <c r="B476" s="1">
        <v>41876</v>
      </c>
      <c r="C476">
        <v>6.34</v>
      </c>
      <c r="D476">
        <v>0.17</v>
      </c>
      <c r="E476">
        <v>3</v>
      </c>
      <c r="F476">
        <f xml:space="preserve"> WYNAJEM3[[#This Row],[data_wyjazdu]] - WYNAJEM3[[#This Row],[data_przyjazdu]]</f>
        <v>13</v>
      </c>
    </row>
    <row r="477" spans="1:6" x14ac:dyDescent="0.25">
      <c r="A477" s="1">
        <v>41863</v>
      </c>
      <c r="B477" s="1">
        <v>41880</v>
      </c>
      <c r="C477">
        <v>8.84</v>
      </c>
      <c r="D477">
        <v>0.23</v>
      </c>
      <c r="E477">
        <v>3</v>
      </c>
      <c r="F477">
        <f xml:space="preserve"> WYNAJEM3[[#This Row],[data_wyjazdu]] - WYNAJEM3[[#This Row],[data_przyjazdu]]</f>
        <v>17</v>
      </c>
    </row>
    <row r="478" spans="1:6" x14ac:dyDescent="0.25">
      <c r="A478" s="1">
        <v>41863</v>
      </c>
      <c r="B478" s="1">
        <v>41869</v>
      </c>
      <c r="C478">
        <v>8.65</v>
      </c>
      <c r="D478">
        <v>0.23</v>
      </c>
      <c r="E478">
        <v>2</v>
      </c>
      <c r="F478">
        <f xml:space="preserve"> WYNAJEM3[[#This Row],[data_wyjazdu]] - WYNAJEM3[[#This Row],[data_przyjazdu]]</f>
        <v>6</v>
      </c>
    </row>
    <row r="479" spans="1:6" x14ac:dyDescent="0.25">
      <c r="A479" s="1">
        <v>41863</v>
      </c>
      <c r="B479" s="1">
        <v>41887</v>
      </c>
      <c r="C479">
        <v>8.51</v>
      </c>
      <c r="D479">
        <v>0.22</v>
      </c>
      <c r="E479">
        <v>4</v>
      </c>
      <c r="F479">
        <f xml:space="preserve"> WYNAJEM3[[#This Row],[data_wyjazdu]] - WYNAJEM3[[#This Row],[data_przyjazdu]]</f>
        <v>24</v>
      </c>
    </row>
    <row r="480" spans="1:6" x14ac:dyDescent="0.25">
      <c r="A480" s="1">
        <v>41863</v>
      </c>
      <c r="B480" s="1">
        <v>41890</v>
      </c>
      <c r="C480">
        <v>9.74</v>
      </c>
      <c r="D480">
        <v>0.26</v>
      </c>
      <c r="E480">
        <v>5</v>
      </c>
      <c r="F480">
        <f xml:space="preserve"> WYNAJEM3[[#This Row],[data_wyjazdu]] - WYNAJEM3[[#This Row],[data_przyjazdu]]</f>
        <v>27</v>
      </c>
    </row>
    <row r="481" spans="1:6" x14ac:dyDescent="0.25">
      <c r="A481" s="1">
        <v>41863</v>
      </c>
      <c r="B481" s="1">
        <v>41887</v>
      </c>
      <c r="C481">
        <v>13.02</v>
      </c>
      <c r="D481">
        <v>0.34</v>
      </c>
      <c r="E481">
        <v>2</v>
      </c>
      <c r="F481">
        <f xml:space="preserve"> WYNAJEM3[[#This Row],[data_wyjazdu]] - WYNAJEM3[[#This Row],[data_przyjazdu]]</f>
        <v>24</v>
      </c>
    </row>
    <row r="482" spans="1:6" x14ac:dyDescent="0.25">
      <c r="A482" s="1">
        <v>41865</v>
      </c>
      <c r="B482" s="1">
        <v>41869</v>
      </c>
      <c r="C482">
        <v>4.66</v>
      </c>
      <c r="D482">
        <v>0.12</v>
      </c>
      <c r="E482">
        <v>3</v>
      </c>
      <c r="F482">
        <f xml:space="preserve"> WYNAJEM3[[#This Row],[data_wyjazdu]] - WYNAJEM3[[#This Row],[data_przyjazdu]]</f>
        <v>4</v>
      </c>
    </row>
    <row r="483" spans="1:6" x14ac:dyDescent="0.25">
      <c r="A483" s="1">
        <v>41869</v>
      </c>
      <c r="B483" s="1">
        <v>41884</v>
      </c>
      <c r="C483">
        <v>14.13</v>
      </c>
      <c r="D483">
        <v>0.37</v>
      </c>
      <c r="E483">
        <v>4</v>
      </c>
      <c r="F483">
        <f xml:space="preserve"> WYNAJEM3[[#This Row],[data_wyjazdu]] - WYNAJEM3[[#This Row],[data_przyjazdu]]</f>
        <v>15</v>
      </c>
    </row>
    <row r="484" spans="1:6" x14ac:dyDescent="0.25">
      <c r="A484" s="1">
        <v>41869</v>
      </c>
      <c r="B484" s="1">
        <v>41892</v>
      </c>
      <c r="C484">
        <v>11.37</v>
      </c>
      <c r="D484">
        <v>0.3</v>
      </c>
      <c r="E484">
        <v>2</v>
      </c>
      <c r="F484">
        <f xml:space="preserve"> WYNAJEM3[[#This Row],[data_wyjazdu]] - WYNAJEM3[[#This Row],[data_przyjazdu]]</f>
        <v>23</v>
      </c>
    </row>
    <row r="485" spans="1:6" x14ac:dyDescent="0.25">
      <c r="A485" s="1">
        <v>41869</v>
      </c>
      <c r="B485" s="1">
        <v>41890</v>
      </c>
      <c r="C485">
        <v>3.79</v>
      </c>
      <c r="D485">
        <v>0.1</v>
      </c>
      <c r="E485">
        <v>3</v>
      </c>
      <c r="F485">
        <f xml:space="preserve"> WYNAJEM3[[#This Row],[data_wyjazdu]] - WYNAJEM3[[#This Row],[data_przyjazdu]]</f>
        <v>21</v>
      </c>
    </row>
    <row r="486" spans="1:6" x14ac:dyDescent="0.25">
      <c r="A486" s="1">
        <v>41869</v>
      </c>
      <c r="B486" s="1">
        <v>41875</v>
      </c>
      <c r="C486">
        <v>11.42</v>
      </c>
      <c r="D486">
        <v>0.3</v>
      </c>
      <c r="E486">
        <v>6</v>
      </c>
      <c r="F486">
        <f xml:space="preserve"> WYNAJEM3[[#This Row],[data_wyjazdu]] - WYNAJEM3[[#This Row],[data_przyjazdu]]</f>
        <v>6</v>
      </c>
    </row>
    <row r="487" spans="1:6" x14ac:dyDescent="0.25">
      <c r="A487" s="1">
        <v>41869</v>
      </c>
      <c r="B487" s="1">
        <v>41892</v>
      </c>
      <c r="C487">
        <v>8.84</v>
      </c>
      <c r="D487">
        <v>0.23</v>
      </c>
      <c r="E487">
        <v>3</v>
      </c>
      <c r="F487">
        <f xml:space="preserve"> WYNAJEM3[[#This Row],[data_wyjazdu]] - WYNAJEM3[[#This Row],[data_przyjazdu]]</f>
        <v>23</v>
      </c>
    </row>
    <row r="488" spans="1:6" x14ac:dyDescent="0.25">
      <c r="A488" s="1">
        <v>41869</v>
      </c>
      <c r="B488" s="1">
        <v>41875</v>
      </c>
      <c r="C488">
        <v>11.69</v>
      </c>
      <c r="D488">
        <v>0.31</v>
      </c>
      <c r="E488">
        <v>6</v>
      </c>
      <c r="F488">
        <f xml:space="preserve"> WYNAJEM3[[#This Row],[data_wyjazdu]] - WYNAJEM3[[#This Row],[data_przyjazdu]]</f>
        <v>6</v>
      </c>
    </row>
    <row r="489" spans="1:6" x14ac:dyDescent="0.25">
      <c r="A489" s="1">
        <v>41875</v>
      </c>
      <c r="B489" s="1">
        <v>41879</v>
      </c>
      <c r="C489">
        <v>5.78</v>
      </c>
      <c r="D489">
        <v>0.15</v>
      </c>
      <c r="E489">
        <v>4</v>
      </c>
      <c r="F489">
        <f xml:space="preserve"> WYNAJEM3[[#This Row],[data_wyjazdu]] - WYNAJEM3[[#This Row],[data_przyjazdu]]</f>
        <v>4</v>
      </c>
    </row>
    <row r="490" spans="1:6" x14ac:dyDescent="0.25">
      <c r="A490" s="1">
        <v>41875</v>
      </c>
      <c r="B490" s="1">
        <v>41877</v>
      </c>
      <c r="C490">
        <v>19.54</v>
      </c>
      <c r="D490">
        <v>0.51</v>
      </c>
      <c r="E490">
        <v>5</v>
      </c>
      <c r="F490">
        <f xml:space="preserve"> WYNAJEM3[[#This Row],[data_wyjazdu]] - WYNAJEM3[[#This Row],[data_przyjazdu]]</f>
        <v>2</v>
      </c>
    </row>
    <row r="491" spans="1:6" x14ac:dyDescent="0.25">
      <c r="A491" s="1">
        <v>41875</v>
      </c>
      <c r="B491" s="1">
        <v>41891</v>
      </c>
      <c r="C491">
        <v>9.06</v>
      </c>
      <c r="D491">
        <v>0.24</v>
      </c>
      <c r="E491">
        <v>2</v>
      </c>
      <c r="F491">
        <f xml:space="preserve"> WYNAJEM3[[#This Row],[data_wyjazdu]] - WYNAJEM3[[#This Row],[data_przyjazdu]]</f>
        <v>16</v>
      </c>
    </row>
    <row r="492" spans="1:6" x14ac:dyDescent="0.25">
      <c r="A492" s="1">
        <v>41875</v>
      </c>
      <c r="B492" s="1">
        <v>41890</v>
      </c>
      <c r="C492">
        <v>13.81</v>
      </c>
      <c r="D492">
        <v>0.36</v>
      </c>
      <c r="E492">
        <v>6</v>
      </c>
      <c r="F492">
        <f xml:space="preserve"> WYNAJEM3[[#This Row],[data_wyjazdu]] - WYNAJEM3[[#This Row],[data_przyjazdu]]</f>
        <v>15</v>
      </c>
    </row>
    <row r="493" spans="1:6" x14ac:dyDescent="0.25">
      <c r="A493" s="1">
        <v>41875</v>
      </c>
      <c r="B493" s="1">
        <v>41886</v>
      </c>
      <c r="C493">
        <v>11.42</v>
      </c>
      <c r="D493">
        <v>0.3</v>
      </c>
      <c r="E493">
        <v>5</v>
      </c>
      <c r="F493">
        <f xml:space="preserve"> WYNAJEM3[[#This Row],[data_wyjazdu]] - WYNAJEM3[[#This Row],[data_przyjazdu]]</f>
        <v>11</v>
      </c>
    </row>
    <row r="494" spans="1:6" x14ac:dyDescent="0.25">
      <c r="A494" s="1">
        <v>41875</v>
      </c>
      <c r="B494" s="1">
        <v>41881</v>
      </c>
      <c r="C494">
        <v>14.31</v>
      </c>
      <c r="D494">
        <v>0.38</v>
      </c>
      <c r="E494">
        <v>2</v>
      </c>
      <c r="F494">
        <f xml:space="preserve"> WYNAJEM3[[#This Row],[data_wyjazdu]] - WYNAJEM3[[#This Row],[data_przyjazdu]]</f>
        <v>6</v>
      </c>
    </row>
    <row r="495" spans="1:6" x14ac:dyDescent="0.25">
      <c r="A495" s="1">
        <v>41875</v>
      </c>
      <c r="B495" s="1">
        <v>41894</v>
      </c>
      <c r="C495">
        <v>8.83</v>
      </c>
      <c r="D495">
        <v>0.23</v>
      </c>
      <c r="E495">
        <v>3</v>
      </c>
      <c r="F495">
        <f xml:space="preserve"> WYNAJEM3[[#This Row],[data_wyjazdu]] - WYNAJEM3[[#This Row],[data_przyjazdu]]</f>
        <v>19</v>
      </c>
    </row>
    <row r="496" spans="1:6" x14ac:dyDescent="0.25">
      <c r="A496" s="1">
        <v>41875</v>
      </c>
      <c r="B496" s="1">
        <v>41885</v>
      </c>
      <c r="C496">
        <v>14.31</v>
      </c>
      <c r="D496">
        <v>0.38</v>
      </c>
      <c r="E496">
        <v>3</v>
      </c>
      <c r="F496">
        <f xml:space="preserve"> WYNAJEM3[[#This Row],[data_wyjazdu]] - WYNAJEM3[[#This Row],[data_przyjazdu]]</f>
        <v>10</v>
      </c>
    </row>
    <row r="497" spans="1:6" x14ac:dyDescent="0.25">
      <c r="A497" s="1">
        <v>41875</v>
      </c>
      <c r="B497" s="1">
        <v>41895</v>
      </c>
      <c r="C497">
        <v>11.37</v>
      </c>
      <c r="D497">
        <v>0.3</v>
      </c>
      <c r="E497">
        <v>2</v>
      </c>
      <c r="F497">
        <f xml:space="preserve"> WYNAJEM3[[#This Row],[data_wyjazdu]] - WYNAJEM3[[#This Row],[data_przyjazdu]]</f>
        <v>20</v>
      </c>
    </row>
    <row r="498" spans="1:6" x14ac:dyDescent="0.25">
      <c r="A498" s="1">
        <v>41875</v>
      </c>
      <c r="B498" s="1">
        <v>41894</v>
      </c>
      <c r="C498">
        <v>11.44</v>
      </c>
      <c r="D498">
        <v>0.3</v>
      </c>
      <c r="E498">
        <v>2</v>
      </c>
      <c r="F498">
        <f xml:space="preserve"> WYNAJEM3[[#This Row],[data_wyjazdu]] - WYNAJEM3[[#This Row],[data_przyjazdu]]</f>
        <v>19</v>
      </c>
    </row>
    <row r="499" spans="1:6" x14ac:dyDescent="0.25">
      <c r="A499" s="1">
        <v>41875</v>
      </c>
      <c r="B499" s="1">
        <v>41902</v>
      </c>
      <c r="C499">
        <v>8.65</v>
      </c>
      <c r="D499">
        <v>0.23</v>
      </c>
      <c r="E499">
        <v>4</v>
      </c>
      <c r="F499">
        <f xml:space="preserve"> WYNAJEM3[[#This Row],[data_wyjazdu]] - WYNAJEM3[[#This Row],[data_przyjazdu]]</f>
        <v>27</v>
      </c>
    </row>
    <row r="500" spans="1:6" x14ac:dyDescent="0.25">
      <c r="A500" s="1">
        <v>41876</v>
      </c>
      <c r="B500" s="1">
        <v>41886</v>
      </c>
      <c r="C500">
        <v>11.42</v>
      </c>
      <c r="D500">
        <v>0.3</v>
      </c>
      <c r="E500">
        <v>5</v>
      </c>
      <c r="F500">
        <f xml:space="preserve"> WYNAJEM3[[#This Row],[data_wyjazdu]] - WYNAJEM3[[#This Row],[data_przyjazdu]]</f>
        <v>10</v>
      </c>
    </row>
    <row r="501" spans="1:6" x14ac:dyDescent="0.25">
      <c r="A501" s="1">
        <v>41876</v>
      </c>
      <c r="B501" s="1">
        <v>41886</v>
      </c>
      <c r="C501">
        <v>8.39</v>
      </c>
      <c r="D501">
        <v>0.22</v>
      </c>
      <c r="E501">
        <v>2</v>
      </c>
      <c r="F501">
        <f xml:space="preserve"> WYNAJEM3[[#This Row],[data_wyjazdu]] - WYNAJEM3[[#This Row],[data_przyjazdu]]</f>
        <v>10</v>
      </c>
    </row>
    <row r="502" spans="1:6" x14ac:dyDescent="0.25">
      <c r="A502" s="1">
        <v>41876</v>
      </c>
      <c r="B502" s="1">
        <v>41887</v>
      </c>
      <c r="C502">
        <v>9.74</v>
      </c>
      <c r="D502">
        <v>0.26</v>
      </c>
      <c r="E502">
        <v>4</v>
      </c>
      <c r="F502">
        <f xml:space="preserve"> WYNAJEM3[[#This Row],[data_wyjazdu]] - WYNAJEM3[[#This Row],[data_przyjazdu]]</f>
        <v>11</v>
      </c>
    </row>
    <row r="503" spans="1:6" x14ac:dyDescent="0.25">
      <c r="A503" s="1">
        <v>41876</v>
      </c>
      <c r="B503" s="1">
        <v>41903</v>
      </c>
      <c r="C503">
        <v>5.23</v>
      </c>
      <c r="D503">
        <v>0.14000000000000001</v>
      </c>
      <c r="E503">
        <v>6</v>
      </c>
      <c r="F503">
        <f xml:space="preserve"> WYNAJEM3[[#This Row],[data_wyjazdu]] - WYNAJEM3[[#This Row],[data_przyjazdu]]</f>
        <v>27</v>
      </c>
    </row>
    <row r="504" spans="1:6" x14ac:dyDescent="0.25">
      <c r="A504" s="1">
        <v>41876</v>
      </c>
      <c r="B504" s="1">
        <v>41894</v>
      </c>
      <c r="C504">
        <v>8.39</v>
      </c>
      <c r="D504">
        <v>0.22</v>
      </c>
      <c r="E504">
        <v>3</v>
      </c>
      <c r="F504">
        <f xml:space="preserve"> WYNAJEM3[[#This Row],[data_wyjazdu]] - WYNAJEM3[[#This Row],[data_przyjazdu]]</f>
        <v>18</v>
      </c>
    </row>
    <row r="505" spans="1:6" x14ac:dyDescent="0.25">
      <c r="A505" s="1">
        <v>41877</v>
      </c>
      <c r="B505" s="1">
        <v>41896</v>
      </c>
      <c r="C505">
        <v>5.23</v>
      </c>
      <c r="D505">
        <v>0.14000000000000001</v>
      </c>
      <c r="E505">
        <v>4</v>
      </c>
      <c r="F505">
        <f xml:space="preserve"> WYNAJEM3[[#This Row],[data_wyjazdu]] - WYNAJEM3[[#This Row],[data_przyjazdu]]</f>
        <v>19</v>
      </c>
    </row>
    <row r="506" spans="1:6" x14ac:dyDescent="0.25">
      <c r="A506" s="1">
        <v>41878</v>
      </c>
      <c r="B506" s="1">
        <v>41884</v>
      </c>
      <c r="C506">
        <v>6.34</v>
      </c>
      <c r="D506">
        <v>0.17</v>
      </c>
      <c r="E506">
        <v>4</v>
      </c>
      <c r="F506">
        <f xml:space="preserve"> WYNAJEM3[[#This Row],[data_wyjazdu]] - WYNAJEM3[[#This Row],[data_przyjazdu]]</f>
        <v>6</v>
      </c>
    </row>
    <row r="507" spans="1:6" x14ac:dyDescent="0.25">
      <c r="A507" s="1">
        <v>41881</v>
      </c>
      <c r="B507" s="1">
        <v>41908</v>
      </c>
      <c r="C507">
        <v>10.93</v>
      </c>
      <c r="D507">
        <v>0.28999999999999998</v>
      </c>
      <c r="E507">
        <v>4</v>
      </c>
      <c r="F507">
        <f xml:space="preserve"> WYNAJEM3[[#This Row],[data_wyjazdu]] - WYNAJEM3[[#This Row],[data_przyjazdu]]</f>
        <v>27</v>
      </c>
    </row>
    <row r="508" spans="1:6" x14ac:dyDescent="0.25">
      <c r="A508" s="1">
        <v>41881</v>
      </c>
      <c r="B508" s="1">
        <v>41894</v>
      </c>
      <c r="C508">
        <v>8.89</v>
      </c>
      <c r="D508">
        <v>0.23</v>
      </c>
      <c r="E508">
        <v>2</v>
      </c>
      <c r="F508">
        <f xml:space="preserve"> WYNAJEM3[[#This Row],[data_wyjazdu]] - WYNAJEM3[[#This Row],[data_przyjazdu]]</f>
        <v>13</v>
      </c>
    </row>
    <row r="509" spans="1:6" x14ac:dyDescent="0.25">
      <c r="A509" s="1">
        <v>41881</v>
      </c>
      <c r="B509" s="1">
        <v>41883</v>
      </c>
      <c r="C509">
        <v>5.57</v>
      </c>
      <c r="D509">
        <v>0.15</v>
      </c>
      <c r="E509">
        <v>2</v>
      </c>
      <c r="F509">
        <f xml:space="preserve"> WYNAJEM3[[#This Row],[data_wyjazdu]] - WYNAJEM3[[#This Row],[data_przyjazdu]]</f>
        <v>2</v>
      </c>
    </row>
    <row r="510" spans="1:6" x14ac:dyDescent="0.25">
      <c r="A510" s="1">
        <v>41881</v>
      </c>
      <c r="B510" s="1">
        <v>41907</v>
      </c>
      <c r="C510">
        <v>6.23</v>
      </c>
      <c r="D510">
        <v>0.16</v>
      </c>
      <c r="E510">
        <v>3</v>
      </c>
      <c r="F510">
        <f xml:space="preserve"> WYNAJEM3[[#This Row],[data_wyjazdu]] - WYNAJEM3[[#This Row],[data_przyjazdu]]</f>
        <v>26</v>
      </c>
    </row>
    <row r="511" spans="1:6" x14ac:dyDescent="0.25">
      <c r="A511" s="1">
        <v>41881</v>
      </c>
      <c r="B511" s="1">
        <v>41896</v>
      </c>
      <c r="C511">
        <v>11.42</v>
      </c>
      <c r="D511">
        <v>0.3</v>
      </c>
      <c r="E511">
        <v>4</v>
      </c>
      <c r="F511">
        <f xml:space="preserve"> WYNAJEM3[[#This Row],[data_wyjazdu]] - WYNAJEM3[[#This Row],[data_przyjazdu]]</f>
        <v>15</v>
      </c>
    </row>
    <row r="512" spans="1:6" x14ac:dyDescent="0.25">
      <c r="A512" s="1">
        <v>41881</v>
      </c>
      <c r="B512" s="1">
        <v>41903</v>
      </c>
      <c r="C512">
        <v>16.940000000000001</v>
      </c>
      <c r="D512">
        <v>0.45</v>
      </c>
      <c r="E512">
        <v>3</v>
      </c>
      <c r="F512">
        <f xml:space="preserve"> WYNAJEM3[[#This Row],[data_wyjazdu]] - WYNAJEM3[[#This Row],[data_przyjazdu]]</f>
        <v>22</v>
      </c>
    </row>
    <row r="513" spans="1:6" x14ac:dyDescent="0.25">
      <c r="A513" s="1">
        <v>41885</v>
      </c>
      <c r="B513" s="1">
        <v>41901</v>
      </c>
      <c r="C513">
        <v>7.06</v>
      </c>
      <c r="D513">
        <v>0.19</v>
      </c>
      <c r="E513">
        <v>4</v>
      </c>
      <c r="F513">
        <f xml:space="preserve"> WYNAJEM3[[#This Row],[data_wyjazdu]] - WYNAJEM3[[#This Row],[data_przyjazdu]]</f>
        <v>16</v>
      </c>
    </row>
    <row r="514" spans="1:6" x14ac:dyDescent="0.25">
      <c r="A514" s="1">
        <v>41886</v>
      </c>
      <c r="B514" s="1">
        <v>41899</v>
      </c>
      <c r="C514">
        <v>5.64</v>
      </c>
      <c r="D514">
        <v>0.15</v>
      </c>
      <c r="E514">
        <v>4</v>
      </c>
      <c r="F514">
        <f xml:space="preserve"> WYNAJEM3[[#This Row],[data_wyjazdu]] - WYNAJEM3[[#This Row],[data_przyjazdu]]</f>
        <v>13</v>
      </c>
    </row>
    <row r="515" spans="1:6" x14ac:dyDescent="0.25">
      <c r="A515" s="1">
        <v>41886</v>
      </c>
      <c r="B515" s="1">
        <v>41898</v>
      </c>
      <c r="C515">
        <v>7.3</v>
      </c>
      <c r="D515">
        <v>0.19</v>
      </c>
      <c r="E515">
        <v>3</v>
      </c>
      <c r="F515">
        <f xml:space="preserve"> WYNAJEM3[[#This Row],[data_wyjazdu]] - WYNAJEM3[[#This Row],[data_przyjazdu]]</f>
        <v>12</v>
      </c>
    </row>
    <row r="516" spans="1:6" x14ac:dyDescent="0.25">
      <c r="A516" s="1">
        <v>41886</v>
      </c>
      <c r="B516" s="1">
        <v>41896</v>
      </c>
      <c r="C516">
        <v>7.06</v>
      </c>
      <c r="D516">
        <v>0.19</v>
      </c>
      <c r="E516">
        <v>3</v>
      </c>
      <c r="F516">
        <f xml:space="preserve"> WYNAJEM3[[#This Row],[data_wyjazdu]] - WYNAJEM3[[#This Row],[data_przyjazdu]]</f>
        <v>10</v>
      </c>
    </row>
    <row r="517" spans="1:6" x14ac:dyDescent="0.25">
      <c r="A517" s="1">
        <v>41886</v>
      </c>
      <c r="B517" s="1">
        <v>41896</v>
      </c>
      <c r="C517">
        <v>5.64</v>
      </c>
      <c r="D517">
        <v>0.15</v>
      </c>
      <c r="E517">
        <v>5</v>
      </c>
      <c r="F517">
        <f xml:space="preserve"> WYNAJEM3[[#This Row],[data_wyjazdu]] - WYNAJEM3[[#This Row],[data_przyjazdu]]</f>
        <v>10</v>
      </c>
    </row>
    <row r="518" spans="1:6" x14ac:dyDescent="0.25">
      <c r="A518" s="1">
        <v>41886</v>
      </c>
      <c r="B518" s="1">
        <v>41889</v>
      </c>
      <c r="C518">
        <v>3.73</v>
      </c>
      <c r="D518">
        <v>0.1</v>
      </c>
      <c r="E518">
        <v>6</v>
      </c>
      <c r="F518">
        <f xml:space="preserve"> WYNAJEM3[[#This Row],[data_wyjazdu]] - WYNAJEM3[[#This Row],[data_przyjazdu]]</f>
        <v>3</v>
      </c>
    </row>
    <row r="519" spans="1:6" x14ac:dyDescent="0.25">
      <c r="A519" s="1">
        <v>41886</v>
      </c>
      <c r="B519" s="1">
        <v>41908</v>
      </c>
      <c r="C519">
        <v>13.81</v>
      </c>
      <c r="D519">
        <v>0.36</v>
      </c>
      <c r="E519">
        <v>6</v>
      </c>
      <c r="F519">
        <f xml:space="preserve"> WYNAJEM3[[#This Row],[data_wyjazdu]] - WYNAJEM3[[#This Row],[data_przyjazdu]]</f>
        <v>22</v>
      </c>
    </row>
    <row r="520" spans="1:6" x14ac:dyDescent="0.25">
      <c r="A520" s="1">
        <v>41886</v>
      </c>
      <c r="B520" s="1">
        <v>41896</v>
      </c>
      <c r="C520">
        <v>5.47</v>
      </c>
      <c r="D520">
        <v>0.14000000000000001</v>
      </c>
      <c r="E520">
        <v>2</v>
      </c>
      <c r="F520">
        <f xml:space="preserve"> WYNAJEM3[[#This Row],[data_wyjazdu]] - WYNAJEM3[[#This Row],[data_przyjazdu]]</f>
        <v>10</v>
      </c>
    </row>
    <row r="521" spans="1:6" x14ac:dyDescent="0.25">
      <c r="A521" s="1">
        <v>41886</v>
      </c>
      <c r="B521" s="1">
        <v>41914</v>
      </c>
      <c r="C521">
        <v>7.31</v>
      </c>
      <c r="D521">
        <v>0.19</v>
      </c>
      <c r="E521">
        <v>6</v>
      </c>
      <c r="F521">
        <f xml:space="preserve"> WYNAJEM3[[#This Row],[data_wyjazdu]] - WYNAJEM3[[#This Row],[data_przyjazdu]]</f>
        <v>28</v>
      </c>
    </row>
    <row r="522" spans="1:6" x14ac:dyDescent="0.25">
      <c r="A522" s="1">
        <v>41886</v>
      </c>
      <c r="B522" s="1">
        <v>41888</v>
      </c>
      <c r="C522">
        <v>3.73</v>
      </c>
      <c r="D522">
        <v>0.1</v>
      </c>
      <c r="E522">
        <v>3</v>
      </c>
      <c r="F522">
        <f xml:space="preserve"> WYNAJEM3[[#This Row],[data_wyjazdu]] - WYNAJEM3[[#This Row],[data_przyjazdu]]</f>
        <v>2</v>
      </c>
    </row>
    <row r="523" spans="1:6" x14ac:dyDescent="0.25">
      <c r="A523" s="1">
        <v>41886</v>
      </c>
      <c r="B523" s="1">
        <v>41907</v>
      </c>
      <c r="C523">
        <v>8.39</v>
      </c>
      <c r="D523">
        <v>0.22</v>
      </c>
      <c r="E523">
        <v>4</v>
      </c>
      <c r="F523">
        <f xml:space="preserve"> WYNAJEM3[[#This Row],[data_wyjazdu]] - WYNAJEM3[[#This Row],[data_przyjazdu]]</f>
        <v>21</v>
      </c>
    </row>
    <row r="524" spans="1:6" x14ac:dyDescent="0.25">
      <c r="A524" s="1">
        <v>41886</v>
      </c>
      <c r="B524" s="1">
        <v>41897</v>
      </c>
      <c r="C524">
        <v>13.07</v>
      </c>
      <c r="D524">
        <v>0.34</v>
      </c>
      <c r="E524">
        <v>2</v>
      </c>
      <c r="F524">
        <f xml:space="preserve"> WYNAJEM3[[#This Row],[data_wyjazdu]] - WYNAJEM3[[#This Row],[data_przyjazdu]]</f>
        <v>11</v>
      </c>
    </row>
    <row r="525" spans="1:6" x14ac:dyDescent="0.25">
      <c r="A525" s="1">
        <v>41886</v>
      </c>
      <c r="B525" s="1">
        <v>41891</v>
      </c>
      <c r="C525">
        <v>7.35</v>
      </c>
      <c r="D525">
        <v>0.19</v>
      </c>
      <c r="E525">
        <v>3</v>
      </c>
      <c r="F525">
        <f xml:space="preserve"> WYNAJEM3[[#This Row],[data_wyjazdu]] - WYNAJEM3[[#This Row],[data_przyjazdu]]</f>
        <v>5</v>
      </c>
    </row>
    <row r="526" spans="1:6" x14ac:dyDescent="0.25">
      <c r="A526" s="1">
        <v>41886</v>
      </c>
      <c r="B526" s="1">
        <v>41896</v>
      </c>
      <c r="C526">
        <v>14.31</v>
      </c>
      <c r="D526">
        <v>0.38</v>
      </c>
      <c r="E526">
        <v>5</v>
      </c>
      <c r="F526">
        <f xml:space="preserve"> WYNAJEM3[[#This Row],[data_wyjazdu]] - WYNAJEM3[[#This Row],[data_przyjazdu]]</f>
        <v>10</v>
      </c>
    </row>
    <row r="527" spans="1:6" x14ac:dyDescent="0.25">
      <c r="A527" s="1">
        <v>41886</v>
      </c>
      <c r="B527" s="1">
        <v>41914</v>
      </c>
      <c r="C527">
        <v>5.57</v>
      </c>
      <c r="D527">
        <v>0.15</v>
      </c>
      <c r="E527">
        <v>4</v>
      </c>
      <c r="F527">
        <f xml:space="preserve"> WYNAJEM3[[#This Row],[data_wyjazdu]] - WYNAJEM3[[#This Row],[data_przyjazdu]]</f>
        <v>28</v>
      </c>
    </row>
    <row r="528" spans="1:6" x14ac:dyDescent="0.25">
      <c r="A528" s="1">
        <v>41886</v>
      </c>
      <c r="B528" s="1">
        <v>41888</v>
      </c>
      <c r="C528">
        <v>5.23</v>
      </c>
      <c r="D528">
        <v>0.14000000000000001</v>
      </c>
      <c r="E528">
        <v>2</v>
      </c>
      <c r="F528">
        <f xml:space="preserve"> WYNAJEM3[[#This Row],[data_wyjazdu]] - WYNAJEM3[[#This Row],[data_przyjazdu]]</f>
        <v>2</v>
      </c>
    </row>
    <row r="529" spans="1:6" x14ac:dyDescent="0.25">
      <c r="A529" s="1">
        <v>41886</v>
      </c>
      <c r="B529" s="1">
        <v>41900</v>
      </c>
      <c r="C529">
        <v>10.79</v>
      </c>
      <c r="D529">
        <v>0.28000000000000003</v>
      </c>
      <c r="E529">
        <v>4</v>
      </c>
      <c r="F529">
        <f xml:space="preserve"> WYNAJEM3[[#This Row],[data_wyjazdu]] - WYNAJEM3[[#This Row],[data_przyjazdu]]</f>
        <v>14</v>
      </c>
    </row>
    <row r="530" spans="1:6" x14ac:dyDescent="0.25">
      <c r="A530" s="1">
        <v>41886</v>
      </c>
      <c r="B530" s="1">
        <v>41892</v>
      </c>
      <c r="C530">
        <v>2.72</v>
      </c>
      <c r="D530">
        <v>7.0000000000000007E-2</v>
      </c>
      <c r="E530">
        <v>2</v>
      </c>
      <c r="F530">
        <f xml:space="preserve"> WYNAJEM3[[#This Row],[data_wyjazdu]] - WYNAJEM3[[#This Row],[data_przyjazdu]]</f>
        <v>6</v>
      </c>
    </row>
    <row r="531" spans="1:6" x14ac:dyDescent="0.25">
      <c r="A531" s="1">
        <v>41887</v>
      </c>
      <c r="B531" s="1">
        <v>41913</v>
      </c>
      <c r="C531">
        <v>7.55</v>
      </c>
      <c r="D531">
        <v>0.2</v>
      </c>
      <c r="E531">
        <v>3</v>
      </c>
      <c r="F531">
        <f xml:space="preserve"> WYNAJEM3[[#This Row],[data_wyjazdu]] - WYNAJEM3[[#This Row],[data_przyjazdu]]</f>
        <v>26</v>
      </c>
    </row>
    <row r="532" spans="1:6" x14ac:dyDescent="0.25">
      <c r="A532" s="1">
        <v>41887</v>
      </c>
      <c r="B532" s="1">
        <v>41906</v>
      </c>
      <c r="C532">
        <v>6.43</v>
      </c>
      <c r="D532">
        <v>0.17</v>
      </c>
      <c r="E532">
        <v>2</v>
      </c>
      <c r="F532">
        <f xml:space="preserve"> WYNAJEM3[[#This Row],[data_wyjazdu]] - WYNAJEM3[[#This Row],[data_przyjazdu]]</f>
        <v>19</v>
      </c>
    </row>
    <row r="533" spans="1:6" x14ac:dyDescent="0.25">
      <c r="A533" s="1">
        <v>41887</v>
      </c>
      <c r="B533" s="1">
        <v>41905</v>
      </c>
      <c r="C533">
        <v>3.88</v>
      </c>
      <c r="D533">
        <v>0.1</v>
      </c>
      <c r="E533">
        <v>6</v>
      </c>
      <c r="F533">
        <f xml:space="preserve"> WYNAJEM3[[#This Row],[data_wyjazdu]] - WYNAJEM3[[#This Row],[data_przyjazdu]]</f>
        <v>18</v>
      </c>
    </row>
    <row r="534" spans="1:6" x14ac:dyDescent="0.25">
      <c r="A534" s="1">
        <v>41887</v>
      </c>
      <c r="B534" s="1">
        <v>41889</v>
      </c>
      <c r="C534">
        <v>5.67</v>
      </c>
      <c r="D534">
        <v>0.15</v>
      </c>
      <c r="E534">
        <v>4</v>
      </c>
      <c r="F534">
        <f xml:space="preserve"> WYNAJEM3[[#This Row],[data_wyjazdu]] - WYNAJEM3[[#This Row],[data_przyjazdu]]</f>
        <v>2</v>
      </c>
    </row>
    <row r="535" spans="1:6" x14ac:dyDescent="0.25">
      <c r="A535" s="1">
        <v>41887</v>
      </c>
      <c r="B535" s="1">
        <v>41889</v>
      </c>
      <c r="C535">
        <v>12.01</v>
      </c>
      <c r="D535">
        <v>0.32</v>
      </c>
      <c r="E535">
        <v>4</v>
      </c>
      <c r="F535">
        <f xml:space="preserve"> WYNAJEM3[[#This Row],[data_wyjazdu]] - WYNAJEM3[[#This Row],[data_przyjazdu]]</f>
        <v>2</v>
      </c>
    </row>
    <row r="536" spans="1:6" x14ac:dyDescent="0.25">
      <c r="A536" s="1">
        <v>41887</v>
      </c>
      <c r="B536" s="1">
        <v>41908</v>
      </c>
      <c r="C536">
        <v>6.58</v>
      </c>
      <c r="D536">
        <v>0.17</v>
      </c>
      <c r="E536">
        <v>6</v>
      </c>
      <c r="F536">
        <f xml:space="preserve"> WYNAJEM3[[#This Row],[data_wyjazdu]] - WYNAJEM3[[#This Row],[data_przyjazdu]]</f>
        <v>21</v>
      </c>
    </row>
    <row r="537" spans="1:6" x14ac:dyDescent="0.25">
      <c r="A537" s="1">
        <v>41887</v>
      </c>
      <c r="B537" s="1">
        <v>41914</v>
      </c>
      <c r="C537">
        <v>3.79</v>
      </c>
      <c r="D537">
        <v>0.1</v>
      </c>
      <c r="E537">
        <v>3</v>
      </c>
      <c r="F537">
        <f xml:space="preserve"> WYNAJEM3[[#This Row],[data_wyjazdu]] - WYNAJEM3[[#This Row],[data_przyjazdu]]</f>
        <v>27</v>
      </c>
    </row>
    <row r="538" spans="1:6" x14ac:dyDescent="0.25">
      <c r="A538" s="1">
        <v>41887</v>
      </c>
      <c r="B538" s="1">
        <v>41891</v>
      </c>
      <c r="C538">
        <v>8.83</v>
      </c>
      <c r="D538">
        <v>0.23</v>
      </c>
      <c r="E538">
        <v>2</v>
      </c>
      <c r="F538">
        <f xml:space="preserve"> WYNAJEM3[[#This Row],[data_wyjazdu]] - WYNAJEM3[[#This Row],[data_przyjazdu]]</f>
        <v>4</v>
      </c>
    </row>
    <row r="539" spans="1:6" x14ac:dyDescent="0.25">
      <c r="A539" s="1">
        <v>41887</v>
      </c>
      <c r="B539" s="1">
        <v>41891</v>
      </c>
      <c r="C539">
        <v>14.31</v>
      </c>
      <c r="D539">
        <v>0.38</v>
      </c>
      <c r="E539">
        <v>3</v>
      </c>
      <c r="F539">
        <f xml:space="preserve"> WYNAJEM3[[#This Row],[data_wyjazdu]] - WYNAJEM3[[#This Row],[data_przyjazdu]]</f>
        <v>4</v>
      </c>
    </row>
    <row r="540" spans="1:6" x14ac:dyDescent="0.25">
      <c r="A540" s="1">
        <v>41887</v>
      </c>
      <c r="B540" s="1">
        <v>41900</v>
      </c>
      <c r="C540">
        <v>5.47</v>
      </c>
      <c r="D540">
        <v>0.14000000000000001</v>
      </c>
      <c r="E540">
        <v>3</v>
      </c>
      <c r="F540">
        <f xml:space="preserve"> WYNAJEM3[[#This Row],[data_wyjazdu]] - WYNAJEM3[[#This Row],[data_przyjazdu]]</f>
        <v>13</v>
      </c>
    </row>
    <row r="541" spans="1:6" x14ac:dyDescent="0.25">
      <c r="A541" s="1">
        <v>41887</v>
      </c>
      <c r="B541" s="1">
        <v>41907</v>
      </c>
      <c r="C541">
        <v>8.9499999999999993</v>
      </c>
      <c r="D541">
        <v>0.24</v>
      </c>
      <c r="E541">
        <v>4</v>
      </c>
      <c r="F541">
        <f xml:space="preserve"> WYNAJEM3[[#This Row],[data_wyjazdu]] - WYNAJEM3[[#This Row],[data_przyjazdu]]</f>
        <v>20</v>
      </c>
    </row>
    <row r="542" spans="1:6" x14ac:dyDescent="0.25">
      <c r="A542" s="1">
        <v>41887</v>
      </c>
      <c r="B542" s="1">
        <v>41912</v>
      </c>
      <c r="C542">
        <v>4.25</v>
      </c>
      <c r="D542">
        <v>0.11</v>
      </c>
      <c r="E542">
        <v>5</v>
      </c>
      <c r="F542">
        <f xml:space="preserve"> WYNAJEM3[[#This Row],[data_wyjazdu]] - WYNAJEM3[[#This Row],[data_przyjazdu]]</f>
        <v>25</v>
      </c>
    </row>
    <row r="543" spans="1:6" x14ac:dyDescent="0.25">
      <c r="A543" s="1">
        <v>41887</v>
      </c>
      <c r="B543" s="1">
        <v>41894</v>
      </c>
      <c r="C543">
        <v>6.88</v>
      </c>
      <c r="D543">
        <v>0.18</v>
      </c>
      <c r="E543">
        <v>5</v>
      </c>
      <c r="F543">
        <f xml:space="preserve"> WYNAJEM3[[#This Row],[data_wyjazdu]] - WYNAJEM3[[#This Row],[data_przyjazdu]]</f>
        <v>7</v>
      </c>
    </row>
    <row r="544" spans="1:6" x14ac:dyDescent="0.25">
      <c r="A544" s="1">
        <v>41887</v>
      </c>
      <c r="B544" s="1">
        <v>41911</v>
      </c>
      <c r="C544">
        <v>8.89</v>
      </c>
      <c r="D544">
        <v>0.23</v>
      </c>
      <c r="E544">
        <v>3</v>
      </c>
      <c r="F544">
        <f xml:space="preserve"> WYNAJEM3[[#This Row],[data_wyjazdu]] - WYNAJEM3[[#This Row],[data_przyjazdu]]</f>
        <v>24</v>
      </c>
    </row>
    <row r="545" spans="1:6" x14ac:dyDescent="0.25">
      <c r="A545" s="1">
        <v>41889</v>
      </c>
      <c r="B545" s="1">
        <v>41916</v>
      </c>
      <c r="C545">
        <v>6.43</v>
      </c>
      <c r="D545">
        <v>0.17</v>
      </c>
      <c r="E545">
        <v>5</v>
      </c>
      <c r="F545">
        <f xml:space="preserve"> WYNAJEM3[[#This Row],[data_wyjazdu]] - WYNAJEM3[[#This Row],[data_przyjazdu]]</f>
        <v>27</v>
      </c>
    </row>
    <row r="546" spans="1:6" x14ac:dyDescent="0.25">
      <c r="A546" s="1">
        <v>41890</v>
      </c>
      <c r="B546" s="1">
        <v>41918</v>
      </c>
      <c r="C546">
        <v>6.58</v>
      </c>
      <c r="D546">
        <v>0.17</v>
      </c>
      <c r="E546">
        <v>5</v>
      </c>
      <c r="F546">
        <f xml:space="preserve"> WYNAJEM3[[#This Row],[data_wyjazdu]] - WYNAJEM3[[#This Row],[data_przyjazdu]]</f>
        <v>28</v>
      </c>
    </row>
    <row r="547" spans="1:6" x14ac:dyDescent="0.25">
      <c r="A547" s="1">
        <v>41890</v>
      </c>
      <c r="B547" s="1">
        <v>41898</v>
      </c>
      <c r="C547">
        <v>5.67</v>
      </c>
      <c r="D547">
        <v>0.15</v>
      </c>
      <c r="E547">
        <v>2</v>
      </c>
      <c r="F547">
        <f xml:space="preserve"> WYNAJEM3[[#This Row],[data_wyjazdu]] - WYNAJEM3[[#This Row],[data_przyjazdu]]</f>
        <v>8</v>
      </c>
    </row>
    <row r="548" spans="1:6" x14ac:dyDescent="0.25">
      <c r="A548" s="1">
        <v>41890</v>
      </c>
      <c r="B548" s="1">
        <v>41912</v>
      </c>
      <c r="C548">
        <v>3.57</v>
      </c>
      <c r="D548">
        <v>0.09</v>
      </c>
      <c r="E548">
        <v>3</v>
      </c>
      <c r="F548">
        <f xml:space="preserve"> WYNAJEM3[[#This Row],[data_wyjazdu]] - WYNAJEM3[[#This Row],[data_przyjazdu]]</f>
        <v>22</v>
      </c>
    </row>
    <row r="549" spans="1:6" x14ac:dyDescent="0.25">
      <c r="A549" s="1">
        <v>41890</v>
      </c>
      <c r="B549" s="1">
        <v>41895</v>
      </c>
      <c r="C549">
        <v>3.73</v>
      </c>
      <c r="D549">
        <v>0.1</v>
      </c>
      <c r="E549">
        <v>3</v>
      </c>
      <c r="F549">
        <f xml:space="preserve"> WYNAJEM3[[#This Row],[data_wyjazdu]] - WYNAJEM3[[#This Row],[data_przyjazdu]]</f>
        <v>5</v>
      </c>
    </row>
    <row r="550" spans="1:6" x14ac:dyDescent="0.25">
      <c r="A550" s="1">
        <v>41893</v>
      </c>
      <c r="B550" s="1">
        <v>41900</v>
      </c>
      <c r="C550">
        <v>8.5399999999999991</v>
      </c>
      <c r="D550">
        <v>0.22</v>
      </c>
      <c r="E550">
        <v>4</v>
      </c>
      <c r="F550">
        <f xml:space="preserve"> WYNAJEM3[[#This Row],[data_wyjazdu]] - WYNAJEM3[[#This Row],[data_przyjazdu]]</f>
        <v>7</v>
      </c>
    </row>
    <row r="551" spans="1:6" x14ac:dyDescent="0.25">
      <c r="A551" s="1">
        <v>41893</v>
      </c>
      <c r="B551" s="1">
        <v>41898</v>
      </c>
      <c r="C551">
        <v>16.829999999999998</v>
      </c>
      <c r="D551">
        <v>0.44</v>
      </c>
      <c r="E551">
        <v>3</v>
      </c>
      <c r="F551">
        <f xml:space="preserve"> WYNAJEM3[[#This Row],[data_wyjazdu]] - WYNAJEM3[[#This Row],[data_przyjazdu]]</f>
        <v>5</v>
      </c>
    </row>
    <row r="552" spans="1:6" x14ac:dyDescent="0.25">
      <c r="A552" s="1">
        <v>41893</v>
      </c>
      <c r="B552" s="1">
        <v>41918</v>
      </c>
      <c r="C552">
        <v>11.42</v>
      </c>
      <c r="D552">
        <v>0.3</v>
      </c>
      <c r="E552">
        <v>6</v>
      </c>
      <c r="F552">
        <f xml:space="preserve"> WYNAJEM3[[#This Row],[data_wyjazdu]] - WYNAJEM3[[#This Row],[data_przyjazdu]]</f>
        <v>25</v>
      </c>
    </row>
    <row r="553" spans="1:6" x14ac:dyDescent="0.25">
      <c r="A553" s="1">
        <v>41893</v>
      </c>
      <c r="B553" s="1">
        <v>41899</v>
      </c>
      <c r="C553">
        <v>8.84</v>
      </c>
      <c r="D553">
        <v>0.23</v>
      </c>
      <c r="E553">
        <v>2</v>
      </c>
      <c r="F553">
        <f xml:space="preserve"> WYNAJEM3[[#This Row],[data_wyjazdu]] - WYNAJEM3[[#This Row],[data_przyjazdu]]</f>
        <v>6</v>
      </c>
    </row>
    <row r="554" spans="1:6" x14ac:dyDescent="0.25">
      <c r="A554" s="1">
        <v>41893</v>
      </c>
      <c r="B554" s="1">
        <v>41906</v>
      </c>
      <c r="C554">
        <v>6.75</v>
      </c>
      <c r="D554">
        <v>0.18</v>
      </c>
      <c r="E554">
        <v>6</v>
      </c>
      <c r="F554">
        <f xml:space="preserve"> WYNAJEM3[[#This Row],[data_wyjazdu]] - WYNAJEM3[[#This Row],[data_przyjazdu]]</f>
        <v>13</v>
      </c>
    </row>
    <row r="555" spans="1:6" x14ac:dyDescent="0.25">
      <c r="A555" s="1">
        <v>41893</v>
      </c>
      <c r="B555" s="1">
        <v>41919</v>
      </c>
      <c r="C555">
        <v>7.35</v>
      </c>
      <c r="D555">
        <v>0.19</v>
      </c>
      <c r="E555">
        <v>5</v>
      </c>
      <c r="F555">
        <f xml:space="preserve"> WYNAJEM3[[#This Row],[data_wyjazdu]] - WYNAJEM3[[#This Row],[data_przyjazdu]]</f>
        <v>26</v>
      </c>
    </row>
    <row r="556" spans="1:6" x14ac:dyDescent="0.25">
      <c r="A556" s="1">
        <v>41897</v>
      </c>
      <c r="B556" s="1">
        <v>41921</v>
      </c>
      <c r="C556">
        <v>3.57</v>
      </c>
      <c r="D556">
        <v>0.09</v>
      </c>
      <c r="E556">
        <v>4</v>
      </c>
      <c r="F556">
        <f xml:space="preserve"> WYNAJEM3[[#This Row],[data_wyjazdu]] - WYNAJEM3[[#This Row],[data_przyjazdu]]</f>
        <v>24</v>
      </c>
    </row>
    <row r="557" spans="1:6" x14ac:dyDescent="0.25">
      <c r="A557" s="1">
        <v>41897</v>
      </c>
      <c r="B557" s="1">
        <v>41905</v>
      </c>
      <c r="C557">
        <v>9.06</v>
      </c>
      <c r="D557">
        <v>0.24</v>
      </c>
      <c r="E557">
        <v>5</v>
      </c>
      <c r="F557">
        <f xml:space="preserve"> WYNAJEM3[[#This Row],[data_wyjazdu]] - WYNAJEM3[[#This Row],[data_przyjazdu]]</f>
        <v>8</v>
      </c>
    </row>
    <row r="558" spans="1:6" x14ac:dyDescent="0.25">
      <c r="A558" s="1">
        <v>41898</v>
      </c>
      <c r="B558" s="1">
        <v>41906</v>
      </c>
      <c r="C558">
        <v>9.4600000000000009</v>
      </c>
      <c r="D558">
        <v>0.25</v>
      </c>
      <c r="E558">
        <v>4</v>
      </c>
      <c r="F558">
        <f xml:space="preserve"> WYNAJEM3[[#This Row],[data_wyjazdu]] - WYNAJEM3[[#This Row],[data_przyjazdu]]</f>
        <v>8</v>
      </c>
    </row>
    <row r="559" spans="1:6" x14ac:dyDescent="0.25">
      <c r="A559" s="1">
        <v>41898</v>
      </c>
      <c r="B559" s="1">
        <v>41924</v>
      </c>
      <c r="C559">
        <v>8.9499999999999993</v>
      </c>
      <c r="D559">
        <v>0.24</v>
      </c>
      <c r="E559">
        <v>5</v>
      </c>
      <c r="F559">
        <f xml:space="preserve"> WYNAJEM3[[#This Row],[data_wyjazdu]] - WYNAJEM3[[#This Row],[data_przyjazdu]]</f>
        <v>26</v>
      </c>
    </row>
    <row r="560" spans="1:6" x14ac:dyDescent="0.25">
      <c r="A560" s="1">
        <v>41898</v>
      </c>
      <c r="B560" s="1">
        <v>41923</v>
      </c>
      <c r="C560">
        <v>9.06</v>
      </c>
      <c r="D560">
        <v>0.24</v>
      </c>
      <c r="E560">
        <v>2</v>
      </c>
      <c r="F560">
        <f xml:space="preserve"> WYNAJEM3[[#This Row],[data_wyjazdu]] - WYNAJEM3[[#This Row],[data_przyjazdu]]</f>
        <v>25</v>
      </c>
    </row>
    <row r="561" spans="1:6" x14ac:dyDescent="0.25">
      <c r="A561" s="1">
        <v>41898</v>
      </c>
      <c r="B561" s="1">
        <v>41904</v>
      </c>
      <c r="C561">
        <v>6.88</v>
      </c>
      <c r="D561">
        <v>0.18</v>
      </c>
      <c r="E561">
        <v>3</v>
      </c>
      <c r="F561">
        <f xml:space="preserve"> WYNAJEM3[[#This Row],[data_wyjazdu]] - WYNAJEM3[[#This Row],[data_przyjazdu]]</f>
        <v>6</v>
      </c>
    </row>
    <row r="562" spans="1:6" x14ac:dyDescent="0.25">
      <c r="A562" s="1">
        <v>41898</v>
      </c>
      <c r="B562" s="1">
        <v>41917</v>
      </c>
      <c r="C562">
        <v>9.1300000000000008</v>
      </c>
      <c r="D562">
        <v>0.24</v>
      </c>
      <c r="E562">
        <v>4</v>
      </c>
      <c r="F562">
        <f xml:space="preserve"> WYNAJEM3[[#This Row],[data_wyjazdu]] - WYNAJEM3[[#This Row],[data_przyjazdu]]</f>
        <v>19</v>
      </c>
    </row>
    <row r="563" spans="1:6" x14ac:dyDescent="0.25">
      <c r="A563" s="1">
        <v>41898</v>
      </c>
      <c r="B563" s="1">
        <v>41924</v>
      </c>
      <c r="C563">
        <v>12.01</v>
      </c>
      <c r="D563">
        <v>0.32</v>
      </c>
      <c r="E563">
        <v>3</v>
      </c>
      <c r="F563">
        <f xml:space="preserve"> WYNAJEM3[[#This Row],[data_wyjazdu]] - WYNAJEM3[[#This Row],[data_przyjazdu]]</f>
        <v>26</v>
      </c>
    </row>
    <row r="564" spans="1:6" x14ac:dyDescent="0.25">
      <c r="A564" s="1">
        <v>41898</v>
      </c>
      <c r="B564" s="1">
        <v>41920</v>
      </c>
      <c r="C564">
        <v>19.54</v>
      </c>
      <c r="D564">
        <v>0.51</v>
      </c>
      <c r="E564">
        <v>5</v>
      </c>
      <c r="F564">
        <f xml:space="preserve"> WYNAJEM3[[#This Row],[data_wyjazdu]] - WYNAJEM3[[#This Row],[data_przyjazdu]]</f>
        <v>22</v>
      </c>
    </row>
    <row r="565" spans="1:6" x14ac:dyDescent="0.25">
      <c r="A565" s="1">
        <v>41898</v>
      </c>
      <c r="B565" s="1">
        <v>41918</v>
      </c>
      <c r="C565">
        <v>10.199999999999999</v>
      </c>
      <c r="D565">
        <v>0.27</v>
      </c>
      <c r="E565">
        <v>5</v>
      </c>
      <c r="F565">
        <f xml:space="preserve"> WYNAJEM3[[#This Row],[data_wyjazdu]] - WYNAJEM3[[#This Row],[data_przyjazdu]]</f>
        <v>20</v>
      </c>
    </row>
    <row r="566" spans="1:6" x14ac:dyDescent="0.25">
      <c r="A566" s="1">
        <v>41898</v>
      </c>
      <c r="B566" s="1">
        <v>41910</v>
      </c>
      <c r="C566">
        <v>14.31</v>
      </c>
      <c r="D566">
        <v>0.38</v>
      </c>
      <c r="E566">
        <v>6</v>
      </c>
      <c r="F566">
        <f xml:space="preserve"> WYNAJEM3[[#This Row],[data_wyjazdu]] - WYNAJEM3[[#This Row],[data_przyjazdu]]</f>
        <v>12</v>
      </c>
    </row>
    <row r="567" spans="1:6" x14ac:dyDescent="0.25">
      <c r="A567" s="1">
        <v>41898</v>
      </c>
      <c r="B567" s="1">
        <v>41924</v>
      </c>
      <c r="C567">
        <v>8.89</v>
      </c>
      <c r="D567">
        <v>0.23</v>
      </c>
      <c r="E567">
        <v>6</v>
      </c>
      <c r="F567">
        <f xml:space="preserve"> WYNAJEM3[[#This Row],[data_wyjazdu]] - WYNAJEM3[[#This Row],[data_przyjazdu]]</f>
        <v>26</v>
      </c>
    </row>
    <row r="568" spans="1:6" x14ac:dyDescent="0.25">
      <c r="A568" s="1">
        <v>41898</v>
      </c>
      <c r="B568" s="1">
        <v>41925</v>
      </c>
      <c r="C568">
        <v>11.44</v>
      </c>
      <c r="D568">
        <v>0.3</v>
      </c>
      <c r="E568">
        <v>2</v>
      </c>
      <c r="F568">
        <f xml:space="preserve"> WYNAJEM3[[#This Row],[data_wyjazdu]] - WYNAJEM3[[#This Row],[data_przyjazdu]]</f>
        <v>27</v>
      </c>
    </row>
    <row r="569" spans="1:6" x14ac:dyDescent="0.25">
      <c r="A569" s="1">
        <v>41898</v>
      </c>
      <c r="B569" s="1">
        <v>41911</v>
      </c>
      <c r="C569">
        <v>6.43</v>
      </c>
      <c r="D569">
        <v>0.17</v>
      </c>
      <c r="E569">
        <v>5</v>
      </c>
      <c r="F569">
        <f xml:space="preserve"> WYNAJEM3[[#This Row],[data_wyjazdu]] - WYNAJEM3[[#This Row],[data_przyjazdu]]</f>
        <v>13</v>
      </c>
    </row>
    <row r="570" spans="1:6" x14ac:dyDescent="0.25">
      <c r="A570" s="1">
        <v>41898</v>
      </c>
      <c r="B570" s="1">
        <v>41907</v>
      </c>
      <c r="C570">
        <v>7.31</v>
      </c>
      <c r="D570">
        <v>0.19</v>
      </c>
      <c r="E570">
        <v>5</v>
      </c>
      <c r="F570">
        <f xml:space="preserve"> WYNAJEM3[[#This Row],[data_wyjazdu]] - WYNAJEM3[[#This Row],[data_przyjazdu]]</f>
        <v>9</v>
      </c>
    </row>
    <row r="571" spans="1:6" x14ac:dyDescent="0.25">
      <c r="A571" s="1">
        <v>41898</v>
      </c>
      <c r="B571" s="1">
        <v>41924</v>
      </c>
      <c r="C571">
        <v>8.5399999999999991</v>
      </c>
      <c r="D571">
        <v>0.22</v>
      </c>
      <c r="E571">
        <v>4</v>
      </c>
      <c r="F571">
        <f xml:space="preserve"> WYNAJEM3[[#This Row],[data_wyjazdu]] - WYNAJEM3[[#This Row],[data_przyjazdu]]</f>
        <v>26</v>
      </c>
    </row>
    <row r="572" spans="1:6" x14ac:dyDescent="0.25">
      <c r="A572" s="1">
        <v>41898</v>
      </c>
      <c r="B572" s="1">
        <v>41901</v>
      </c>
      <c r="C572">
        <v>4.25</v>
      </c>
      <c r="D572">
        <v>0.11</v>
      </c>
      <c r="E572">
        <v>6</v>
      </c>
      <c r="F572">
        <f xml:space="preserve"> WYNAJEM3[[#This Row],[data_wyjazdu]] - WYNAJEM3[[#This Row],[data_przyjazdu]]</f>
        <v>3</v>
      </c>
    </row>
    <row r="573" spans="1:6" x14ac:dyDescent="0.25">
      <c r="A573" s="1">
        <v>41898</v>
      </c>
      <c r="B573" s="1">
        <v>41922</v>
      </c>
      <c r="C573">
        <v>7.3</v>
      </c>
      <c r="D573">
        <v>0.19</v>
      </c>
      <c r="E573">
        <v>2</v>
      </c>
      <c r="F573">
        <f xml:space="preserve"> WYNAJEM3[[#This Row],[data_wyjazdu]] - WYNAJEM3[[#This Row],[data_przyjazdu]]</f>
        <v>24</v>
      </c>
    </row>
    <row r="574" spans="1:6" x14ac:dyDescent="0.25">
      <c r="A574" s="1">
        <v>41898</v>
      </c>
      <c r="B574" s="1">
        <v>41919</v>
      </c>
      <c r="C574">
        <v>11.37</v>
      </c>
      <c r="D574">
        <v>0.3</v>
      </c>
      <c r="E574">
        <v>6</v>
      </c>
      <c r="F574">
        <f xml:space="preserve"> WYNAJEM3[[#This Row],[data_wyjazdu]] - WYNAJEM3[[#This Row],[data_przyjazdu]]</f>
        <v>21</v>
      </c>
    </row>
    <row r="575" spans="1:6" x14ac:dyDescent="0.25">
      <c r="A575" s="1">
        <v>41898</v>
      </c>
      <c r="B575" s="1">
        <v>41903</v>
      </c>
      <c r="C575">
        <v>14.13</v>
      </c>
      <c r="D575">
        <v>0.37</v>
      </c>
      <c r="E575">
        <v>2</v>
      </c>
      <c r="F575">
        <f xml:space="preserve"> WYNAJEM3[[#This Row],[data_wyjazdu]] - WYNAJEM3[[#This Row],[data_przyjazdu]]</f>
        <v>5</v>
      </c>
    </row>
    <row r="576" spans="1:6" x14ac:dyDescent="0.25">
      <c r="A576" s="1">
        <v>41898</v>
      </c>
      <c r="B576" s="1">
        <v>41925</v>
      </c>
      <c r="C576">
        <v>11.44</v>
      </c>
      <c r="D576">
        <v>0.3</v>
      </c>
      <c r="E576">
        <v>2</v>
      </c>
      <c r="F576">
        <f xml:space="preserve"> WYNAJEM3[[#This Row],[data_wyjazdu]] - WYNAJEM3[[#This Row],[data_przyjazdu]]</f>
        <v>27</v>
      </c>
    </row>
    <row r="577" spans="1:6" x14ac:dyDescent="0.25">
      <c r="A577" s="1">
        <v>41899</v>
      </c>
      <c r="B577" s="1">
        <v>41927</v>
      </c>
      <c r="C577">
        <v>9.4600000000000009</v>
      </c>
      <c r="D577">
        <v>0.25</v>
      </c>
      <c r="E577">
        <v>6</v>
      </c>
      <c r="F577">
        <f xml:space="preserve"> WYNAJEM3[[#This Row],[data_wyjazdu]] - WYNAJEM3[[#This Row],[data_przyjazdu]]</f>
        <v>28</v>
      </c>
    </row>
    <row r="578" spans="1:6" x14ac:dyDescent="0.25">
      <c r="A578" s="1">
        <v>41899</v>
      </c>
      <c r="B578" s="1">
        <v>41902</v>
      </c>
      <c r="C578">
        <v>4.25</v>
      </c>
      <c r="D578">
        <v>0.11</v>
      </c>
      <c r="E578">
        <v>2</v>
      </c>
      <c r="F578">
        <f xml:space="preserve"> WYNAJEM3[[#This Row],[data_wyjazdu]] - WYNAJEM3[[#This Row],[data_przyjazdu]]</f>
        <v>3</v>
      </c>
    </row>
    <row r="579" spans="1:6" x14ac:dyDescent="0.25">
      <c r="A579" s="1">
        <v>41899</v>
      </c>
      <c r="B579" s="1">
        <v>41911</v>
      </c>
      <c r="C579">
        <v>7.31</v>
      </c>
      <c r="D579">
        <v>0.19</v>
      </c>
      <c r="E579">
        <v>4</v>
      </c>
      <c r="F579">
        <f xml:space="preserve"> WYNAJEM3[[#This Row],[data_wyjazdu]] - WYNAJEM3[[#This Row],[data_przyjazdu]]</f>
        <v>12</v>
      </c>
    </row>
    <row r="580" spans="1:6" x14ac:dyDescent="0.25">
      <c r="A580" s="1">
        <v>41899</v>
      </c>
      <c r="B580" s="1">
        <v>41913</v>
      </c>
      <c r="C580">
        <v>14</v>
      </c>
      <c r="D580">
        <v>0.37</v>
      </c>
      <c r="E580">
        <v>6</v>
      </c>
      <c r="F580">
        <f xml:space="preserve"> WYNAJEM3[[#This Row],[data_wyjazdu]] - WYNAJEM3[[#This Row],[data_przyjazdu]]</f>
        <v>14</v>
      </c>
    </row>
    <row r="581" spans="1:6" x14ac:dyDescent="0.25">
      <c r="A581" s="1">
        <v>41899</v>
      </c>
      <c r="B581" s="1">
        <v>41907</v>
      </c>
      <c r="C581">
        <v>6.23</v>
      </c>
      <c r="D581">
        <v>0.16</v>
      </c>
      <c r="E581">
        <v>2</v>
      </c>
      <c r="F581">
        <f xml:space="preserve"> WYNAJEM3[[#This Row],[data_wyjazdu]] - WYNAJEM3[[#This Row],[data_przyjazdu]]</f>
        <v>8</v>
      </c>
    </row>
    <row r="582" spans="1:6" x14ac:dyDescent="0.25">
      <c r="A582" s="1">
        <v>41899</v>
      </c>
      <c r="B582" s="1">
        <v>41904</v>
      </c>
      <c r="C582">
        <v>9.1300000000000008</v>
      </c>
      <c r="D582">
        <v>0.24</v>
      </c>
      <c r="E582">
        <v>3</v>
      </c>
      <c r="F582">
        <f xml:space="preserve"> WYNAJEM3[[#This Row],[data_wyjazdu]] - WYNAJEM3[[#This Row],[data_przyjazdu]]</f>
        <v>5</v>
      </c>
    </row>
    <row r="583" spans="1:6" x14ac:dyDescent="0.25">
      <c r="A583" s="1">
        <v>41899</v>
      </c>
      <c r="B583" s="1">
        <v>41919</v>
      </c>
      <c r="C583">
        <v>10.59</v>
      </c>
      <c r="D583">
        <v>0.28000000000000003</v>
      </c>
      <c r="E583">
        <v>5</v>
      </c>
      <c r="F583">
        <f xml:space="preserve"> WYNAJEM3[[#This Row],[data_wyjazdu]] - WYNAJEM3[[#This Row],[data_przyjazdu]]</f>
        <v>20</v>
      </c>
    </row>
    <row r="584" spans="1:6" x14ac:dyDescent="0.25">
      <c r="A584" s="1">
        <v>41899</v>
      </c>
      <c r="B584" s="1">
        <v>41902</v>
      </c>
      <c r="C584">
        <v>9.06</v>
      </c>
      <c r="D584">
        <v>0.24</v>
      </c>
      <c r="E584">
        <v>2</v>
      </c>
      <c r="F584">
        <f xml:space="preserve"> WYNAJEM3[[#This Row],[data_wyjazdu]] - WYNAJEM3[[#This Row],[data_przyjazdu]]</f>
        <v>3</v>
      </c>
    </row>
    <row r="585" spans="1:6" x14ac:dyDescent="0.25">
      <c r="A585" s="1">
        <v>41899</v>
      </c>
      <c r="B585" s="1">
        <v>41901</v>
      </c>
      <c r="C585">
        <v>7.06</v>
      </c>
      <c r="D585">
        <v>0.19</v>
      </c>
      <c r="E585">
        <v>2</v>
      </c>
      <c r="F585">
        <f xml:space="preserve"> WYNAJEM3[[#This Row],[data_wyjazdu]] - WYNAJEM3[[#This Row],[data_przyjazdu]]</f>
        <v>2</v>
      </c>
    </row>
    <row r="586" spans="1:6" x14ac:dyDescent="0.25">
      <c r="A586" s="1">
        <v>41899</v>
      </c>
      <c r="B586" s="1">
        <v>41916</v>
      </c>
      <c r="C586">
        <v>6.75</v>
      </c>
      <c r="D586">
        <v>0.18</v>
      </c>
      <c r="E586">
        <v>5</v>
      </c>
      <c r="F586">
        <f xml:space="preserve"> WYNAJEM3[[#This Row],[data_wyjazdu]] - WYNAJEM3[[#This Row],[data_przyjazdu]]</f>
        <v>17</v>
      </c>
    </row>
    <row r="587" spans="1:6" x14ac:dyDescent="0.25">
      <c r="A587" s="1">
        <v>41899</v>
      </c>
      <c r="B587" s="1">
        <v>41911</v>
      </c>
      <c r="C587">
        <v>7.3</v>
      </c>
      <c r="D587">
        <v>0.19</v>
      </c>
      <c r="E587">
        <v>4</v>
      </c>
      <c r="F587">
        <f xml:space="preserve"> WYNAJEM3[[#This Row],[data_wyjazdu]] - WYNAJEM3[[#This Row],[data_przyjazdu]]</f>
        <v>12</v>
      </c>
    </row>
    <row r="588" spans="1:6" x14ac:dyDescent="0.25">
      <c r="A588" s="1">
        <v>41899</v>
      </c>
      <c r="B588" s="1">
        <v>41902</v>
      </c>
      <c r="C588">
        <v>13.02</v>
      </c>
      <c r="D588">
        <v>0.34</v>
      </c>
      <c r="E588">
        <v>5</v>
      </c>
      <c r="F588">
        <f xml:space="preserve"> WYNAJEM3[[#This Row],[data_wyjazdu]] - WYNAJEM3[[#This Row],[data_przyjazdu]]</f>
        <v>3</v>
      </c>
    </row>
    <row r="589" spans="1:6" x14ac:dyDescent="0.25">
      <c r="A589" s="1">
        <v>41899</v>
      </c>
      <c r="B589" s="1">
        <v>41905</v>
      </c>
      <c r="C589">
        <v>14.13</v>
      </c>
      <c r="D589">
        <v>0.37</v>
      </c>
      <c r="E589">
        <v>3</v>
      </c>
      <c r="F589">
        <f xml:space="preserve"> WYNAJEM3[[#This Row],[data_wyjazdu]] - WYNAJEM3[[#This Row],[data_przyjazdu]]</f>
        <v>6</v>
      </c>
    </row>
    <row r="590" spans="1:6" x14ac:dyDescent="0.25">
      <c r="A590" s="1">
        <v>41899</v>
      </c>
      <c r="B590" s="1">
        <v>41906</v>
      </c>
      <c r="C590">
        <v>10.59</v>
      </c>
      <c r="D590">
        <v>0.28000000000000003</v>
      </c>
      <c r="E590">
        <v>3</v>
      </c>
      <c r="F590">
        <f xml:space="preserve"> WYNAJEM3[[#This Row],[data_wyjazdu]] - WYNAJEM3[[#This Row],[data_przyjazdu]]</f>
        <v>7</v>
      </c>
    </row>
    <row r="591" spans="1:6" x14ac:dyDescent="0.25">
      <c r="A591" s="1">
        <v>41899</v>
      </c>
      <c r="B591" s="1">
        <v>41917</v>
      </c>
      <c r="C591">
        <v>5.57</v>
      </c>
      <c r="D591">
        <v>0.15</v>
      </c>
      <c r="E591">
        <v>6</v>
      </c>
      <c r="F591">
        <f xml:space="preserve"> WYNAJEM3[[#This Row],[data_wyjazdu]] - WYNAJEM3[[#This Row],[data_przyjazdu]]</f>
        <v>18</v>
      </c>
    </row>
    <row r="592" spans="1:6" x14ac:dyDescent="0.25">
      <c r="A592" s="1">
        <v>41900</v>
      </c>
      <c r="B592" s="1">
        <v>41906</v>
      </c>
      <c r="C592">
        <v>5.57</v>
      </c>
      <c r="D592">
        <v>0.15</v>
      </c>
      <c r="E592">
        <v>2</v>
      </c>
      <c r="F592">
        <f xml:space="preserve"> WYNAJEM3[[#This Row],[data_wyjazdu]] - WYNAJEM3[[#This Row],[data_przyjazdu]]</f>
        <v>6</v>
      </c>
    </row>
    <row r="593" spans="1:6" x14ac:dyDescent="0.25">
      <c r="A593" s="1">
        <v>41901</v>
      </c>
      <c r="B593" s="1">
        <v>41919</v>
      </c>
      <c r="C593">
        <v>8.7200000000000006</v>
      </c>
      <c r="D593">
        <v>0.23</v>
      </c>
      <c r="E593">
        <v>2</v>
      </c>
      <c r="F593">
        <f xml:space="preserve"> WYNAJEM3[[#This Row],[data_wyjazdu]] - WYNAJEM3[[#This Row],[data_przyjazdu]]</f>
        <v>18</v>
      </c>
    </row>
    <row r="594" spans="1:6" x14ac:dyDescent="0.25">
      <c r="A594" s="1">
        <v>41902</v>
      </c>
      <c r="B594" s="1">
        <v>41904</v>
      </c>
      <c r="C594">
        <v>6.43</v>
      </c>
      <c r="D594">
        <v>0.17</v>
      </c>
      <c r="E594">
        <v>4</v>
      </c>
      <c r="F594">
        <f xml:space="preserve"> WYNAJEM3[[#This Row],[data_wyjazdu]] - WYNAJEM3[[#This Row],[data_przyjazdu]]</f>
        <v>2</v>
      </c>
    </row>
    <row r="595" spans="1:6" x14ac:dyDescent="0.25">
      <c r="A595" s="1">
        <v>41904</v>
      </c>
      <c r="B595" s="1">
        <v>41929</v>
      </c>
      <c r="C595">
        <v>3.57</v>
      </c>
      <c r="D595">
        <v>0.09</v>
      </c>
      <c r="E595">
        <v>2</v>
      </c>
      <c r="F595">
        <f xml:space="preserve"> WYNAJEM3[[#This Row],[data_wyjazdu]] - WYNAJEM3[[#This Row],[data_przyjazdu]]</f>
        <v>25</v>
      </c>
    </row>
    <row r="596" spans="1:6" x14ac:dyDescent="0.25">
      <c r="A596" s="1">
        <v>41905</v>
      </c>
      <c r="B596" s="1">
        <v>41924</v>
      </c>
      <c r="C596">
        <v>13.82</v>
      </c>
      <c r="D596">
        <v>0.36</v>
      </c>
      <c r="E596">
        <v>4</v>
      </c>
      <c r="F596">
        <f xml:space="preserve"> WYNAJEM3[[#This Row],[data_wyjazdu]] - WYNAJEM3[[#This Row],[data_przyjazdu]]</f>
        <v>19</v>
      </c>
    </row>
    <row r="597" spans="1:6" x14ac:dyDescent="0.25">
      <c r="A597" s="1">
        <v>41905</v>
      </c>
      <c r="B597" s="1">
        <v>41910</v>
      </c>
      <c r="C597">
        <v>11.37</v>
      </c>
      <c r="D597">
        <v>0.3</v>
      </c>
      <c r="E597">
        <v>5</v>
      </c>
      <c r="F597">
        <f xml:space="preserve"> WYNAJEM3[[#This Row],[data_wyjazdu]] - WYNAJEM3[[#This Row],[data_przyjazdu]]</f>
        <v>5</v>
      </c>
    </row>
    <row r="598" spans="1:6" x14ac:dyDescent="0.25">
      <c r="A598" s="1">
        <v>41905</v>
      </c>
      <c r="B598" s="1">
        <v>41925</v>
      </c>
      <c r="C598">
        <v>6.58</v>
      </c>
      <c r="D598">
        <v>0.17</v>
      </c>
      <c r="E598">
        <v>4</v>
      </c>
      <c r="F598">
        <f xml:space="preserve"> WYNAJEM3[[#This Row],[data_wyjazdu]] - WYNAJEM3[[#This Row],[data_przyjazdu]]</f>
        <v>20</v>
      </c>
    </row>
    <row r="599" spans="1:6" x14ac:dyDescent="0.25">
      <c r="A599" s="1">
        <v>41905</v>
      </c>
      <c r="B599" s="1">
        <v>41927</v>
      </c>
      <c r="C599">
        <v>11.69</v>
      </c>
      <c r="D599">
        <v>0.31</v>
      </c>
      <c r="E599">
        <v>5</v>
      </c>
      <c r="F599">
        <f xml:space="preserve"> WYNAJEM3[[#This Row],[data_wyjazdu]] - WYNAJEM3[[#This Row],[data_przyjazdu]]</f>
        <v>22</v>
      </c>
    </row>
    <row r="600" spans="1:6" x14ac:dyDescent="0.25">
      <c r="A600" s="1">
        <v>41905</v>
      </c>
      <c r="B600" s="1">
        <v>41907</v>
      </c>
      <c r="C600">
        <v>12.01</v>
      </c>
      <c r="D600">
        <v>0.32</v>
      </c>
      <c r="E600">
        <v>3</v>
      </c>
      <c r="F600">
        <f xml:space="preserve"> WYNAJEM3[[#This Row],[data_wyjazdu]] - WYNAJEM3[[#This Row],[data_przyjazdu]]</f>
        <v>2</v>
      </c>
    </row>
    <row r="601" spans="1:6" x14ac:dyDescent="0.25">
      <c r="A601" s="1">
        <v>41905</v>
      </c>
      <c r="B601" s="1">
        <v>41924</v>
      </c>
      <c r="C601">
        <v>6.43</v>
      </c>
      <c r="D601">
        <v>0.17</v>
      </c>
      <c r="E601">
        <v>2</v>
      </c>
      <c r="F601">
        <f xml:space="preserve"> WYNAJEM3[[#This Row],[data_wyjazdu]] - WYNAJEM3[[#This Row],[data_przyjazdu]]</f>
        <v>19</v>
      </c>
    </row>
    <row r="602" spans="1:6" x14ac:dyDescent="0.25">
      <c r="A602" s="1">
        <v>41906</v>
      </c>
      <c r="B602" s="1">
        <v>41921</v>
      </c>
      <c r="C602">
        <v>14.13</v>
      </c>
      <c r="D602">
        <v>0.37</v>
      </c>
      <c r="E602">
        <v>2</v>
      </c>
      <c r="F602">
        <f xml:space="preserve"> WYNAJEM3[[#This Row],[data_wyjazdu]] - WYNAJEM3[[#This Row],[data_przyjazdu]]</f>
        <v>15</v>
      </c>
    </row>
    <row r="603" spans="1:6" x14ac:dyDescent="0.25">
      <c r="A603" s="1">
        <v>41908</v>
      </c>
      <c r="B603" s="1">
        <v>41928</v>
      </c>
      <c r="C603">
        <v>3.73</v>
      </c>
      <c r="D603">
        <v>0.1</v>
      </c>
      <c r="E603">
        <v>2</v>
      </c>
      <c r="F603">
        <f xml:space="preserve"> WYNAJEM3[[#This Row],[data_wyjazdu]] - WYNAJEM3[[#This Row],[data_przyjazdu]]</f>
        <v>20</v>
      </c>
    </row>
    <row r="604" spans="1:6" x14ac:dyDescent="0.25">
      <c r="A604" s="1">
        <v>41910</v>
      </c>
      <c r="B604" s="1">
        <v>41936</v>
      </c>
      <c r="C604">
        <v>2.29</v>
      </c>
      <c r="D604">
        <v>0.06</v>
      </c>
      <c r="E604">
        <v>6</v>
      </c>
      <c r="F604">
        <f xml:space="preserve"> WYNAJEM3[[#This Row],[data_wyjazdu]] - WYNAJEM3[[#This Row],[data_przyjazdu]]</f>
        <v>26</v>
      </c>
    </row>
    <row r="605" spans="1:6" x14ac:dyDescent="0.25">
      <c r="A605" s="1">
        <v>41910</v>
      </c>
      <c r="B605" s="1">
        <v>41926</v>
      </c>
      <c r="C605">
        <v>14.13</v>
      </c>
      <c r="D605">
        <v>0.37</v>
      </c>
      <c r="E605">
        <v>3</v>
      </c>
      <c r="F605">
        <f xml:space="preserve"> WYNAJEM3[[#This Row],[data_wyjazdu]] - WYNAJEM3[[#This Row],[data_przyjazdu]]</f>
        <v>16</v>
      </c>
    </row>
    <row r="606" spans="1:6" x14ac:dyDescent="0.25">
      <c r="A606" s="1">
        <v>41910</v>
      </c>
      <c r="B606" s="1">
        <v>41925</v>
      </c>
      <c r="C606">
        <v>11.37</v>
      </c>
      <c r="D606">
        <v>0.3</v>
      </c>
      <c r="E606">
        <v>4</v>
      </c>
      <c r="F606">
        <f xml:space="preserve"> WYNAJEM3[[#This Row],[data_wyjazdu]] - WYNAJEM3[[#This Row],[data_przyjazdu]]</f>
        <v>15</v>
      </c>
    </row>
    <row r="607" spans="1:6" x14ac:dyDescent="0.25">
      <c r="A607" s="1">
        <v>41910</v>
      </c>
      <c r="B607" s="1">
        <v>41917</v>
      </c>
      <c r="C607">
        <v>16.940000000000001</v>
      </c>
      <c r="D607">
        <v>0.45</v>
      </c>
      <c r="E607">
        <v>2</v>
      </c>
      <c r="F607">
        <f xml:space="preserve"> WYNAJEM3[[#This Row],[data_wyjazdu]] - WYNAJEM3[[#This Row],[data_przyjazdu]]</f>
        <v>7</v>
      </c>
    </row>
    <row r="608" spans="1:6" x14ac:dyDescent="0.25">
      <c r="A608" s="1">
        <v>41910</v>
      </c>
      <c r="B608" s="1">
        <v>41913</v>
      </c>
      <c r="C608">
        <v>11.42</v>
      </c>
      <c r="D608">
        <v>0.3</v>
      </c>
      <c r="E608">
        <v>3</v>
      </c>
      <c r="F608">
        <f xml:space="preserve"> WYNAJEM3[[#This Row],[data_wyjazdu]] - WYNAJEM3[[#This Row],[data_przyjazdu]]</f>
        <v>3</v>
      </c>
    </row>
    <row r="609" spans="1:6" x14ac:dyDescent="0.25">
      <c r="A609" s="1">
        <v>41910</v>
      </c>
      <c r="B609" s="1">
        <v>41913</v>
      </c>
      <c r="C609">
        <v>4.25</v>
      </c>
      <c r="D609">
        <v>0.11</v>
      </c>
      <c r="E609">
        <v>4</v>
      </c>
      <c r="F609">
        <f xml:space="preserve"> WYNAJEM3[[#This Row],[data_wyjazdu]] - WYNAJEM3[[#This Row],[data_przyjazdu]]</f>
        <v>3</v>
      </c>
    </row>
    <row r="610" spans="1:6" x14ac:dyDescent="0.25">
      <c r="A610" s="1">
        <v>41910</v>
      </c>
      <c r="B610" s="1">
        <v>41930</v>
      </c>
      <c r="C610">
        <v>5.78</v>
      </c>
      <c r="D610">
        <v>0.15</v>
      </c>
      <c r="E610">
        <v>2</v>
      </c>
      <c r="F610">
        <f xml:space="preserve"> WYNAJEM3[[#This Row],[data_wyjazdu]] - WYNAJEM3[[#This Row],[data_przyjazdu]]</f>
        <v>20</v>
      </c>
    </row>
    <row r="611" spans="1:6" x14ac:dyDescent="0.25">
      <c r="A611" s="1">
        <v>41910</v>
      </c>
      <c r="B611" s="1">
        <v>41918</v>
      </c>
      <c r="C611">
        <v>5.23</v>
      </c>
      <c r="D611">
        <v>0.14000000000000001</v>
      </c>
      <c r="E611">
        <v>5</v>
      </c>
      <c r="F611">
        <f xml:space="preserve"> WYNAJEM3[[#This Row],[data_wyjazdu]] - WYNAJEM3[[#This Row],[data_przyjazdu]]</f>
        <v>8</v>
      </c>
    </row>
    <row r="612" spans="1:6" x14ac:dyDescent="0.25">
      <c r="A612" s="1">
        <v>41910</v>
      </c>
      <c r="B612" s="1">
        <v>41933</v>
      </c>
      <c r="C612">
        <v>10.79</v>
      </c>
      <c r="D612">
        <v>0.28000000000000003</v>
      </c>
      <c r="E612">
        <v>3</v>
      </c>
      <c r="F612">
        <f xml:space="preserve"> WYNAJEM3[[#This Row],[data_wyjazdu]] - WYNAJEM3[[#This Row],[data_przyjazdu]]</f>
        <v>23</v>
      </c>
    </row>
    <row r="613" spans="1:6" x14ac:dyDescent="0.25">
      <c r="A613" s="1">
        <v>41910</v>
      </c>
      <c r="B613" s="1">
        <v>41923</v>
      </c>
      <c r="C613">
        <v>5.78</v>
      </c>
      <c r="D613">
        <v>0.15</v>
      </c>
      <c r="E613">
        <v>6</v>
      </c>
      <c r="F613">
        <f xml:space="preserve"> WYNAJEM3[[#This Row],[data_wyjazdu]] - WYNAJEM3[[#This Row],[data_przyjazdu]]</f>
        <v>13</v>
      </c>
    </row>
    <row r="614" spans="1:6" x14ac:dyDescent="0.25">
      <c r="A614" s="1">
        <v>41911</v>
      </c>
      <c r="B614" s="1">
        <v>41919</v>
      </c>
      <c r="C614">
        <v>11.37</v>
      </c>
      <c r="D614">
        <v>0.3</v>
      </c>
      <c r="E614">
        <v>4</v>
      </c>
      <c r="F614">
        <f xml:space="preserve"> WYNAJEM3[[#This Row],[data_wyjazdu]] - WYNAJEM3[[#This Row],[data_przyjazdu]]</f>
        <v>8</v>
      </c>
    </row>
    <row r="615" spans="1:6" x14ac:dyDescent="0.25">
      <c r="A615" s="1">
        <v>41911</v>
      </c>
      <c r="B615" s="1">
        <v>41927</v>
      </c>
      <c r="C615">
        <v>8.9499999999999993</v>
      </c>
      <c r="D615">
        <v>0.24</v>
      </c>
      <c r="E615">
        <v>3</v>
      </c>
      <c r="F615">
        <f xml:space="preserve"> WYNAJEM3[[#This Row],[data_wyjazdu]] - WYNAJEM3[[#This Row],[data_przyjazdu]]</f>
        <v>16</v>
      </c>
    </row>
    <row r="616" spans="1:6" x14ac:dyDescent="0.25">
      <c r="A616" s="1">
        <v>41911</v>
      </c>
      <c r="B616" s="1">
        <v>41929</v>
      </c>
      <c r="C616">
        <v>10.199999999999999</v>
      </c>
      <c r="D616">
        <v>0.27</v>
      </c>
      <c r="E616">
        <v>3</v>
      </c>
      <c r="F616">
        <f xml:space="preserve"> WYNAJEM3[[#This Row],[data_wyjazdu]] - WYNAJEM3[[#This Row],[data_przyjazdu]]</f>
        <v>18</v>
      </c>
    </row>
    <row r="617" spans="1:6" x14ac:dyDescent="0.25">
      <c r="A617" s="1">
        <v>41911</v>
      </c>
      <c r="B617" s="1">
        <v>41921</v>
      </c>
      <c r="C617">
        <v>9.1300000000000008</v>
      </c>
      <c r="D617">
        <v>0.24</v>
      </c>
      <c r="E617">
        <v>4</v>
      </c>
      <c r="F617">
        <f xml:space="preserve"> WYNAJEM3[[#This Row],[data_wyjazdu]] - WYNAJEM3[[#This Row],[data_przyjazdu]]</f>
        <v>10</v>
      </c>
    </row>
    <row r="618" spans="1:6" x14ac:dyDescent="0.25">
      <c r="A618" s="1">
        <v>41911</v>
      </c>
      <c r="B618" s="1">
        <v>41932</v>
      </c>
      <c r="C618">
        <v>6.23</v>
      </c>
      <c r="D618">
        <v>0.16</v>
      </c>
      <c r="E618">
        <v>6</v>
      </c>
      <c r="F618">
        <f xml:space="preserve"> WYNAJEM3[[#This Row],[data_wyjazdu]] - WYNAJEM3[[#This Row],[data_przyjazdu]]</f>
        <v>21</v>
      </c>
    </row>
    <row r="619" spans="1:6" x14ac:dyDescent="0.25">
      <c r="A619" s="1">
        <v>41911</v>
      </c>
      <c r="B619" s="1">
        <v>41932</v>
      </c>
      <c r="C619">
        <v>8.84</v>
      </c>
      <c r="D619">
        <v>0.23</v>
      </c>
      <c r="E619">
        <v>4</v>
      </c>
      <c r="F619">
        <f xml:space="preserve"> WYNAJEM3[[#This Row],[data_wyjazdu]] - WYNAJEM3[[#This Row],[data_przyjazdu]]</f>
        <v>21</v>
      </c>
    </row>
    <row r="620" spans="1:6" x14ac:dyDescent="0.25">
      <c r="A620" s="1">
        <v>41911</v>
      </c>
      <c r="B620" s="1">
        <v>41919</v>
      </c>
      <c r="C620">
        <v>6.88</v>
      </c>
      <c r="D620">
        <v>0.18</v>
      </c>
      <c r="E620">
        <v>6</v>
      </c>
      <c r="F620">
        <f xml:space="preserve"> WYNAJEM3[[#This Row],[data_wyjazdu]] - WYNAJEM3[[#This Row],[data_przyjazdu]]</f>
        <v>8</v>
      </c>
    </row>
    <row r="621" spans="1:6" x14ac:dyDescent="0.25">
      <c r="A621" s="1">
        <v>41911</v>
      </c>
      <c r="B621" s="1">
        <v>41921</v>
      </c>
      <c r="C621">
        <v>8.84</v>
      </c>
      <c r="D621">
        <v>0.23</v>
      </c>
      <c r="E621">
        <v>2</v>
      </c>
      <c r="F621">
        <f xml:space="preserve"> WYNAJEM3[[#This Row],[data_wyjazdu]] - WYNAJEM3[[#This Row],[data_przyjazdu]]</f>
        <v>10</v>
      </c>
    </row>
    <row r="622" spans="1:6" x14ac:dyDescent="0.25">
      <c r="A622" s="1">
        <v>41911</v>
      </c>
      <c r="B622" s="1">
        <v>41917</v>
      </c>
      <c r="C622">
        <v>3.57</v>
      </c>
      <c r="D622">
        <v>0.09</v>
      </c>
      <c r="E622">
        <v>5</v>
      </c>
      <c r="F622">
        <f xml:space="preserve"> WYNAJEM3[[#This Row],[data_wyjazdu]] - WYNAJEM3[[#This Row],[data_przyjazdu]]</f>
        <v>6</v>
      </c>
    </row>
    <row r="623" spans="1:6" x14ac:dyDescent="0.25">
      <c r="A623" s="1">
        <v>41911</v>
      </c>
      <c r="B623" s="1">
        <v>41926</v>
      </c>
      <c r="C623">
        <v>5.64</v>
      </c>
      <c r="D623">
        <v>0.15</v>
      </c>
      <c r="E623">
        <v>5</v>
      </c>
      <c r="F623">
        <f xml:space="preserve"> WYNAJEM3[[#This Row],[data_wyjazdu]] - WYNAJEM3[[#This Row],[data_przyjazdu]]</f>
        <v>15</v>
      </c>
    </row>
    <row r="624" spans="1:6" x14ac:dyDescent="0.25">
      <c r="A624" s="1">
        <v>41911</v>
      </c>
      <c r="B624" s="1">
        <v>41938</v>
      </c>
      <c r="C624">
        <v>9.06</v>
      </c>
      <c r="D624">
        <v>0.24</v>
      </c>
      <c r="E624">
        <v>6</v>
      </c>
      <c r="F624">
        <f xml:space="preserve"> WYNAJEM3[[#This Row],[data_wyjazdu]] - WYNAJEM3[[#This Row],[data_przyjazdu]]</f>
        <v>27</v>
      </c>
    </row>
    <row r="625" spans="1:6" x14ac:dyDescent="0.25">
      <c r="A625" s="1">
        <v>41911</v>
      </c>
      <c r="B625" s="1">
        <v>41916</v>
      </c>
      <c r="C625">
        <v>7.55</v>
      </c>
      <c r="D625">
        <v>0.2</v>
      </c>
      <c r="E625">
        <v>2</v>
      </c>
      <c r="F625">
        <f xml:space="preserve"> WYNAJEM3[[#This Row],[data_wyjazdu]] - WYNAJEM3[[#This Row],[data_przyjazdu]]</f>
        <v>5</v>
      </c>
    </row>
    <row r="626" spans="1:6" x14ac:dyDescent="0.25">
      <c r="A626" s="1">
        <v>41911</v>
      </c>
      <c r="B626" s="1">
        <v>41929</v>
      </c>
      <c r="C626">
        <v>13.02</v>
      </c>
      <c r="D626">
        <v>0.34</v>
      </c>
      <c r="E626">
        <v>5</v>
      </c>
      <c r="F626">
        <f xml:space="preserve"> WYNAJEM3[[#This Row],[data_wyjazdu]] - WYNAJEM3[[#This Row],[data_przyjazdu]]</f>
        <v>18</v>
      </c>
    </row>
    <row r="627" spans="1:6" x14ac:dyDescent="0.25">
      <c r="A627" s="1">
        <v>41911</v>
      </c>
      <c r="B627" s="1">
        <v>41913</v>
      </c>
      <c r="C627">
        <v>8.9499999999999993</v>
      </c>
      <c r="D627">
        <v>0.24</v>
      </c>
      <c r="E627">
        <v>4</v>
      </c>
      <c r="F627">
        <f xml:space="preserve"> WYNAJEM3[[#This Row],[data_wyjazdu]] - WYNAJEM3[[#This Row],[data_przyjazdu]]</f>
        <v>2</v>
      </c>
    </row>
    <row r="628" spans="1:6" x14ac:dyDescent="0.25">
      <c r="A628" s="1">
        <v>41911</v>
      </c>
      <c r="B628" s="1">
        <v>41918</v>
      </c>
      <c r="C628">
        <v>10.93</v>
      </c>
      <c r="D628">
        <v>0.28999999999999998</v>
      </c>
      <c r="E628">
        <v>3</v>
      </c>
      <c r="F628">
        <f xml:space="preserve"> WYNAJEM3[[#This Row],[data_wyjazdu]] - WYNAJEM3[[#This Row],[data_przyjazdu]]</f>
        <v>7</v>
      </c>
    </row>
    <row r="629" spans="1:6" x14ac:dyDescent="0.25">
      <c r="A629" s="1">
        <v>41911</v>
      </c>
      <c r="B629" s="1">
        <v>41931</v>
      </c>
      <c r="C629">
        <v>7.3</v>
      </c>
      <c r="D629">
        <v>0.19</v>
      </c>
      <c r="E629">
        <v>5</v>
      </c>
      <c r="F629">
        <f xml:space="preserve"> WYNAJEM3[[#This Row],[data_wyjazdu]] - WYNAJEM3[[#This Row],[data_przyjazdu]]</f>
        <v>20</v>
      </c>
    </row>
    <row r="630" spans="1:6" x14ac:dyDescent="0.25">
      <c r="A630" s="1">
        <v>41911</v>
      </c>
      <c r="B630" s="1">
        <v>41939</v>
      </c>
      <c r="C630">
        <v>7.31</v>
      </c>
      <c r="D630">
        <v>0.19</v>
      </c>
      <c r="E630">
        <v>6</v>
      </c>
      <c r="F630">
        <f xml:space="preserve"> WYNAJEM3[[#This Row],[data_wyjazdu]] - WYNAJEM3[[#This Row],[data_przyjazdu]]</f>
        <v>28</v>
      </c>
    </row>
    <row r="631" spans="1:6" x14ac:dyDescent="0.25">
      <c r="A631" s="1">
        <v>41911</v>
      </c>
      <c r="B631" s="1">
        <v>41918</v>
      </c>
      <c r="C631">
        <v>13.07</v>
      </c>
      <c r="D631">
        <v>0.34</v>
      </c>
      <c r="E631">
        <v>5</v>
      </c>
      <c r="F631">
        <f xml:space="preserve"> WYNAJEM3[[#This Row],[data_wyjazdu]] - WYNAJEM3[[#This Row],[data_przyjazdu]]</f>
        <v>7</v>
      </c>
    </row>
    <row r="632" spans="1:6" x14ac:dyDescent="0.25">
      <c r="A632" s="1">
        <v>41911</v>
      </c>
      <c r="B632" s="1">
        <v>41923</v>
      </c>
      <c r="C632">
        <v>5.67</v>
      </c>
      <c r="D632">
        <v>0.15</v>
      </c>
      <c r="E632">
        <v>4</v>
      </c>
      <c r="F632">
        <f xml:space="preserve"> WYNAJEM3[[#This Row],[data_wyjazdu]] - WYNAJEM3[[#This Row],[data_przyjazdu]]</f>
        <v>12</v>
      </c>
    </row>
    <row r="633" spans="1:6" x14ac:dyDescent="0.25">
      <c r="A633" s="1">
        <v>41912</v>
      </c>
      <c r="B633" s="1">
        <v>41925</v>
      </c>
      <c r="C633">
        <v>2.72</v>
      </c>
      <c r="D633">
        <v>7.0000000000000007E-2</v>
      </c>
      <c r="E633">
        <v>6</v>
      </c>
      <c r="F633">
        <f xml:space="preserve"> WYNAJEM3[[#This Row],[data_wyjazdu]] - WYNAJEM3[[#This Row],[data_przyjazdu]]</f>
        <v>13</v>
      </c>
    </row>
    <row r="634" spans="1:6" x14ac:dyDescent="0.25">
      <c r="A634" s="1">
        <v>41913</v>
      </c>
      <c r="B634" s="1">
        <v>41919</v>
      </c>
      <c r="C634">
        <v>5.67</v>
      </c>
      <c r="D634">
        <v>0.15</v>
      </c>
      <c r="E634">
        <v>4</v>
      </c>
      <c r="F634">
        <f xml:space="preserve"> WYNAJEM3[[#This Row],[data_wyjazdu]] - WYNAJEM3[[#This Row],[data_przyjazdu]]</f>
        <v>6</v>
      </c>
    </row>
    <row r="635" spans="1:6" x14ac:dyDescent="0.25">
      <c r="A635" s="1">
        <v>41913</v>
      </c>
      <c r="B635" s="1">
        <v>41928</v>
      </c>
      <c r="C635">
        <v>5.67</v>
      </c>
      <c r="D635">
        <v>0.15</v>
      </c>
      <c r="E635">
        <v>5</v>
      </c>
      <c r="F635">
        <f xml:space="preserve"> WYNAJEM3[[#This Row],[data_wyjazdu]] - WYNAJEM3[[#This Row],[data_przyjazdu]]</f>
        <v>15</v>
      </c>
    </row>
    <row r="636" spans="1:6" x14ac:dyDescent="0.25">
      <c r="A636" s="1">
        <v>41914</v>
      </c>
      <c r="B636" s="1">
        <v>41917</v>
      </c>
      <c r="C636">
        <v>3.94</v>
      </c>
      <c r="D636">
        <v>0.1</v>
      </c>
      <c r="E636">
        <v>5</v>
      </c>
      <c r="F636">
        <f xml:space="preserve"> WYNAJEM3[[#This Row],[data_wyjazdu]] - WYNAJEM3[[#This Row],[data_przyjazdu]]</f>
        <v>3</v>
      </c>
    </row>
    <row r="637" spans="1:6" x14ac:dyDescent="0.25">
      <c r="A637" s="1">
        <v>41914</v>
      </c>
      <c r="B637" s="1">
        <v>41942</v>
      </c>
      <c r="C637">
        <v>5.64</v>
      </c>
      <c r="D637">
        <v>0.15</v>
      </c>
      <c r="E637">
        <v>3</v>
      </c>
      <c r="F637">
        <f xml:space="preserve"> WYNAJEM3[[#This Row],[data_wyjazdu]] - WYNAJEM3[[#This Row],[data_przyjazdu]]</f>
        <v>28</v>
      </c>
    </row>
    <row r="638" spans="1:6" x14ac:dyDescent="0.25">
      <c r="A638" s="1">
        <v>41915</v>
      </c>
      <c r="B638" s="1">
        <v>41932</v>
      </c>
      <c r="C638">
        <v>2.0099999999999998</v>
      </c>
      <c r="D638">
        <v>0.05</v>
      </c>
      <c r="E638">
        <v>6</v>
      </c>
      <c r="F638">
        <f xml:space="preserve"> WYNAJEM3[[#This Row],[data_wyjazdu]] - WYNAJEM3[[#This Row],[data_przyjazdu]]</f>
        <v>17</v>
      </c>
    </row>
    <row r="639" spans="1:6" x14ac:dyDescent="0.25">
      <c r="A639" s="1">
        <v>41915</v>
      </c>
      <c r="B639" s="1">
        <v>41938</v>
      </c>
      <c r="C639">
        <v>3.73</v>
      </c>
      <c r="D639">
        <v>0.1</v>
      </c>
      <c r="E639">
        <v>4</v>
      </c>
      <c r="F639">
        <f xml:space="preserve"> WYNAJEM3[[#This Row],[data_wyjazdu]] - WYNAJEM3[[#This Row],[data_przyjazdu]]</f>
        <v>23</v>
      </c>
    </row>
    <row r="640" spans="1:6" x14ac:dyDescent="0.25">
      <c r="A640" s="1">
        <v>41915</v>
      </c>
      <c r="B640" s="1">
        <v>41921</v>
      </c>
      <c r="C640">
        <v>3.73</v>
      </c>
      <c r="D640">
        <v>0.1</v>
      </c>
      <c r="E640">
        <v>2</v>
      </c>
      <c r="F640">
        <f xml:space="preserve"> WYNAJEM3[[#This Row],[data_wyjazdu]] - WYNAJEM3[[#This Row],[data_przyjazdu]]</f>
        <v>6</v>
      </c>
    </row>
    <row r="641" spans="1:6" x14ac:dyDescent="0.25">
      <c r="A641" s="1">
        <v>41917</v>
      </c>
      <c r="B641" s="1">
        <v>41937</v>
      </c>
      <c r="C641">
        <v>4.25</v>
      </c>
      <c r="D641">
        <v>0.11</v>
      </c>
      <c r="E641">
        <v>5</v>
      </c>
      <c r="F641">
        <f xml:space="preserve"> WYNAJEM3[[#This Row],[data_wyjazdu]] - WYNAJEM3[[#This Row],[data_przyjazdu]]</f>
        <v>20</v>
      </c>
    </row>
    <row r="642" spans="1:6" x14ac:dyDescent="0.25">
      <c r="A642" s="1">
        <v>41917</v>
      </c>
      <c r="B642" s="1">
        <v>41928</v>
      </c>
      <c r="C642">
        <v>11.42</v>
      </c>
      <c r="D642">
        <v>0.3</v>
      </c>
      <c r="E642">
        <v>4</v>
      </c>
      <c r="F642">
        <f xml:space="preserve"> WYNAJEM3[[#This Row],[data_wyjazdu]] - WYNAJEM3[[#This Row],[data_przyjazdu]]</f>
        <v>11</v>
      </c>
    </row>
    <row r="643" spans="1:6" x14ac:dyDescent="0.25">
      <c r="A643" s="1">
        <v>41917</v>
      </c>
      <c r="B643" s="1">
        <v>41939</v>
      </c>
      <c r="C643">
        <v>13.07</v>
      </c>
      <c r="D643">
        <v>0.34</v>
      </c>
      <c r="E643">
        <v>3</v>
      </c>
      <c r="F643">
        <f xml:space="preserve"> WYNAJEM3[[#This Row],[data_wyjazdu]] - WYNAJEM3[[#This Row],[data_przyjazdu]]</f>
        <v>22</v>
      </c>
    </row>
    <row r="644" spans="1:6" x14ac:dyDescent="0.25">
      <c r="A644" s="1">
        <v>41918</v>
      </c>
      <c r="B644" s="1">
        <v>41939</v>
      </c>
      <c r="C644">
        <v>5.67</v>
      </c>
      <c r="D644">
        <v>0.15</v>
      </c>
      <c r="E644">
        <v>2</v>
      </c>
      <c r="F644">
        <f xml:space="preserve"> WYNAJEM3[[#This Row],[data_wyjazdu]] - WYNAJEM3[[#This Row],[data_przyjazdu]]</f>
        <v>21</v>
      </c>
    </row>
    <row r="645" spans="1:6" x14ac:dyDescent="0.25">
      <c r="A645" s="1">
        <v>41918</v>
      </c>
      <c r="B645" s="1">
        <v>41922</v>
      </c>
      <c r="C645">
        <v>6.23</v>
      </c>
      <c r="D645">
        <v>0.16</v>
      </c>
      <c r="E645">
        <v>4</v>
      </c>
      <c r="F645">
        <f xml:space="preserve"> WYNAJEM3[[#This Row],[data_wyjazdu]] - WYNAJEM3[[#This Row],[data_przyjazdu]]</f>
        <v>4</v>
      </c>
    </row>
    <row r="646" spans="1:6" x14ac:dyDescent="0.25">
      <c r="A646" s="1">
        <v>41918</v>
      </c>
      <c r="B646" s="1">
        <v>41940</v>
      </c>
      <c r="C646">
        <v>19.940000000000001</v>
      </c>
      <c r="D646">
        <v>0.52</v>
      </c>
      <c r="E646">
        <v>4</v>
      </c>
      <c r="F646">
        <f xml:space="preserve"> WYNAJEM3[[#This Row],[data_wyjazdu]] - WYNAJEM3[[#This Row],[data_przyjazdu]]</f>
        <v>22</v>
      </c>
    </row>
    <row r="647" spans="1:6" x14ac:dyDescent="0.25">
      <c r="A647" s="1">
        <v>41918</v>
      </c>
      <c r="B647" s="1">
        <v>41925</v>
      </c>
      <c r="C647">
        <v>6.88</v>
      </c>
      <c r="D647">
        <v>0.18</v>
      </c>
      <c r="E647">
        <v>3</v>
      </c>
      <c r="F647">
        <f xml:space="preserve"> WYNAJEM3[[#This Row],[data_wyjazdu]] - WYNAJEM3[[#This Row],[data_przyjazdu]]</f>
        <v>7</v>
      </c>
    </row>
    <row r="648" spans="1:6" x14ac:dyDescent="0.25">
      <c r="A648" s="1">
        <v>41918</v>
      </c>
      <c r="B648" s="1">
        <v>41929</v>
      </c>
      <c r="C648">
        <v>8.39</v>
      </c>
      <c r="D648">
        <v>0.22</v>
      </c>
      <c r="E648">
        <v>6</v>
      </c>
      <c r="F648">
        <f xml:space="preserve"> WYNAJEM3[[#This Row],[data_wyjazdu]] - WYNAJEM3[[#This Row],[data_przyjazdu]]</f>
        <v>11</v>
      </c>
    </row>
    <row r="649" spans="1:6" x14ac:dyDescent="0.25">
      <c r="A649" s="1">
        <v>41922</v>
      </c>
      <c r="B649" s="1">
        <v>41936</v>
      </c>
      <c r="C649">
        <v>11.44</v>
      </c>
      <c r="D649">
        <v>0.3</v>
      </c>
      <c r="E649">
        <v>4</v>
      </c>
      <c r="F649">
        <f xml:space="preserve"> WYNAJEM3[[#This Row],[data_wyjazdu]] - WYNAJEM3[[#This Row],[data_przyjazdu]]</f>
        <v>14</v>
      </c>
    </row>
    <row r="650" spans="1:6" x14ac:dyDescent="0.25">
      <c r="A650" s="1">
        <v>41922</v>
      </c>
      <c r="B650" s="1">
        <v>41937</v>
      </c>
      <c r="C650">
        <v>9.4600000000000009</v>
      </c>
      <c r="D650">
        <v>0.25</v>
      </c>
      <c r="E650">
        <v>5</v>
      </c>
      <c r="F650">
        <f xml:space="preserve"> WYNAJEM3[[#This Row],[data_wyjazdu]] - WYNAJEM3[[#This Row],[data_przyjazdu]]</f>
        <v>15</v>
      </c>
    </row>
    <row r="651" spans="1:6" x14ac:dyDescent="0.25">
      <c r="A651" s="1">
        <v>41922</v>
      </c>
      <c r="B651" s="1">
        <v>41926</v>
      </c>
      <c r="C651">
        <v>5.67</v>
      </c>
      <c r="D651">
        <v>0.15</v>
      </c>
      <c r="E651">
        <v>4</v>
      </c>
      <c r="F651">
        <f xml:space="preserve"> WYNAJEM3[[#This Row],[data_wyjazdu]] - WYNAJEM3[[#This Row],[data_przyjazdu]]</f>
        <v>4</v>
      </c>
    </row>
    <row r="652" spans="1:6" x14ac:dyDescent="0.25">
      <c r="A652" s="1">
        <v>41922</v>
      </c>
      <c r="B652" s="1">
        <v>41947</v>
      </c>
      <c r="C652">
        <v>13.82</v>
      </c>
      <c r="D652">
        <v>0.36</v>
      </c>
      <c r="E652">
        <v>2</v>
      </c>
      <c r="F652">
        <f xml:space="preserve"> WYNAJEM3[[#This Row],[data_wyjazdu]] - WYNAJEM3[[#This Row],[data_przyjazdu]]</f>
        <v>25</v>
      </c>
    </row>
    <row r="653" spans="1:6" x14ac:dyDescent="0.25">
      <c r="A653" s="1">
        <v>41922</v>
      </c>
      <c r="B653" s="1">
        <v>41929</v>
      </c>
      <c r="C653">
        <v>6.43</v>
      </c>
      <c r="D653">
        <v>0.17</v>
      </c>
      <c r="E653">
        <v>5</v>
      </c>
      <c r="F653">
        <f xml:space="preserve"> WYNAJEM3[[#This Row],[data_wyjazdu]] - WYNAJEM3[[#This Row],[data_przyjazdu]]</f>
        <v>7</v>
      </c>
    </row>
    <row r="654" spans="1:6" x14ac:dyDescent="0.25">
      <c r="A654" s="1">
        <v>41922</v>
      </c>
      <c r="B654" s="1">
        <v>41928</v>
      </c>
      <c r="C654">
        <v>2.0099999999999998</v>
      </c>
      <c r="D654">
        <v>0.05</v>
      </c>
      <c r="E654">
        <v>2</v>
      </c>
      <c r="F654">
        <f xml:space="preserve"> WYNAJEM3[[#This Row],[data_wyjazdu]] - WYNAJEM3[[#This Row],[data_przyjazdu]]</f>
        <v>6</v>
      </c>
    </row>
    <row r="655" spans="1:6" x14ac:dyDescent="0.25">
      <c r="A655" s="1">
        <v>41922</v>
      </c>
      <c r="B655" s="1">
        <v>41950</v>
      </c>
      <c r="C655">
        <v>6.43</v>
      </c>
      <c r="D655">
        <v>0.17</v>
      </c>
      <c r="E655">
        <v>5</v>
      </c>
      <c r="F655">
        <f xml:space="preserve"> WYNAJEM3[[#This Row],[data_wyjazdu]] - WYNAJEM3[[#This Row],[data_przyjazdu]]</f>
        <v>28</v>
      </c>
    </row>
    <row r="656" spans="1:6" x14ac:dyDescent="0.25">
      <c r="A656" s="1">
        <v>41922</v>
      </c>
      <c r="B656" s="1">
        <v>41944</v>
      </c>
      <c r="C656">
        <v>7.35</v>
      </c>
      <c r="D656">
        <v>0.19</v>
      </c>
      <c r="E656">
        <v>6</v>
      </c>
      <c r="F656">
        <f xml:space="preserve"> WYNAJEM3[[#This Row],[data_wyjazdu]] - WYNAJEM3[[#This Row],[data_przyjazdu]]</f>
        <v>22</v>
      </c>
    </row>
    <row r="657" spans="1:6" x14ac:dyDescent="0.25">
      <c r="A657" s="1">
        <v>41922</v>
      </c>
      <c r="B657" s="1">
        <v>41947</v>
      </c>
      <c r="C657">
        <v>16.55</v>
      </c>
      <c r="D657">
        <v>0.44</v>
      </c>
      <c r="E657">
        <v>6</v>
      </c>
      <c r="F657">
        <f xml:space="preserve"> WYNAJEM3[[#This Row],[data_wyjazdu]] - WYNAJEM3[[#This Row],[data_przyjazdu]]</f>
        <v>25</v>
      </c>
    </row>
    <row r="658" spans="1:6" x14ac:dyDescent="0.25">
      <c r="A658" s="1">
        <v>41922</v>
      </c>
      <c r="B658" s="1">
        <v>41928</v>
      </c>
      <c r="C658">
        <v>9.06</v>
      </c>
      <c r="D658">
        <v>0.24</v>
      </c>
      <c r="E658">
        <v>6</v>
      </c>
      <c r="F658">
        <f xml:space="preserve"> WYNAJEM3[[#This Row],[data_wyjazdu]] - WYNAJEM3[[#This Row],[data_przyjazdu]]</f>
        <v>6</v>
      </c>
    </row>
    <row r="659" spans="1:6" x14ac:dyDescent="0.25">
      <c r="A659" s="1">
        <v>41922</v>
      </c>
      <c r="B659" s="1">
        <v>41945</v>
      </c>
      <c r="C659">
        <v>10.59</v>
      </c>
      <c r="D659">
        <v>0.28000000000000003</v>
      </c>
      <c r="E659">
        <v>4</v>
      </c>
      <c r="F659">
        <f xml:space="preserve"> WYNAJEM3[[#This Row],[data_wyjazdu]] - WYNAJEM3[[#This Row],[data_przyjazdu]]</f>
        <v>23</v>
      </c>
    </row>
    <row r="660" spans="1:6" x14ac:dyDescent="0.25">
      <c r="A660" s="1">
        <v>41922</v>
      </c>
      <c r="B660" s="1">
        <v>41930</v>
      </c>
      <c r="C660">
        <v>7.71</v>
      </c>
      <c r="D660">
        <v>0.2</v>
      </c>
      <c r="E660">
        <v>3</v>
      </c>
      <c r="F660">
        <f xml:space="preserve"> WYNAJEM3[[#This Row],[data_wyjazdu]] - WYNAJEM3[[#This Row],[data_przyjazdu]]</f>
        <v>8</v>
      </c>
    </row>
    <row r="661" spans="1:6" x14ac:dyDescent="0.25">
      <c r="A661" s="1">
        <v>41922</v>
      </c>
      <c r="B661" s="1">
        <v>41949</v>
      </c>
      <c r="C661">
        <v>10.19</v>
      </c>
      <c r="D661">
        <v>0.27</v>
      </c>
      <c r="E661">
        <v>4</v>
      </c>
      <c r="F661">
        <f xml:space="preserve"> WYNAJEM3[[#This Row],[data_wyjazdu]] - WYNAJEM3[[#This Row],[data_przyjazdu]]</f>
        <v>27</v>
      </c>
    </row>
    <row r="662" spans="1:6" x14ac:dyDescent="0.25">
      <c r="A662" s="1">
        <v>41922</v>
      </c>
      <c r="B662" s="1">
        <v>41928</v>
      </c>
      <c r="C662">
        <v>4.25</v>
      </c>
      <c r="D662">
        <v>0.11</v>
      </c>
      <c r="E662">
        <v>4</v>
      </c>
      <c r="F662">
        <f xml:space="preserve"> WYNAJEM3[[#This Row],[data_wyjazdu]] - WYNAJEM3[[#This Row],[data_przyjazdu]]</f>
        <v>6</v>
      </c>
    </row>
    <row r="663" spans="1:6" x14ac:dyDescent="0.25">
      <c r="A663" s="1">
        <v>41922</v>
      </c>
      <c r="B663" s="1">
        <v>41926</v>
      </c>
      <c r="C663">
        <v>9.06</v>
      </c>
      <c r="D663">
        <v>0.24</v>
      </c>
      <c r="E663">
        <v>3</v>
      </c>
      <c r="F663">
        <f xml:space="preserve"> WYNAJEM3[[#This Row],[data_wyjazdu]] - WYNAJEM3[[#This Row],[data_przyjazdu]]</f>
        <v>4</v>
      </c>
    </row>
    <row r="664" spans="1:6" x14ac:dyDescent="0.25">
      <c r="A664" s="1">
        <v>41923</v>
      </c>
      <c r="B664" s="1">
        <v>41932</v>
      </c>
      <c r="C664">
        <v>8.65</v>
      </c>
      <c r="D664">
        <v>0.23</v>
      </c>
      <c r="E664">
        <v>4</v>
      </c>
      <c r="F664">
        <f xml:space="preserve"> WYNAJEM3[[#This Row],[data_wyjazdu]] - WYNAJEM3[[#This Row],[data_przyjazdu]]</f>
        <v>9</v>
      </c>
    </row>
    <row r="665" spans="1:6" x14ac:dyDescent="0.25">
      <c r="A665" s="1">
        <v>41923</v>
      </c>
      <c r="B665" s="1">
        <v>41935</v>
      </c>
      <c r="C665">
        <v>8.84</v>
      </c>
      <c r="D665">
        <v>0.23</v>
      </c>
      <c r="E665">
        <v>4</v>
      </c>
      <c r="F665">
        <f xml:space="preserve"> WYNAJEM3[[#This Row],[data_wyjazdu]] - WYNAJEM3[[#This Row],[data_przyjazdu]]</f>
        <v>12</v>
      </c>
    </row>
    <row r="666" spans="1:6" x14ac:dyDescent="0.25">
      <c r="A666" s="1">
        <v>41923</v>
      </c>
      <c r="B666" s="1">
        <v>41932</v>
      </c>
      <c r="C666">
        <v>4.25</v>
      </c>
      <c r="D666">
        <v>0.11</v>
      </c>
      <c r="E666">
        <v>5</v>
      </c>
      <c r="F666">
        <f xml:space="preserve"> WYNAJEM3[[#This Row],[data_wyjazdu]] - WYNAJEM3[[#This Row],[data_przyjazdu]]</f>
        <v>9</v>
      </c>
    </row>
    <row r="667" spans="1:6" x14ac:dyDescent="0.25">
      <c r="A667" s="1">
        <v>41923</v>
      </c>
      <c r="B667" s="1">
        <v>41927</v>
      </c>
      <c r="C667">
        <v>5.47</v>
      </c>
      <c r="D667">
        <v>0.14000000000000001</v>
      </c>
      <c r="E667">
        <v>5</v>
      </c>
      <c r="F667">
        <f xml:space="preserve"> WYNAJEM3[[#This Row],[data_wyjazdu]] - WYNAJEM3[[#This Row],[data_przyjazdu]]</f>
        <v>4</v>
      </c>
    </row>
    <row r="668" spans="1:6" x14ac:dyDescent="0.25">
      <c r="A668" s="1">
        <v>41923</v>
      </c>
      <c r="B668" s="1">
        <v>41937</v>
      </c>
      <c r="C668">
        <v>14.31</v>
      </c>
      <c r="D668">
        <v>0.38</v>
      </c>
      <c r="E668">
        <v>3</v>
      </c>
      <c r="F668">
        <f xml:space="preserve"> WYNAJEM3[[#This Row],[data_wyjazdu]] - WYNAJEM3[[#This Row],[data_przyjazdu]]</f>
        <v>14</v>
      </c>
    </row>
    <row r="669" spans="1:6" x14ac:dyDescent="0.25">
      <c r="A669" s="1">
        <v>41923</v>
      </c>
      <c r="B669" s="1">
        <v>41949</v>
      </c>
      <c r="C669">
        <v>13.81</v>
      </c>
      <c r="D669">
        <v>0.36</v>
      </c>
      <c r="E669">
        <v>6</v>
      </c>
      <c r="F669">
        <f xml:space="preserve"> WYNAJEM3[[#This Row],[data_wyjazdu]] - WYNAJEM3[[#This Row],[data_przyjazdu]]</f>
        <v>26</v>
      </c>
    </row>
    <row r="670" spans="1:6" x14ac:dyDescent="0.25">
      <c r="A670" s="1">
        <v>41923</v>
      </c>
      <c r="B670" s="1">
        <v>41943</v>
      </c>
      <c r="C670">
        <v>9.74</v>
      </c>
      <c r="D670">
        <v>0.26</v>
      </c>
      <c r="E670">
        <v>3</v>
      </c>
      <c r="F670">
        <f xml:space="preserve"> WYNAJEM3[[#This Row],[data_wyjazdu]] - WYNAJEM3[[#This Row],[data_przyjazdu]]</f>
        <v>20</v>
      </c>
    </row>
    <row r="671" spans="1:6" x14ac:dyDescent="0.25">
      <c r="A671" s="1">
        <v>41923</v>
      </c>
      <c r="B671" s="1">
        <v>41951</v>
      </c>
      <c r="C671">
        <v>9.4600000000000009</v>
      </c>
      <c r="D671">
        <v>0.25</v>
      </c>
      <c r="E671">
        <v>5</v>
      </c>
      <c r="F671">
        <f xml:space="preserve"> WYNAJEM3[[#This Row],[data_wyjazdu]] - WYNAJEM3[[#This Row],[data_przyjazdu]]</f>
        <v>28</v>
      </c>
    </row>
    <row r="672" spans="1:6" x14ac:dyDescent="0.25">
      <c r="A672" s="1">
        <v>41923</v>
      </c>
      <c r="B672" s="1">
        <v>41940</v>
      </c>
      <c r="C672">
        <v>7.31</v>
      </c>
      <c r="D672">
        <v>0.19</v>
      </c>
      <c r="E672">
        <v>2</v>
      </c>
      <c r="F672">
        <f xml:space="preserve"> WYNAJEM3[[#This Row],[data_wyjazdu]] - WYNAJEM3[[#This Row],[data_przyjazdu]]</f>
        <v>17</v>
      </c>
    </row>
    <row r="673" spans="1:6" x14ac:dyDescent="0.25">
      <c r="A673" s="1">
        <v>41923</v>
      </c>
      <c r="B673" s="1">
        <v>41945</v>
      </c>
      <c r="C673">
        <v>11.78</v>
      </c>
      <c r="D673">
        <v>0.31</v>
      </c>
      <c r="E673">
        <v>4</v>
      </c>
      <c r="F673">
        <f xml:space="preserve"> WYNAJEM3[[#This Row],[data_wyjazdu]] - WYNAJEM3[[#This Row],[data_przyjazdu]]</f>
        <v>22</v>
      </c>
    </row>
    <row r="674" spans="1:6" x14ac:dyDescent="0.25">
      <c r="A674" s="1">
        <v>41923</v>
      </c>
      <c r="B674" s="1">
        <v>41940</v>
      </c>
      <c r="C674">
        <v>13.82</v>
      </c>
      <c r="D674">
        <v>0.36</v>
      </c>
      <c r="E674">
        <v>4</v>
      </c>
      <c r="F674">
        <f xml:space="preserve"> WYNAJEM3[[#This Row],[data_wyjazdu]] - WYNAJEM3[[#This Row],[data_przyjazdu]]</f>
        <v>17</v>
      </c>
    </row>
    <row r="675" spans="1:6" x14ac:dyDescent="0.25">
      <c r="A675" s="1">
        <v>41925</v>
      </c>
      <c r="B675" s="1">
        <v>41950</v>
      </c>
      <c r="C675">
        <v>3.94</v>
      </c>
      <c r="D675">
        <v>0.1</v>
      </c>
      <c r="E675">
        <v>5</v>
      </c>
      <c r="F675">
        <f xml:space="preserve"> WYNAJEM3[[#This Row],[data_wyjazdu]] - WYNAJEM3[[#This Row],[data_przyjazdu]]</f>
        <v>25</v>
      </c>
    </row>
    <row r="676" spans="1:6" x14ac:dyDescent="0.25">
      <c r="A676" s="1">
        <v>41925</v>
      </c>
      <c r="B676" s="1">
        <v>41934</v>
      </c>
      <c r="C676">
        <v>6.58</v>
      </c>
      <c r="D676">
        <v>0.17</v>
      </c>
      <c r="E676">
        <v>5</v>
      </c>
      <c r="F676">
        <f xml:space="preserve"> WYNAJEM3[[#This Row],[data_wyjazdu]] - WYNAJEM3[[#This Row],[data_przyjazdu]]</f>
        <v>9</v>
      </c>
    </row>
    <row r="677" spans="1:6" x14ac:dyDescent="0.25">
      <c r="A677" s="1">
        <v>41925</v>
      </c>
      <c r="B677" s="1">
        <v>41931</v>
      </c>
      <c r="C677">
        <v>6.34</v>
      </c>
      <c r="D677">
        <v>0.17</v>
      </c>
      <c r="E677">
        <v>4</v>
      </c>
      <c r="F677">
        <f xml:space="preserve"> WYNAJEM3[[#This Row],[data_wyjazdu]] - WYNAJEM3[[#This Row],[data_przyjazdu]]</f>
        <v>6</v>
      </c>
    </row>
    <row r="678" spans="1:6" x14ac:dyDescent="0.25">
      <c r="A678" s="1">
        <v>41925</v>
      </c>
      <c r="B678" s="1">
        <v>41943</v>
      </c>
      <c r="C678">
        <v>6.58</v>
      </c>
      <c r="D678">
        <v>0.17</v>
      </c>
      <c r="E678">
        <v>4</v>
      </c>
      <c r="F678">
        <f xml:space="preserve"> WYNAJEM3[[#This Row],[data_wyjazdu]] - WYNAJEM3[[#This Row],[data_przyjazdu]]</f>
        <v>18</v>
      </c>
    </row>
    <row r="679" spans="1:6" x14ac:dyDescent="0.25">
      <c r="A679" s="1">
        <v>41925</v>
      </c>
      <c r="B679" s="1">
        <v>41949</v>
      </c>
      <c r="C679">
        <v>6.34</v>
      </c>
      <c r="D679">
        <v>0.17</v>
      </c>
      <c r="E679">
        <v>3</v>
      </c>
      <c r="F679">
        <f xml:space="preserve"> WYNAJEM3[[#This Row],[data_wyjazdu]] - WYNAJEM3[[#This Row],[data_przyjazdu]]</f>
        <v>24</v>
      </c>
    </row>
    <row r="680" spans="1:6" x14ac:dyDescent="0.25">
      <c r="A680" s="1">
        <v>41926</v>
      </c>
      <c r="B680" s="1">
        <v>41941</v>
      </c>
      <c r="C680">
        <v>6.43</v>
      </c>
      <c r="D680">
        <v>0.17</v>
      </c>
      <c r="E680">
        <v>6</v>
      </c>
      <c r="F680">
        <f xml:space="preserve"> WYNAJEM3[[#This Row],[data_wyjazdu]] - WYNAJEM3[[#This Row],[data_przyjazdu]]</f>
        <v>15</v>
      </c>
    </row>
    <row r="681" spans="1:6" x14ac:dyDescent="0.25">
      <c r="A681" s="1">
        <v>41927</v>
      </c>
      <c r="B681" s="1">
        <v>41954</v>
      </c>
      <c r="C681">
        <v>2.0099999999999998</v>
      </c>
      <c r="D681">
        <v>0.05</v>
      </c>
      <c r="E681">
        <v>6</v>
      </c>
      <c r="F681">
        <f xml:space="preserve"> WYNAJEM3[[#This Row],[data_wyjazdu]] - WYNAJEM3[[#This Row],[data_przyjazdu]]</f>
        <v>27</v>
      </c>
    </row>
    <row r="682" spans="1:6" x14ac:dyDescent="0.25">
      <c r="A682" s="1">
        <v>41927</v>
      </c>
      <c r="B682" s="1">
        <v>41953</v>
      </c>
      <c r="C682">
        <v>2.72</v>
      </c>
      <c r="D682">
        <v>7.0000000000000007E-2</v>
      </c>
      <c r="E682">
        <v>4</v>
      </c>
      <c r="F682">
        <f xml:space="preserve"> WYNAJEM3[[#This Row],[data_wyjazdu]] - WYNAJEM3[[#This Row],[data_przyjazdu]]</f>
        <v>26</v>
      </c>
    </row>
    <row r="683" spans="1:6" x14ac:dyDescent="0.25">
      <c r="A683" s="1">
        <v>41928</v>
      </c>
      <c r="B683" s="1">
        <v>41934</v>
      </c>
      <c r="C683">
        <v>3.73</v>
      </c>
      <c r="D683">
        <v>0.1</v>
      </c>
      <c r="E683">
        <v>5</v>
      </c>
      <c r="F683">
        <f xml:space="preserve"> WYNAJEM3[[#This Row],[data_wyjazdu]] - WYNAJEM3[[#This Row],[data_przyjazdu]]</f>
        <v>6</v>
      </c>
    </row>
    <row r="684" spans="1:6" x14ac:dyDescent="0.25">
      <c r="A684" s="1">
        <v>41929</v>
      </c>
      <c r="B684" s="1">
        <v>41937</v>
      </c>
      <c r="C684">
        <v>5.64</v>
      </c>
      <c r="D684">
        <v>0.15</v>
      </c>
      <c r="E684">
        <v>6</v>
      </c>
      <c r="F684">
        <f xml:space="preserve"> WYNAJEM3[[#This Row],[data_wyjazdu]] - WYNAJEM3[[#This Row],[data_przyjazdu]]</f>
        <v>8</v>
      </c>
    </row>
    <row r="685" spans="1:6" x14ac:dyDescent="0.25">
      <c r="A685" s="1">
        <v>41929</v>
      </c>
      <c r="B685" s="1">
        <v>41942</v>
      </c>
      <c r="C685">
        <v>11.78</v>
      </c>
      <c r="D685">
        <v>0.31</v>
      </c>
      <c r="E685">
        <v>5</v>
      </c>
      <c r="F685">
        <f xml:space="preserve"> WYNAJEM3[[#This Row],[data_wyjazdu]] - WYNAJEM3[[#This Row],[data_przyjazdu]]</f>
        <v>13</v>
      </c>
    </row>
    <row r="686" spans="1:6" x14ac:dyDescent="0.25">
      <c r="A686" s="1">
        <v>41929</v>
      </c>
      <c r="B686" s="1">
        <v>41931</v>
      </c>
      <c r="C686">
        <v>9.4600000000000009</v>
      </c>
      <c r="D686">
        <v>0.25</v>
      </c>
      <c r="E686">
        <v>5</v>
      </c>
      <c r="F686">
        <f xml:space="preserve"> WYNAJEM3[[#This Row],[data_wyjazdu]] - WYNAJEM3[[#This Row],[data_przyjazdu]]</f>
        <v>2</v>
      </c>
    </row>
    <row r="687" spans="1:6" x14ac:dyDescent="0.25">
      <c r="A687" s="1">
        <v>41929</v>
      </c>
      <c r="B687" s="1">
        <v>41945</v>
      </c>
      <c r="C687">
        <v>4.25</v>
      </c>
      <c r="D687">
        <v>0.11</v>
      </c>
      <c r="E687">
        <v>3</v>
      </c>
      <c r="F687">
        <f xml:space="preserve"> WYNAJEM3[[#This Row],[data_wyjazdu]] - WYNAJEM3[[#This Row],[data_przyjazdu]]</f>
        <v>16</v>
      </c>
    </row>
    <row r="688" spans="1:6" x14ac:dyDescent="0.25">
      <c r="A688" s="1">
        <v>41929</v>
      </c>
      <c r="B688" s="1">
        <v>41955</v>
      </c>
      <c r="C688">
        <v>11.42</v>
      </c>
      <c r="D688">
        <v>0.3</v>
      </c>
      <c r="E688">
        <v>4</v>
      </c>
      <c r="F688">
        <f xml:space="preserve"> WYNAJEM3[[#This Row],[data_wyjazdu]] - WYNAJEM3[[#This Row],[data_przyjazdu]]</f>
        <v>26</v>
      </c>
    </row>
    <row r="689" spans="1:6" x14ac:dyDescent="0.25">
      <c r="A689" s="1">
        <v>41929</v>
      </c>
      <c r="B689" s="1">
        <v>41955</v>
      </c>
      <c r="C689">
        <v>8.5399999999999991</v>
      </c>
      <c r="D689">
        <v>0.22</v>
      </c>
      <c r="E689">
        <v>3</v>
      </c>
      <c r="F689">
        <f xml:space="preserve"> WYNAJEM3[[#This Row],[data_wyjazdu]] - WYNAJEM3[[#This Row],[data_przyjazdu]]</f>
        <v>26</v>
      </c>
    </row>
    <row r="690" spans="1:6" x14ac:dyDescent="0.25">
      <c r="A690" s="1">
        <v>41930</v>
      </c>
      <c r="B690" s="1">
        <v>41936</v>
      </c>
      <c r="C690">
        <v>2.72</v>
      </c>
      <c r="D690">
        <v>7.0000000000000007E-2</v>
      </c>
      <c r="E690">
        <v>2</v>
      </c>
      <c r="F690">
        <f xml:space="preserve"> WYNAJEM3[[#This Row],[data_wyjazdu]] - WYNAJEM3[[#This Row],[data_przyjazdu]]</f>
        <v>6</v>
      </c>
    </row>
    <row r="691" spans="1:6" x14ac:dyDescent="0.25">
      <c r="A691" s="1">
        <v>41934</v>
      </c>
      <c r="B691" s="1">
        <v>41941</v>
      </c>
      <c r="C691">
        <v>11.78</v>
      </c>
      <c r="D691">
        <v>0.31</v>
      </c>
      <c r="E691">
        <v>3</v>
      </c>
      <c r="F691">
        <f xml:space="preserve"> WYNAJEM3[[#This Row],[data_wyjazdu]] - WYNAJEM3[[#This Row],[data_przyjazdu]]</f>
        <v>7</v>
      </c>
    </row>
    <row r="692" spans="1:6" x14ac:dyDescent="0.25">
      <c r="A692" s="1">
        <v>41934</v>
      </c>
      <c r="B692" s="1">
        <v>41959</v>
      </c>
      <c r="C692">
        <v>8.89</v>
      </c>
      <c r="D692">
        <v>0.23</v>
      </c>
      <c r="E692">
        <v>4</v>
      </c>
      <c r="F692">
        <f xml:space="preserve"> WYNAJEM3[[#This Row],[data_wyjazdu]] - WYNAJEM3[[#This Row],[data_przyjazdu]]</f>
        <v>25</v>
      </c>
    </row>
    <row r="693" spans="1:6" x14ac:dyDescent="0.25">
      <c r="A693" s="1">
        <v>41934</v>
      </c>
      <c r="B693" s="1">
        <v>41937</v>
      </c>
      <c r="C693">
        <v>3.94</v>
      </c>
      <c r="D693">
        <v>0.1</v>
      </c>
      <c r="E693">
        <v>5</v>
      </c>
      <c r="F693">
        <f xml:space="preserve"> WYNAJEM3[[#This Row],[data_wyjazdu]] - WYNAJEM3[[#This Row],[data_przyjazdu]]</f>
        <v>3</v>
      </c>
    </row>
    <row r="694" spans="1:6" x14ac:dyDescent="0.25">
      <c r="A694" s="1">
        <v>41934</v>
      </c>
      <c r="B694" s="1">
        <v>41960</v>
      </c>
      <c r="C694">
        <v>6.23</v>
      </c>
      <c r="D694">
        <v>0.16</v>
      </c>
      <c r="E694">
        <v>5</v>
      </c>
      <c r="F694">
        <f xml:space="preserve"> WYNAJEM3[[#This Row],[data_wyjazdu]] - WYNAJEM3[[#This Row],[data_przyjazdu]]</f>
        <v>26</v>
      </c>
    </row>
    <row r="695" spans="1:6" x14ac:dyDescent="0.25">
      <c r="A695" s="1">
        <v>41934</v>
      </c>
      <c r="B695" s="1">
        <v>41961</v>
      </c>
      <c r="C695">
        <v>9.4600000000000009</v>
      </c>
      <c r="D695">
        <v>0.25</v>
      </c>
      <c r="E695">
        <v>6</v>
      </c>
      <c r="F695">
        <f xml:space="preserve"> WYNAJEM3[[#This Row],[data_wyjazdu]] - WYNAJEM3[[#This Row],[data_przyjazdu]]</f>
        <v>27</v>
      </c>
    </row>
    <row r="696" spans="1:6" x14ac:dyDescent="0.25">
      <c r="A696" s="1">
        <v>41934</v>
      </c>
      <c r="B696" s="1">
        <v>41942</v>
      </c>
      <c r="C696">
        <v>11.42</v>
      </c>
      <c r="D696">
        <v>0.3</v>
      </c>
      <c r="E696">
        <v>6</v>
      </c>
      <c r="F696">
        <f xml:space="preserve"> WYNAJEM3[[#This Row],[data_wyjazdu]] - WYNAJEM3[[#This Row],[data_przyjazdu]]</f>
        <v>8</v>
      </c>
    </row>
    <row r="697" spans="1:6" x14ac:dyDescent="0.25">
      <c r="A697" s="1">
        <v>41934</v>
      </c>
      <c r="B697" s="1">
        <v>41949</v>
      </c>
      <c r="C697">
        <v>8.84</v>
      </c>
      <c r="D697">
        <v>0.23</v>
      </c>
      <c r="E697">
        <v>3</v>
      </c>
      <c r="F697">
        <f xml:space="preserve"> WYNAJEM3[[#This Row],[data_wyjazdu]] - WYNAJEM3[[#This Row],[data_przyjazdu]]</f>
        <v>15</v>
      </c>
    </row>
    <row r="698" spans="1:6" x14ac:dyDescent="0.25">
      <c r="A698" s="1">
        <v>41934</v>
      </c>
      <c r="B698" s="1">
        <v>41949</v>
      </c>
      <c r="C698">
        <v>6.34</v>
      </c>
      <c r="D698">
        <v>0.17</v>
      </c>
      <c r="E698">
        <v>2</v>
      </c>
      <c r="F698">
        <f xml:space="preserve"> WYNAJEM3[[#This Row],[data_wyjazdu]] - WYNAJEM3[[#This Row],[data_przyjazdu]]</f>
        <v>15</v>
      </c>
    </row>
    <row r="699" spans="1:6" x14ac:dyDescent="0.25">
      <c r="A699" s="1">
        <v>41934</v>
      </c>
      <c r="B699" s="1">
        <v>41943</v>
      </c>
      <c r="C699">
        <v>5.67</v>
      </c>
      <c r="D699">
        <v>0.15</v>
      </c>
      <c r="E699">
        <v>2</v>
      </c>
      <c r="F699">
        <f xml:space="preserve"> WYNAJEM3[[#This Row],[data_wyjazdu]] - WYNAJEM3[[#This Row],[data_przyjazdu]]</f>
        <v>9</v>
      </c>
    </row>
    <row r="700" spans="1:6" x14ac:dyDescent="0.25">
      <c r="A700" s="1">
        <v>41934</v>
      </c>
      <c r="B700" s="1">
        <v>41954</v>
      </c>
      <c r="C700">
        <v>11.78</v>
      </c>
      <c r="D700">
        <v>0.31</v>
      </c>
      <c r="E700">
        <v>5</v>
      </c>
      <c r="F700">
        <f xml:space="preserve"> WYNAJEM3[[#This Row],[data_wyjazdu]] - WYNAJEM3[[#This Row],[data_przyjazdu]]</f>
        <v>20</v>
      </c>
    </row>
    <row r="701" spans="1:6" x14ac:dyDescent="0.25">
      <c r="A701" s="1">
        <v>41934</v>
      </c>
      <c r="B701" s="1">
        <v>41944</v>
      </c>
      <c r="C701">
        <v>13.82</v>
      </c>
      <c r="D701">
        <v>0.36</v>
      </c>
      <c r="E701">
        <v>3</v>
      </c>
      <c r="F701">
        <f xml:space="preserve"> WYNAJEM3[[#This Row],[data_wyjazdu]] - WYNAJEM3[[#This Row],[data_przyjazdu]]</f>
        <v>10</v>
      </c>
    </row>
    <row r="702" spans="1:6" x14ac:dyDescent="0.25">
      <c r="A702" s="1">
        <v>41934</v>
      </c>
      <c r="B702" s="1">
        <v>41958</v>
      </c>
      <c r="C702">
        <v>3.57</v>
      </c>
      <c r="D702">
        <v>0.09</v>
      </c>
      <c r="E702">
        <v>3</v>
      </c>
      <c r="F702">
        <f xml:space="preserve"> WYNAJEM3[[#This Row],[data_wyjazdu]] - WYNAJEM3[[#This Row],[data_przyjazdu]]</f>
        <v>24</v>
      </c>
    </row>
    <row r="703" spans="1:6" x14ac:dyDescent="0.25">
      <c r="A703" s="1">
        <v>41934</v>
      </c>
      <c r="B703" s="1">
        <v>41954</v>
      </c>
      <c r="C703">
        <v>6.88</v>
      </c>
      <c r="D703">
        <v>0.18</v>
      </c>
      <c r="E703">
        <v>3</v>
      </c>
      <c r="F703">
        <f xml:space="preserve"> WYNAJEM3[[#This Row],[data_wyjazdu]] - WYNAJEM3[[#This Row],[data_przyjazdu]]</f>
        <v>20</v>
      </c>
    </row>
    <row r="704" spans="1:6" x14ac:dyDescent="0.25">
      <c r="A704" s="1">
        <v>41934</v>
      </c>
      <c r="B704" s="1">
        <v>41958</v>
      </c>
      <c r="C704">
        <v>7.3</v>
      </c>
      <c r="D704">
        <v>0.19</v>
      </c>
      <c r="E704">
        <v>5</v>
      </c>
      <c r="F704">
        <f xml:space="preserve"> WYNAJEM3[[#This Row],[data_wyjazdu]] - WYNAJEM3[[#This Row],[data_przyjazdu]]</f>
        <v>24</v>
      </c>
    </row>
    <row r="705" spans="1:6" x14ac:dyDescent="0.25">
      <c r="A705" s="1">
        <v>41934</v>
      </c>
      <c r="B705" s="1">
        <v>41955</v>
      </c>
      <c r="C705">
        <v>9.74</v>
      </c>
      <c r="D705">
        <v>0.26</v>
      </c>
      <c r="E705">
        <v>2</v>
      </c>
      <c r="F705">
        <f xml:space="preserve"> WYNAJEM3[[#This Row],[data_wyjazdu]] - WYNAJEM3[[#This Row],[data_przyjazdu]]</f>
        <v>21</v>
      </c>
    </row>
    <row r="706" spans="1:6" x14ac:dyDescent="0.25">
      <c r="A706" s="1">
        <v>41934</v>
      </c>
      <c r="B706" s="1">
        <v>41945</v>
      </c>
      <c r="C706">
        <v>8.65</v>
      </c>
      <c r="D706">
        <v>0.23</v>
      </c>
      <c r="E706">
        <v>2</v>
      </c>
      <c r="F706">
        <f xml:space="preserve"> WYNAJEM3[[#This Row],[data_wyjazdu]] - WYNAJEM3[[#This Row],[data_przyjazdu]]</f>
        <v>11</v>
      </c>
    </row>
    <row r="707" spans="1:6" x14ac:dyDescent="0.25">
      <c r="A707" s="1">
        <v>41934</v>
      </c>
      <c r="B707" s="1">
        <v>41954</v>
      </c>
      <c r="C707">
        <v>3.57</v>
      </c>
      <c r="D707">
        <v>0.09</v>
      </c>
      <c r="E707">
        <v>5</v>
      </c>
      <c r="F707">
        <f xml:space="preserve"> WYNAJEM3[[#This Row],[data_wyjazdu]] - WYNAJEM3[[#This Row],[data_przyjazdu]]</f>
        <v>20</v>
      </c>
    </row>
    <row r="708" spans="1:6" x14ac:dyDescent="0.25">
      <c r="A708" s="1">
        <v>41934</v>
      </c>
      <c r="B708" s="1">
        <v>41951</v>
      </c>
      <c r="C708">
        <v>4.25</v>
      </c>
      <c r="D708">
        <v>0.11</v>
      </c>
      <c r="E708">
        <v>6</v>
      </c>
      <c r="F708">
        <f xml:space="preserve"> WYNAJEM3[[#This Row],[data_wyjazdu]] - WYNAJEM3[[#This Row],[data_przyjazdu]]</f>
        <v>17</v>
      </c>
    </row>
    <row r="709" spans="1:6" x14ac:dyDescent="0.25">
      <c r="A709" s="1">
        <v>41934</v>
      </c>
      <c r="B709" s="1">
        <v>41938</v>
      </c>
      <c r="C709">
        <v>13.02</v>
      </c>
      <c r="D709">
        <v>0.34</v>
      </c>
      <c r="E709">
        <v>2</v>
      </c>
      <c r="F709">
        <f xml:space="preserve"> WYNAJEM3[[#This Row],[data_wyjazdu]] - WYNAJEM3[[#This Row],[data_przyjazdu]]</f>
        <v>4</v>
      </c>
    </row>
    <row r="710" spans="1:6" x14ac:dyDescent="0.25">
      <c r="A710" s="1">
        <v>41935</v>
      </c>
      <c r="B710" s="1">
        <v>41945</v>
      </c>
      <c r="C710">
        <v>11.44</v>
      </c>
      <c r="D710">
        <v>0.3</v>
      </c>
      <c r="E710">
        <v>6</v>
      </c>
      <c r="F710">
        <f xml:space="preserve"> WYNAJEM3[[#This Row],[data_wyjazdu]] - WYNAJEM3[[#This Row],[data_przyjazdu]]</f>
        <v>10</v>
      </c>
    </row>
    <row r="711" spans="1:6" x14ac:dyDescent="0.25">
      <c r="A711" s="1">
        <v>41935</v>
      </c>
      <c r="B711" s="1">
        <v>41954</v>
      </c>
      <c r="C711">
        <v>11.78</v>
      </c>
      <c r="D711">
        <v>0.31</v>
      </c>
      <c r="E711">
        <v>5</v>
      </c>
      <c r="F711">
        <f xml:space="preserve"> WYNAJEM3[[#This Row],[data_wyjazdu]] - WYNAJEM3[[#This Row],[data_przyjazdu]]</f>
        <v>19</v>
      </c>
    </row>
    <row r="712" spans="1:6" x14ac:dyDescent="0.25">
      <c r="A712" s="1">
        <v>41935</v>
      </c>
      <c r="B712" s="1">
        <v>41944</v>
      </c>
      <c r="C712">
        <v>7.31</v>
      </c>
      <c r="D712">
        <v>0.19</v>
      </c>
      <c r="E712">
        <v>2</v>
      </c>
      <c r="F712">
        <f xml:space="preserve"> WYNAJEM3[[#This Row],[data_wyjazdu]] - WYNAJEM3[[#This Row],[data_przyjazdu]]</f>
        <v>9</v>
      </c>
    </row>
    <row r="713" spans="1:6" x14ac:dyDescent="0.25">
      <c r="A713" s="1">
        <v>41935</v>
      </c>
      <c r="B713" s="1">
        <v>41940</v>
      </c>
      <c r="C713">
        <v>3.79</v>
      </c>
      <c r="D713">
        <v>0.1</v>
      </c>
      <c r="E713">
        <v>4</v>
      </c>
      <c r="F713">
        <f xml:space="preserve"> WYNAJEM3[[#This Row],[data_wyjazdu]] - WYNAJEM3[[#This Row],[data_przyjazdu]]</f>
        <v>5</v>
      </c>
    </row>
    <row r="714" spans="1:6" x14ac:dyDescent="0.25">
      <c r="A714" s="1">
        <v>41935</v>
      </c>
      <c r="B714" s="1">
        <v>41947</v>
      </c>
      <c r="C714">
        <v>11.42</v>
      </c>
      <c r="D714">
        <v>0.3</v>
      </c>
      <c r="E714">
        <v>3</v>
      </c>
      <c r="F714">
        <f xml:space="preserve"> WYNAJEM3[[#This Row],[data_wyjazdu]] - WYNAJEM3[[#This Row],[data_przyjazdu]]</f>
        <v>12</v>
      </c>
    </row>
    <row r="715" spans="1:6" x14ac:dyDescent="0.25">
      <c r="A715" s="1">
        <v>41935</v>
      </c>
      <c r="B715" s="1">
        <v>41955</v>
      </c>
      <c r="C715">
        <v>7.31</v>
      </c>
      <c r="D715">
        <v>0.19</v>
      </c>
      <c r="E715">
        <v>6</v>
      </c>
      <c r="F715">
        <f xml:space="preserve"> WYNAJEM3[[#This Row],[data_wyjazdu]] - WYNAJEM3[[#This Row],[data_przyjazdu]]</f>
        <v>20</v>
      </c>
    </row>
    <row r="716" spans="1:6" x14ac:dyDescent="0.25">
      <c r="A716" s="1">
        <v>41935</v>
      </c>
      <c r="B716" s="1">
        <v>41940</v>
      </c>
      <c r="C716">
        <v>3.73</v>
      </c>
      <c r="D716">
        <v>0.1</v>
      </c>
      <c r="E716">
        <v>2</v>
      </c>
      <c r="F716">
        <f xml:space="preserve"> WYNAJEM3[[#This Row],[data_wyjazdu]] - WYNAJEM3[[#This Row],[data_przyjazdu]]</f>
        <v>5</v>
      </c>
    </row>
    <row r="717" spans="1:6" x14ac:dyDescent="0.25">
      <c r="A717" s="1">
        <v>41935</v>
      </c>
      <c r="B717" s="1">
        <v>41957</v>
      </c>
      <c r="C717">
        <v>9.06</v>
      </c>
      <c r="D717">
        <v>0.24</v>
      </c>
      <c r="E717">
        <v>2</v>
      </c>
      <c r="F717">
        <f xml:space="preserve"> WYNAJEM3[[#This Row],[data_wyjazdu]] - WYNAJEM3[[#This Row],[data_przyjazdu]]</f>
        <v>22</v>
      </c>
    </row>
    <row r="718" spans="1:6" x14ac:dyDescent="0.25">
      <c r="A718" s="1">
        <v>41935</v>
      </c>
      <c r="B718" s="1">
        <v>41956</v>
      </c>
      <c r="C718">
        <v>11.69</v>
      </c>
      <c r="D718">
        <v>0.31</v>
      </c>
      <c r="E718">
        <v>2</v>
      </c>
      <c r="F718">
        <f xml:space="preserve"> WYNAJEM3[[#This Row],[data_wyjazdu]] - WYNAJEM3[[#This Row],[data_przyjazdu]]</f>
        <v>21</v>
      </c>
    </row>
    <row r="719" spans="1:6" x14ac:dyDescent="0.25">
      <c r="A719" s="1">
        <v>41935</v>
      </c>
      <c r="B719" s="1">
        <v>41960</v>
      </c>
      <c r="C719">
        <v>10.79</v>
      </c>
      <c r="D719">
        <v>0.28000000000000003</v>
      </c>
      <c r="E719">
        <v>3</v>
      </c>
      <c r="F719">
        <f xml:space="preserve"> WYNAJEM3[[#This Row],[data_wyjazdu]] - WYNAJEM3[[#This Row],[data_przyjazdu]]</f>
        <v>25</v>
      </c>
    </row>
    <row r="720" spans="1:6" x14ac:dyDescent="0.25">
      <c r="A720" s="1">
        <v>41935</v>
      </c>
      <c r="B720" s="1">
        <v>41946</v>
      </c>
      <c r="C720">
        <v>14.13</v>
      </c>
      <c r="D720">
        <v>0.37</v>
      </c>
      <c r="E720">
        <v>6</v>
      </c>
      <c r="F720">
        <f xml:space="preserve"> WYNAJEM3[[#This Row],[data_wyjazdu]] - WYNAJEM3[[#This Row],[data_przyjazdu]]</f>
        <v>11</v>
      </c>
    </row>
    <row r="721" spans="1:6" x14ac:dyDescent="0.25">
      <c r="A721" s="1">
        <v>41935</v>
      </c>
      <c r="B721" s="1">
        <v>41959</v>
      </c>
      <c r="C721">
        <v>8.7200000000000006</v>
      </c>
      <c r="D721">
        <v>0.23</v>
      </c>
      <c r="E721">
        <v>2</v>
      </c>
      <c r="F721">
        <f xml:space="preserve"> WYNAJEM3[[#This Row],[data_wyjazdu]] - WYNAJEM3[[#This Row],[data_przyjazdu]]</f>
        <v>24</v>
      </c>
    </row>
    <row r="722" spans="1:6" x14ac:dyDescent="0.25">
      <c r="A722" s="1">
        <v>41936</v>
      </c>
      <c r="B722" s="1">
        <v>41951</v>
      </c>
      <c r="C722">
        <v>3.94</v>
      </c>
      <c r="D722">
        <v>0.1</v>
      </c>
      <c r="E722">
        <v>5</v>
      </c>
      <c r="F722">
        <f xml:space="preserve"> WYNAJEM3[[#This Row],[data_wyjazdu]] - WYNAJEM3[[#This Row],[data_przyjazdu]]</f>
        <v>15</v>
      </c>
    </row>
    <row r="723" spans="1:6" x14ac:dyDescent="0.25">
      <c r="A723" s="1">
        <v>41936</v>
      </c>
      <c r="B723" s="1">
        <v>41964</v>
      </c>
      <c r="C723">
        <v>3.73</v>
      </c>
      <c r="D723">
        <v>0.1</v>
      </c>
      <c r="E723">
        <v>3</v>
      </c>
      <c r="F723">
        <f xml:space="preserve"> WYNAJEM3[[#This Row],[data_wyjazdu]] - WYNAJEM3[[#This Row],[data_przyjazdu]]</f>
        <v>28</v>
      </c>
    </row>
    <row r="724" spans="1:6" x14ac:dyDescent="0.25">
      <c r="A724" s="1">
        <v>41937</v>
      </c>
      <c r="B724" s="1">
        <v>41963</v>
      </c>
      <c r="C724">
        <v>3.94</v>
      </c>
      <c r="D724">
        <v>0.1</v>
      </c>
      <c r="E724">
        <v>4</v>
      </c>
      <c r="F724">
        <f xml:space="preserve"> WYNAJEM3[[#This Row],[data_wyjazdu]] - WYNAJEM3[[#This Row],[data_przyjazdu]]</f>
        <v>26</v>
      </c>
    </row>
    <row r="725" spans="1:6" x14ac:dyDescent="0.25">
      <c r="A725" s="1">
        <v>41937</v>
      </c>
      <c r="B725" s="1">
        <v>41964</v>
      </c>
      <c r="C725">
        <v>3.57</v>
      </c>
      <c r="D725">
        <v>0.09</v>
      </c>
      <c r="E725">
        <v>2</v>
      </c>
      <c r="F725">
        <f xml:space="preserve"> WYNAJEM3[[#This Row],[data_wyjazdu]] - WYNAJEM3[[#This Row],[data_przyjazdu]]</f>
        <v>27</v>
      </c>
    </row>
    <row r="726" spans="1:6" x14ac:dyDescent="0.25">
      <c r="A726" s="1">
        <v>41937</v>
      </c>
      <c r="B726" s="1">
        <v>41943</v>
      </c>
      <c r="C726">
        <v>7.31</v>
      </c>
      <c r="D726">
        <v>0.19</v>
      </c>
      <c r="E726">
        <v>3</v>
      </c>
      <c r="F726">
        <f xml:space="preserve"> WYNAJEM3[[#This Row],[data_wyjazdu]] - WYNAJEM3[[#This Row],[data_przyjazdu]]</f>
        <v>6</v>
      </c>
    </row>
    <row r="727" spans="1:6" x14ac:dyDescent="0.25">
      <c r="A727" s="1">
        <v>41938</v>
      </c>
      <c r="B727" s="1">
        <v>41964</v>
      </c>
      <c r="C727">
        <v>6.58</v>
      </c>
      <c r="D727">
        <v>0.17</v>
      </c>
      <c r="E727">
        <v>5</v>
      </c>
      <c r="F727">
        <f xml:space="preserve"> WYNAJEM3[[#This Row],[data_wyjazdu]] - WYNAJEM3[[#This Row],[data_przyjazdu]]</f>
        <v>26</v>
      </c>
    </row>
    <row r="728" spans="1:6" x14ac:dyDescent="0.25">
      <c r="A728" s="1">
        <v>41939</v>
      </c>
      <c r="B728" s="1">
        <v>41964</v>
      </c>
      <c r="C728">
        <v>3.94</v>
      </c>
      <c r="D728">
        <v>0.1</v>
      </c>
      <c r="E728">
        <v>5</v>
      </c>
      <c r="F728">
        <f xml:space="preserve"> WYNAJEM3[[#This Row],[data_wyjazdu]] - WYNAJEM3[[#This Row],[data_przyjazdu]]</f>
        <v>25</v>
      </c>
    </row>
    <row r="729" spans="1:6" x14ac:dyDescent="0.25">
      <c r="A729" s="1">
        <v>41940</v>
      </c>
      <c r="B729" s="1">
        <v>41946</v>
      </c>
      <c r="C729">
        <v>5.47</v>
      </c>
      <c r="D729">
        <v>0.14000000000000001</v>
      </c>
      <c r="E729">
        <v>5</v>
      </c>
      <c r="F729">
        <f xml:space="preserve"> WYNAJEM3[[#This Row],[data_wyjazdu]] - WYNAJEM3[[#This Row],[data_przyjazdu]]</f>
        <v>6</v>
      </c>
    </row>
    <row r="730" spans="1:6" x14ac:dyDescent="0.25">
      <c r="A730" s="1">
        <v>41941</v>
      </c>
      <c r="B730" s="1">
        <v>41958</v>
      </c>
      <c r="C730">
        <v>5.23</v>
      </c>
      <c r="D730">
        <v>0.14000000000000001</v>
      </c>
      <c r="E730">
        <v>3</v>
      </c>
      <c r="F730">
        <f xml:space="preserve"> WYNAJEM3[[#This Row],[data_wyjazdu]] - WYNAJEM3[[#This Row],[data_przyjazdu]]</f>
        <v>17</v>
      </c>
    </row>
    <row r="731" spans="1:6" x14ac:dyDescent="0.25">
      <c r="A731" s="1">
        <v>41941</v>
      </c>
      <c r="B731" s="1">
        <v>41962</v>
      </c>
      <c r="C731">
        <v>6.58</v>
      </c>
      <c r="D731">
        <v>0.17</v>
      </c>
      <c r="E731">
        <v>5</v>
      </c>
      <c r="F731">
        <f xml:space="preserve"> WYNAJEM3[[#This Row],[data_wyjazdu]] - WYNAJEM3[[#This Row],[data_przyjazdu]]</f>
        <v>21</v>
      </c>
    </row>
    <row r="732" spans="1:6" x14ac:dyDescent="0.25">
      <c r="A732" s="1">
        <v>41941</v>
      </c>
      <c r="B732" s="1">
        <v>41957</v>
      </c>
      <c r="C732">
        <v>3.79</v>
      </c>
      <c r="D732">
        <v>0.1</v>
      </c>
      <c r="E732">
        <v>4</v>
      </c>
      <c r="F732">
        <f xml:space="preserve"> WYNAJEM3[[#This Row],[data_wyjazdu]] - WYNAJEM3[[#This Row],[data_przyjazdu]]</f>
        <v>16</v>
      </c>
    </row>
    <row r="733" spans="1:6" x14ac:dyDescent="0.25">
      <c r="A733" s="1">
        <v>41941</v>
      </c>
      <c r="B733" s="1">
        <v>41953</v>
      </c>
      <c r="C733">
        <v>5.64</v>
      </c>
      <c r="D733">
        <v>0.15</v>
      </c>
      <c r="E733">
        <v>6</v>
      </c>
      <c r="F733">
        <f xml:space="preserve"> WYNAJEM3[[#This Row],[data_wyjazdu]] - WYNAJEM3[[#This Row],[data_przyjazdu]]</f>
        <v>12</v>
      </c>
    </row>
    <row r="734" spans="1:6" x14ac:dyDescent="0.25">
      <c r="A734" s="1">
        <v>41941</v>
      </c>
      <c r="B734" s="1">
        <v>41944</v>
      </c>
      <c r="C734">
        <v>11.37</v>
      </c>
      <c r="D734">
        <v>0.3</v>
      </c>
      <c r="E734">
        <v>2</v>
      </c>
      <c r="F734">
        <f xml:space="preserve"> WYNAJEM3[[#This Row],[data_wyjazdu]] - WYNAJEM3[[#This Row],[data_przyjazdu]]</f>
        <v>3</v>
      </c>
    </row>
    <row r="735" spans="1:6" x14ac:dyDescent="0.25">
      <c r="A735" s="1">
        <v>41941</v>
      </c>
      <c r="B735" s="1">
        <v>41969</v>
      </c>
      <c r="C735">
        <v>8.9499999999999993</v>
      </c>
      <c r="D735">
        <v>0.24</v>
      </c>
      <c r="E735">
        <v>2</v>
      </c>
      <c r="F735">
        <f xml:space="preserve"> WYNAJEM3[[#This Row],[data_wyjazdu]] - WYNAJEM3[[#This Row],[data_przyjazdu]]</f>
        <v>28</v>
      </c>
    </row>
    <row r="736" spans="1:6" x14ac:dyDescent="0.25">
      <c r="A736" s="1">
        <v>41941</v>
      </c>
      <c r="B736" s="1">
        <v>41961</v>
      </c>
      <c r="C736">
        <v>3.94</v>
      </c>
      <c r="D736">
        <v>0.1</v>
      </c>
      <c r="E736">
        <v>5</v>
      </c>
      <c r="F736">
        <f xml:space="preserve"> WYNAJEM3[[#This Row],[data_wyjazdu]] - WYNAJEM3[[#This Row],[data_przyjazdu]]</f>
        <v>20</v>
      </c>
    </row>
    <row r="737" spans="1:6" x14ac:dyDescent="0.25">
      <c r="A737" s="1">
        <v>41946</v>
      </c>
      <c r="B737" s="1">
        <v>41962</v>
      </c>
      <c r="C737">
        <v>3.79</v>
      </c>
      <c r="D737">
        <v>0.1</v>
      </c>
      <c r="E737">
        <v>5</v>
      </c>
      <c r="F737">
        <f xml:space="preserve"> WYNAJEM3[[#This Row],[data_wyjazdu]] - WYNAJEM3[[#This Row],[data_przyjazdu]]</f>
        <v>16</v>
      </c>
    </row>
    <row r="738" spans="1:6" x14ac:dyDescent="0.25">
      <c r="A738" s="1">
        <v>41946</v>
      </c>
      <c r="B738" s="1">
        <v>41971</v>
      </c>
      <c r="C738">
        <v>6.43</v>
      </c>
      <c r="D738">
        <v>0.17</v>
      </c>
      <c r="E738">
        <v>2</v>
      </c>
      <c r="F738">
        <f xml:space="preserve"> WYNAJEM3[[#This Row],[data_wyjazdu]] - WYNAJEM3[[#This Row],[data_przyjazdu]]</f>
        <v>25</v>
      </c>
    </row>
    <row r="739" spans="1:6" x14ac:dyDescent="0.25">
      <c r="A739" s="1">
        <v>41946</v>
      </c>
      <c r="B739" s="1">
        <v>41948</v>
      </c>
      <c r="C739">
        <v>8.5399999999999991</v>
      </c>
      <c r="D739">
        <v>0.22</v>
      </c>
      <c r="E739">
        <v>6</v>
      </c>
      <c r="F739">
        <f xml:space="preserve"> WYNAJEM3[[#This Row],[data_wyjazdu]] - WYNAJEM3[[#This Row],[data_przyjazdu]]</f>
        <v>2</v>
      </c>
    </row>
    <row r="740" spans="1:6" x14ac:dyDescent="0.25">
      <c r="A740" s="1">
        <v>41946</v>
      </c>
      <c r="B740" s="1">
        <v>41956</v>
      </c>
      <c r="C740">
        <v>13.02</v>
      </c>
      <c r="D740">
        <v>0.34</v>
      </c>
      <c r="E740">
        <v>3</v>
      </c>
      <c r="F740">
        <f xml:space="preserve"> WYNAJEM3[[#This Row],[data_wyjazdu]] - WYNAJEM3[[#This Row],[data_przyjazdu]]</f>
        <v>10</v>
      </c>
    </row>
    <row r="741" spans="1:6" x14ac:dyDescent="0.25">
      <c r="A741" s="1">
        <v>41946</v>
      </c>
      <c r="B741" s="1">
        <v>41960</v>
      </c>
      <c r="C741">
        <v>5.64</v>
      </c>
      <c r="D741">
        <v>0.15</v>
      </c>
      <c r="E741">
        <v>4</v>
      </c>
      <c r="F741">
        <f xml:space="preserve"> WYNAJEM3[[#This Row],[data_wyjazdu]] - WYNAJEM3[[#This Row],[data_przyjazdu]]</f>
        <v>14</v>
      </c>
    </row>
    <row r="742" spans="1:6" x14ac:dyDescent="0.25">
      <c r="A742" s="1">
        <v>41946</v>
      </c>
      <c r="B742" s="1">
        <v>41966</v>
      </c>
      <c r="C742">
        <v>4.66</v>
      </c>
      <c r="D742">
        <v>0.12</v>
      </c>
      <c r="E742">
        <v>6</v>
      </c>
      <c r="F742">
        <f xml:space="preserve"> WYNAJEM3[[#This Row],[data_wyjazdu]] - WYNAJEM3[[#This Row],[data_przyjazdu]]</f>
        <v>20</v>
      </c>
    </row>
    <row r="743" spans="1:6" x14ac:dyDescent="0.25">
      <c r="A743" s="1">
        <v>41946</v>
      </c>
      <c r="B743" s="1">
        <v>41968</v>
      </c>
      <c r="C743">
        <v>7.71</v>
      </c>
      <c r="D743">
        <v>0.2</v>
      </c>
      <c r="E743">
        <v>5</v>
      </c>
      <c r="F743">
        <f xml:space="preserve"> WYNAJEM3[[#This Row],[data_wyjazdu]] - WYNAJEM3[[#This Row],[data_przyjazdu]]</f>
        <v>22</v>
      </c>
    </row>
    <row r="744" spans="1:6" x14ac:dyDescent="0.25">
      <c r="A744" s="1">
        <v>41946</v>
      </c>
      <c r="B744" s="1">
        <v>41951</v>
      </c>
      <c r="C744">
        <v>7.71</v>
      </c>
      <c r="D744">
        <v>0.2</v>
      </c>
      <c r="E744">
        <v>6</v>
      </c>
      <c r="F744">
        <f xml:space="preserve"> WYNAJEM3[[#This Row],[data_wyjazdu]] - WYNAJEM3[[#This Row],[data_przyjazdu]]</f>
        <v>5</v>
      </c>
    </row>
    <row r="745" spans="1:6" x14ac:dyDescent="0.25">
      <c r="A745" s="1">
        <v>41946</v>
      </c>
      <c r="B745" s="1">
        <v>41957</v>
      </c>
      <c r="C745">
        <v>6.34</v>
      </c>
      <c r="D745">
        <v>0.17</v>
      </c>
      <c r="E745">
        <v>3</v>
      </c>
      <c r="F745">
        <f xml:space="preserve"> WYNAJEM3[[#This Row],[data_wyjazdu]] - WYNAJEM3[[#This Row],[data_przyjazdu]]</f>
        <v>11</v>
      </c>
    </row>
    <row r="746" spans="1:6" x14ac:dyDescent="0.25">
      <c r="A746" s="1">
        <v>41946</v>
      </c>
      <c r="B746" s="1">
        <v>41954</v>
      </c>
      <c r="C746">
        <v>11.37</v>
      </c>
      <c r="D746">
        <v>0.3</v>
      </c>
      <c r="E746">
        <v>2</v>
      </c>
      <c r="F746">
        <f xml:space="preserve"> WYNAJEM3[[#This Row],[data_wyjazdu]] - WYNAJEM3[[#This Row],[data_przyjazdu]]</f>
        <v>8</v>
      </c>
    </row>
    <row r="747" spans="1:6" x14ac:dyDescent="0.25">
      <c r="A747" s="1">
        <v>41946</v>
      </c>
      <c r="B747" s="1">
        <v>41953</v>
      </c>
      <c r="C747">
        <v>6.34</v>
      </c>
      <c r="D747">
        <v>0.17</v>
      </c>
      <c r="E747">
        <v>2</v>
      </c>
      <c r="F747">
        <f xml:space="preserve"> WYNAJEM3[[#This Row],[data_wyjazdu]] - WYNAJEM3[[#This Row],[data_przyjazdu]]</f>
        <v>7</v>
      </c>
    </row>
    <row r="748" spans="1:6" x14ac:dyDescent="0.25">
      <c r="A748" s="1">
        <v>41946</v>
      </c>
      <c r="B748" s="1">
        <v>41955</v>
      </c>
      <c r="C748">
        <v>3.57</v>
      </c>
      <c r="D748">
        <v>0.09</v>
      </c>
      <c r="E748">
        <v>6</v>
      </c>
      <c r="F748">
        <f xml:space="preserve"> WYNAJEM3[[#This Row],[data_wyjazdu]] - WYNAJEM3[[#This Row],[data_przyjazdu]]</f>
        <v>9</v>
      </c>
    </row>
    <row r="749" spans="1:6" x14ac:dyDescent="0.25">
      <c r="A749" s="1">
        <v>41946</v>
      </c>
      <c r="B749" s="1">
        <v>41964</v>
      </c>
      <c r="C749">
        <v>7.31</v>
      </c>
      <c r="D749">
        <v>0.19</v>
      </c>
      <c r="E749">
        <v>3</v>
      </c>
      <c r="F749">
        <f xml:space="preserve"> WYNAJEM3[[#This Row],[data_wyjazdu]] - WYNAJEM3[[#This Row],[data_przyjazdu]]</f>
        <v>18</v>
      </c>
    </row>
    <row r="750" spans="1:6" x14ac:dyDescent="0.25">
      <c r="A750" s="1">
        <v>41946</v>
      </c>
      <c r="B750" s="1">
        <v>41966</v>
      </c>
      <c r="C750">
        <v>5.64</v>
      </c>
      <c r="D750">
        <v>0.15</v>
      </c>
      <c r="E750">
        <v>6</v>
      </c>
      <c r="F750">
        <f xml:space="preserve"> WYNAJEM3[[#This Row],[data_wyjazdu]] - WYNAJEM3[[#This Row],[data_przyjazdu]]</f>
        <v>20</v>
      </c>
    </row>
    <row r="751" spans="1:6" x14ac:dyDescent="0.25">
      <c r="A751" s="1">
        <v>41946</v>
      </c>
      <c r="B751" s="1">
        <v>41964</v>
      </c>
      <c r="C751">
        <v>4.25</v>
      </c>
      <c r="D751">
        <v>0.11</v>
      </c>
      <c r="E751">
        <v>6</v>
      </c>
      <c r="F751">
        <f xml:space="preserve"> WYNAJEM3[[#This Row],[data_wyjazdu]] - WYNAJEM3[[#This Row],[data_przyjazdu]]</f>
        <v>18</v>
      </c>
    </row>
    <row r="752" spans="1:6" x14ac:dyDescent="0.25">
      <c r="A752" s="1">
        <v>41946</v>
      </c>
      <c r="B752" s="1">
        <v>41953</v>
      </c>
      <c r="C752">
        <v>9.1300000000000008</v>
      </c>
      <c r="D752">
        <v>0.24</v>
      </c>
      <c r="E752">
        <v>5</v>
      </c>
      <c r="F752">
        <f xml:space="preserve"> WYNAJEM3[[#This Row],[data_wyjazdu]] - WYNAJEM3[[#This Row],[data_przyjazdu]]</f>
        <v>7</v>
      </c>
    </row>
    <row r="753" spans="1:6" x14ac:dyDescent="0.25">
      <c r="A753" s="1">
        <v>41946</v>
      </c>
      <c r="B753" s="1">
        <v>41956</v>
      </c>
      <c r="C753">
        <v>3.79</v>
      </c>
      <c r="D753">
        <v>0.1</v>
      </c>
      <c r="E753">
        <v>6</v>
      </c>
      <c r="F753">
        <f xml:space="preserve"> WYNAJEM3[[#This Row],[data_wyjazdu]] - WYNAJEM3[[#This Row],[data_przyjazdu]]</f>
        <v>10</v>
      </c>
    </row>
    <row r="754" spans="1:6" x14ac:dyDescent="0.25">
      <c r="A754" s="1">
        <v>41946</v>
      </c>
      <c r="B754" s="1">
        <v>41948</v>
      </c>
      <c r="C754">
        <v>9.1300000000000008</v>
      </c>
      <c r="D754">
        <v>0.24</v>
      </c>
      <c r="E754">
        <v>4</v>
      </c>
      <c r="F754">
        <f xml:space="preserve"> WYNAJEM3[[#This Row],[data_wyjazdu]] - WYNAJEM3[[#This Row],[data_przyjazdu]]</f>
        <v>2</v>
      </c>
    </row>
    <row r="755" spans="1:6" x14ac:dyDescent="0.25">
      <c r="A755" s="1">
        <v>41947</v>
      </c>
      <c r="B755" s="1">
        <v>41960</v>
      </c>
      <c r="C755">
        <v>11.44</v>
      </c>
      <c r="D755">
        <v>0.3</v>
      </c>
      <c r="E755">
        <v>6</v>
      </c>
      <c r="F755">
        <f xml:space="preserve"> WYNAJEM3[[#This Row],[data_wyjazdu]] - WYNAJEM3[[#This Row],[data_przyjazdu]]</f>
        <v>13</v>
      </c>
    </row>
    <row r="756" spans="1:6" x14ac:dyDescent="0.25">
      <c r="A756" s="1">
        <v>41947</v>
      </c>
      <c r="B756" s="1">
        <v>41972</v>
      </c>
      <c r="C756">
        <v>5.47</v>
      </c>
      <c r="D756">
        <v>0.14000000000000001</v>
      </c>
      <c r="E756">
        <v>6</v>
      </c>
      <c r="F756">
        <f xml:space="preserve"> WYNAJEM3[[#This Row],[data_wyjazdu]] - WYNAJEM3[[#This Row],[data_przyjazdu]]</f>
        <v>25</v>
      </c>
    </row>
    <row r="757" spans="1:6" x14ac:dyDescent="0.25">
      <c r="A757" s="1">
        <v>41947</v>
      </c>
      <c r="B757" s="1">
        <v>41968</v>
      </c>
      <c r="C757">
        <v>14.13</v>
      </c>
      <c r="D757">
        <v>0.37</v>
      </c>
      <c r="E757">
        <v>2</v>
      </c>
      <c r="F757">
        <f xml:space="preserve"> WYNAJEM3[[#This Row],[data_wyjazdu]] - WYNAJEM3[[#This Row],[data_przyjazdu]]</f>
        <v>21</v>
      </c>
    </row>
    <row r="758" spans="1:6" x14ac:dyDescent="0.25">
      <c r="A758" s="1">
        <v>41947</v>
      </c>
      <c r="B758" s="1">
        <v>41956</v>
      </c>
      <c r="C758">
        <v>11.69</v>
      </c>
      <c r="D758">
        <v>0.31</v>
      </c>
      <c r="E758">
        <v>3</v>
      </c>
      <c r="F758">
        <f xml:space="preserve"> WYNAJEM3[[#This Row],[data_wyjazdu]] - WYNAJEM3[[#This Row],[data_przyjazdu]]</f>
        <v>9</v>
      </c>
    </row>
    <row r="759" spans="1:6" x14ac:dyDescent="0.25">
      <c r="A759" s="1">
        <v>41947</v>
      </c>
      <c r="B759" s="1">
        <v>41970</v>
      </c>
      <c r="C759">
        <v>6.75</v>
      </c>
      <c r="D759">
        <v>0.18</v>
      </c>
      <c r="E759">
        <v>2</v>
      </c>
      <c r="F759">
        <f xml:space="preserve"> WYNAJEM3[[#This Row],[data_wyjazdu]] - WYNAJEM3[[#This Row],[data_przyjazdu]]</f>
        <v>23</v>
      </c>
    </row>
    <row r="760" spans="1:6" x14ac:dyDescent="0.25">
      <c r="A760" s="1">
        <v>41947</v>
      </c>
      <c r="B760" s="1">
        <v>41962</v>
      </c>
      <c r="C760">
        <v>8.65</v>
      </c>
      <c r="D760">
        <v>0.23</v>
      </c>
      <c r="E760">
        <v>6</v>
      </c>
      <c r="F760">
        <f xml:space="preserve"> WYNAJEM3[[#This Row],[data_wyjazdu]] - WYNAJEM3[[#This Row],[data_przyjazdu]]</f>
        <v>15</v>
      </c>
    </row>
    <row r="761" spans="1:6" x14ac:dyDescent="0.25">
      <c r="A761" s="1">
        <v>41947</v>
      </c>
      <c r="B761" s="1">
        <v>41975</v>
      </c>
      <c r="C761">
        <v>10.93</v>
      </c>
      <c r="D761">
        <v>0.28999999999999998</v>
      </c>
      <c r="E761">
        <v>5</v>
      </c>
      <c r="F761">
        <f xml:space="preserve"> WYNAJEM3[[#This Row],[data_wyjazdu]] - WYNAJEM3[[#This Row],[data_przyjazdu]]</f>
        <v>28</v>
      </c>
    </row>
    <row r="762" spans="1:6" x14ac:dyDescent="0.25">
      <c r="A762" s="1">
        <v>41947</v>
      </c>
      <c r="B762" s="1">
        <v>41962</v>
      </c>
      <c r="C762">
        <v>16.55</v>
      </c>
      <c r="D762">
        <v>0.44</v>
      </c>
      <c r="E762">
        <v>6</v>
      </c>
      <c r="F762">
        <f xml:space="preserve"> WYNAJEM3[[#This Row],[data_wyjazdu]] - WYNAJEM3[[#This Row],[data_przyjazdu]]</f>
        <v>15</v>
      </c>
    </row>
    <row r="763" spans="1:6" x14ac:dyDescent="0.25">
      <c r="A763" s="1">
        <v>41947</v>
      </c>
      <c r="B763" s="1">
        <v>41960</v>
      </c>
      <c r="C763">
        <v>9.06</v>
      </c>
      <c r="D763">
        <v>0.24</v>
      </c>
      <c r="E763">
        <v>4</v>
      </c>
      <c r="F763">
        <f xml:space="preserve"> WYNAJEM3[[#This Row],[data_wyjazdu]] - WYNAJEM3[[#This Row],[data_przyjazdu]]</f>
        <v>13</v>
      </c>
    </row>
    <row r="764" spans="1:6" x14ac:dyDescent="0.25">
      <c r="A764" s="1">
        <v>41947</v>
      </c>
      <c r="B764" s="1">
        <v>41974</v>
      </c>
      <c r="C764">
        <v>9.06</v>
      </c>
      <c r="D764">
        <v>0.24</v>
      </c>
      <c r="E764">
        <v>4</v>
      </c>
      <c r="F764">
        <f xml:space="preserve"> WYNAJEM3[[#This Row],[data_wyjazdu]] - WYNAJEM3[[#This Row],[data_przyjazdu]]</f>
        <v>27</v>
      </c>
    </row>
    <row r="765" spans="1:6" x14ac:dyDescent="0.25">
      <c r="A765" s="1">
        <v>41947</v>
      </c>
      <c r="B765" s="1">
        <v>41969</v>
      </c>
      <c r="C765">
        <v>6.43</v>
      </c>
      <c r="D765">
        <v>0.17</v>
      </c>
      <c r="E765">
        <v>2</v>
      </c>
      <c r="F765">
        <f xml:space="preserve"> WYNAJEM3[[#This Row],[data_wyjazdu]] - WYNAJEM3[[#This Row],[data_przyjazdu]]</f>
        <v>22</v>
      </c>
    </row>
    <row r="766" spans="1:6" x14ac:dyDescent="0.25">
      <c r="A766" s="1">
        <v>41947</v>
      </c>
      <c r="B766" s="1">
        <v>41954</v>
      </c>
      <c r="C766">
        <v>6.23</v>
      </c>
      <c r="D766">
        <v>0.16</v>
      </c>
      <c r="E766">
        <v>3</v>
      </c>
      <c r="F766">
        <f xml:space="preserve"> WYNAJEM3[[#This Row],[data_wyjazdu]] - WYNAJEM3[[#This Row],[data_przyjazdu]]</f>
        <v>7</v>
      </c>
    </row>
    <row r="767" spans="1:6" x14ac:dyDescent="0.25">
      <c r="A767" s="1">
        <v>41947</v>
      </c>
      <c r="B767" s="1">
        <v>41952</v>
      </c>
      <c r="C767">
        <v>6.75</v>
      </c>
      <c r="D767">
        <v>0.18</v>
      </c>
      <c r="E767">
        <v>3</v>
      </c>
      <c r="F767">
        <f xml:space="preserve"> WYNAJEM3[[#This Row],[data_wyjazdu]] - WYNAJEM3[[#This Row],[data_przyjazdu]]</f>
        <v>5</v>
      </c>
    </row>
    <row r="768" spans="1:6" x14ac:dyDescent="0.25">
      <c r="A768" s="1">
        <v>41947</v>
      </c>
      <c r="B768" s="1">
        <v>41953</v>
      </c>
      <c r="C768">
        <v>10.79</v>
      </c>
      <c r="D768">
        <v>0.28000000000000003</v>
      </c>
      <c r="E768">
        <v>6</v>
      </c>
      <c r="F768">
        <f xml:space="preserve"> WYNAJEM3[[#This Row],[data_wyjazdu]] - WYNAJEM3[[#This Row],[data_przyjazdu]]</f>
        <v>6</v>
      </c>
    </row>
    <row r="769" spans="1:6" x14ac:dyDescent="0.25">
      <c r="A769" s="1">
        <v>41949</v>
      </c>
      <c r="B769" s="1">
        <v>41956</v>
      </c>
      <c r="C769">
        <v>5.67</v>
      </c>
      <c r="D769">
        <v>0.15</v>
      </c>
      <c r="E769">
        <v>4</v>
      </c>
      <c r="F769">
        <f xml:space="preserve"> WYNAJEM3[[#This Row],[data_wyjazdu]] - WYNAJEM3[[#This Row],[data_przyjazdu]]</f>
        <v>7</v>
      </c>
    </row>
    <row r="770" spans="1:6" x14ac:dyDescent="0.25">
      <c r="A770" s="1">
        <v>41949</v>
      </c>
      <c r="B770" s="1">
        <v>41959</v>
      </c>
      <c r="C770">
        <v>11.44</v>
      </c>
      <c r="D770">
        <v>0.3</v>
      </c>
      <c r="E770">
        <v>4</v>
      </c>
      <c r="F770">
        <f xml:space="preserve"> WYNAJEM3[[#This Row],[data_wyjazdu]] - WYNAJEM3[[#This Row],[data_przyjazdu]]</f>
        <v>10</v>
      </c>
    </row>
    <row r="771" spans="1:6" x14ac:dyDescent="0.25">
      <c r="A771" s="1">
        <v>41950</v>
      </c>
      <c r="B771" s="1">
        <v>41977</v>
      </c>
      <c r="C771">
        <v>4.25</v>
      </c>
      <c r="D771">
        <v>0.11</v>
      </c>
      <c r="E771">
        <v>5</v>
      </c>
      <c r="F771">
        <f xml:space="preserve"> WYNAJEM3[[#This Row],[data_wyjazdu]] - WYNAJEM3[[#This Row],[data_przyjazdu]]</f>
        <v>27</v>
      </c>
    </row>
    <row r="772" spans="1:6" x14ac:dyDescent="0.25">
      <c r="A772" s="1">
        <v>41950</v>
      </c>
      <c r="B772" s="1">
        <v>41953</v>
      </c>
      <c r="C772">
        <v>3.94</v>
      </c>
      <c r="D772">
        <v>0.1</v>
      </c>
      <c r="E772">
        <v>2</v>
      </c>
      <c r="F772">
        <f xml:space="preserve"> WYNAJEM3[[#This Row],[data_wyjazdu]] - WYNAJEM3[[#This Row],[data_przyjazdu]]</f>
        <v>3</v>
      </c>
    </row>
    <row r="773" spans="1:6" x14ac:dyDescent="0.25">
      <c r="A773" s="1">
        <v>41950</v>
      </c>
      <c r="B773" s="1">
        <v>41972</v>
      </c>
      <c r="C773">
        <v>3.57</v>
      </c>
      <c r="D773">
        <v>0.09</v>
      </c>
      <c r="E773">
        <v>4</v>
      </c>
      <c r="F773">
        <f xml:space="preserve"> WYNAJEM3[[#This Row],[data_wyjazdu]] - WYNAJEM3[[#This Row],[data_przyjazdu]]</f>
        <v>22</v>
      </c>
    </row>
    <row r="774" spans="1:6" x14ac:dyDescent="0.25">
      <c r="A774" s="1">
        <v>41950</v>
      </c>
      <c r="B774" s="1">
        <v>41952</v>
      </c>
      <c r="C774">
        <v>5.67</v>
      </c>
      <c r="D774">
        <v>0.15</v>
      </c>
      <c r="E774">
        <v>6</v>
      </c>
      <c r="F774">
        <f xml:space="preserve"> WYNAJEM3[[#This Row],[data_wyjazdu]] - WYNAJEM3[[#This Row],[data_przyjazdu]]</f>
        <v>2</v>
      </c>
    </row>
    <row r="775" spans="1:6" x14ac:dyDescent="0.25">
      <c r="A775" s="1">
        <v>41950</v>
      </c>
      <c r="B775" s="1">
        <v>41967</v>
      </c>
      <c r="C775">
        <v>5.67</v>
      </c>
      <c r="D775">
        <v>0.15</v>
      </c>
      <c r="E775">
        <v>4</v>
      </c>
      <c r="F775">
        <f xml:space="preserve"> WYNAJEM3[[#This Row],[data_wyjazdu]] - WYNAJEM3[[#This Row],[data_przyjazdu]]</f>
        <v>17</v>
      </c>
    </row>
    <row r="776" spans="1:6" x14ac:dyDescent="0.25">
      <c r="A776" s="1">
        <v>41953</v>
      </c>
      <c r="B776" s="1">
        <v>41978</v>
      </c>
      <c r="C776">
        <v>16.829999999999998</v>
      </c>
      <c r="D776">
        <v>0.44</v>
      </c>
      <c r="E776">
        <v>6</v>
      </c>
      <c r="F776">
        <f xml:space="preserve"> WYNAJEM3[[#This Row],[data_wyjazdu]] - WYNAJEM3[[#This Row],[data_przyjazdu]]</f>
        <v>25</v>
      </c>
    </row>
    <row r="777" spans="1:6" x14ac:dyDescent="0.25">
      <c r="A777" s="1">
        <v>41956</v>
      </c>
      <c r="B777" s="1">
        <v>41958</v>
      </c>
      <c r="C777">
        <v>5.23</v>
      </c>
      <c r="D777">
        <v>0.14000000000000001</v>
      </c>
      <c r="E777">
        <v>4</v>
      </c>
      <c r="F777">
        <f xml:space="preserve"> WYNAJEM3[[#This Row],[data_wyjazdu]] - WYNAJEM3[[#This Row],[data_przyjazdu]]</f>
        <v>2</v>
      </c>
    </row>
    <row r="778" spans="1:6" x14ac:dyDescent="0.25">
      <c r="A778" s="1">
        <v>41957</v>
      </c>
      <c r="B778" s="1">
        <v>41966</v>
      </c>
      <c r="C778">
        <v>3.73</v>
      </c>
      <c r="D778">
        <v>0.1</v>
      </c>
      <c r="E778">
        <v>3</v>
      </c>
      <c r="F778">
        <f xml:space="preserve"> WYNAJEM3[[#This Row],[data_wyjazdu]] - WYNAJEM3[[#This Row],[data_przyjazdu]]</f>
        <v>9</v>
      </c>
    </row>
    <row r="779" spans="1:6" x14ac:dyDescent="0.25">
      <c r="A779" s="1">
        <v>41958</v>
      </c>
      <c r="B779" s="1">
        <v>41985</v>
      </c>
      <c r="C779">
        <v>8.7200000000000006</v>
      </c>
      <c r="D779">
        <v>0.23</v>
      </c>
      <c r="E779">
        <v>6</v>
      </c>
      <c r="F779">
        <f xml:space="preserve"> WYNAJEM3[[#This Row],[data_wyjazdu]] - WYNAJEM3[[#This Row],[data_przyjazdu]]</f>
        <v>27</v>
      </c>
    </row>
    <row r="780" spans="1:6" x14ac:dyDescent="0.25">
      <c r="A780" s="1">
        <v>41958</v>
      </c>
      <c r="B780" s="1">
        <v>41975</v>
      </c>
      <c r="C780">
        <v>19.54</v>
      </c>
      <c r="D780">
        <v>0.51</v>
      </c>
      <c r="E780">
        <v>2</v>
      </c>
      <c r="F780">
        <f xml:space="preserve"> WYNAJEM3[[#This Row],[data_wyjazdu]] - WYNAJEM3[[#This Row],[data_przyjazdu]]</f>
        <v>17</v>
      </c>
    </row>
    <row r="781" spans="1:6" x14ac:dyDescent="0.25">
      <c r="A781" s="1">
        <v>41958</v>
      </c>
      <c r="B781" s="1">
        <v>41980</v>
      </c>
      <c r="C781">
        <v>2.29</v>
      </c>
      <c r="D781">
        <v>0.06</v>
      </c>
      <c r="E781">
        <v>4</v>
      </c>
      <c r="F781">
        <f xml:space="preserve"> WYNAJEM3[[#This Row],[data_wyjazdu]] - WYNAJEM3[[#This Row],[data_przyjazdu]]</f>
        <v>22</v>
      </c>
    </row>
    <row r="782" spans="1:6" x14ac:dyDescent="0.25">
      <c r="A782" s="1">
        <v>41958</v>
      </c>
      <c r="B782" s="1">
        <v>41986</v>
      </c>
      <c r="C782">
        <v>8.9499999999999993</v>
      </c>
      <c r="D782">
        <v>0.24</v>
      </c>
      <c r="E782">
        <v>6</v>
      </c>
      <c r="F782">
        <f xml:space="preserve"> WYNAJEM3[[#This Row],[data_wyjazdu]] - WYNAJEM3[[#This Row],[data_przyjazdu]]</f>
        <v>28</v>
      </c>
    </row>
    <row r="783" spans="1:6" x14ac:dyDescent="0.25">
      <c r="A783" s="1">
        <v>41958</v>
      </c>
      <c r="B783" s="1">
        <v>41969</v>
      </c>
      <c r="C783">
        <v>5.67</v>
      </c>
      <c r="D783">
        <v>0.15</v>
      </c>
      <c r="E783">
        <v>6</v>
      </c>
      <c r="F783">
        <f xml:space="preserve"> WYNAJEM3[[#This Row],[data_wyjazdu]] - WYNAJEM3[[#This Row],[data_przyjazdu]]</f>
        <v>11</v>
      </c>
    </row>
    <row r="784" spans="1:6" x14ac:dyDescent="0.25">
      <c r="A784" s="1">
        <v>41958</v>
      </c>
      <c r="B784" s="1">
        <v>41982</v>
      </c>
      <c r="C784">
        <v>8.83</v>
      </c>
      <c r="D784">
        <v>0.23</v>
      </c>
      <c r="E784">
        <v>4</v>
      </c>
      <c r="F784">
        <f xml:space="preserve"> WYNAJEM3[[#This Row],[data_wyjazdu]] - WYNAJEM3[[#This Row],[data_przyjazdu]]</f>
        <v>24</v>
      </c>
    </row>
    <row r="785" spans="1:6" x14ac:dyDescent="0.25">
      <c r="A785" s="1">
        <v>41958</v>
      </c>
      <c r="B785" s="1">
        <v>41963</v>
      </c>
      <c r="C785">
        <v>10.79</v>
      </c>
      <c r="D785">
        <v>0.28000000000000003</v>
      </c>
      <c r="E785">
        <v>4</v>
      </c>
      <c r="F785">
        <f xml:space="preserve"> WYNAJEM3[[#This Row],[data_wyjazdu]] - WYNAJEM3[[#This Row],[data_przyjazdu]]</f>
        <v>5</v>
      </c>
    </row>
    <row r="786" spans="1:6" x14ac:dyDescent="0.25">
      <c r="A786" s="1">
        <v>41958</v>
      </c>
      <c r="B786" s="1">
        <v>41961</v>
      </c>
      <c r="C786">
        <v>5.67</v>
      </c>
      <c r="D786">
        <v>0.15</v>
      </c>
      <c r="E786">
        <v>6</v>
      </c>
      <c r="F786">
        <f xml:space="preserve"> WYNAJEM3[[#This Row],[data_wyjazdu]] - WYNAJEM3[[#This Row],[data_przyjazdu]]</f>
        <v>3</v>
      </c>
    </row>
    <row r="787" spans="1:6" x14ac:dyDescent="0.25">
      <c r="A787" s="1">
        <v>41958</v>
      </c>
      <c r="B787" s="1">
        <v>41972</v>
      </c>
      <c r="C787">
        <v>14.31</v>
      </c>
      <c r="D787">
        <v>0.38</v>
      </c>
      <c r="E787">
        <v>5</v>
      </c>
      <c r="F787">
        <f xml:space="preserve"> WYNAJEM3[[#This Row],[data_wyjazdu]] - WYNAJEM3[[#This Row],[data_przyjazdu]]</f>
        <v>14</v>
      </c>
    </row>
    <row r="788" spans="1:6" x14ac:dyDescent="0.25">
      <c r="A788" s="1">
        <v>41958</v>
      </c>
      <c r="B788" s="1">
        <v>41976</v>
      </c>
      <c r="C788">
        <v>5.67</v>
      </c>
      <c r="D788">
        <v>0.15</v>
      </c>
      <c r="E788">
        <v>6</v>
      </c>
      <c r="F788">
        <f xml:space="preserve"> WYNAJEM3[[#This Row],[data_wyjazdu]] - WYNAJEM3[[#This Row],[data_przyjazdu]]</f>
        <v>18</v>
      </c>
    </row>
    <row r="789" spans="1:6" x14ac:dyDescent="0.25">
      <c r="A789" s="1">
        <v>41958</v>
      </c>
      <c r="B789" s="1">
        <v>41961</v>
      </c>
      <c r="C789">
        <v>6.75</v>
      </c>
      <c r="D789">
        <v>0.18</v>
      </c>
      <c r="E789">
        <v>6</v>
      </c>
      <c r="F789">
        <f xml:space="preserve"> WYNAJEM3[[#This Row],[data_wyjazdu]] - WYNAJEM3[[#This Row],[data_przyjazdu]]</f>
        <v>3</v>
      </c>
    </row>
    <row r="790" spans="1:6" x14ac:dyDescent="0.25">
      <c r="A790" s="1">
        <v>41958</v>
      </c>
      <c r="B790" s="1">
        <v>41964</v>
      </c>
      <c r="C790">
        <v>12.01</v>
      </c>
      <c r="D790">
        <v>0.32</v>
      </c>
      <c r="E790">
        <v>4</v>
      </c>
      <c r="F790">
        <f xml:space="preserve"> WYNAJEM3[[#This Row],[data_wyjazdu]] - WYNAJEM3[[#This Row],[data_przyjazdu]]</f>
        <v>6</v>
      </c>
    </row>
    <row r="791" spans="1:6" x14ac:dyDescent="0.25">
      <c r="A791" s="1">
        <v>41958</v>
      </c>
      <c r="B791" s="1">
        <v>41973</v>
      </c>
      <c r="C791">
        <v>5.23</v>
      </c>
      <c r="D791">
        <v>0.14000000000000001</v>
      </c>
      <c r="E791">
        <v>6</v>
      </c>
      <c r="F791">
        <f xml:space="preserve"> WYNAJEM3[[#This Row],[data_wyjazdu]] - WYNAJEM3[[#This Row],[data_przyjazdu]]</f>
        <v>15</v>
      </c>
    </row>
    <row r="792" spans="1:6" x14ac:dyDescent="0.25">
      <c r="A792" s="1">
        <v>41958</v>
      </c>
      <c r="B792" s="1">
        <v>41978</v>
      </c>
      <c r="C792">
        <v>13.81</v>
      </c>
      <c r="D792">
        <v>0.36</v>
      </c>
      <c r="E792">
        <v>4</v>
      </c>
      <c r="F792">
        <f xml:space="preserve"> WYNAJEM3[[#This Row],[data_wyjazdu]] - WYNAJEM3[[#This Row],[data_przyjazdu]]</f>
        <v>20</v>
      </c>
    </row>
    <row r="793" spans="1:6" x14ac:dyDescent="0.25">
      <c r="A793" s="1">
        <v>41958</v>
      </c>
      <c r="B793" s="1">
        <v>41970</v>
      </c>
      <c r="C793">
        <v>5.23</v>
      </c>
      <c r="D793">
        <v>0.14000000000000001</v>
      </c>
      <c r="E793">
        <v>3</v>
      </c>
      <c r="F793">
        <f xml:space="preserve"> WYNAJEM3[[#This Row],[data_wyjazdu]] - WYNAJEM3[[#This Row],[data_przyjazdu]]</f>
        <v>12</v>
      </c>
    </row>
    <row r="794" spans="1:6" x14ac:dyDescent="0.25">
      <c r="A794" s="1">
        <v>41959</v>
      </c>
      <c r="B794" s="1">
        <v>41968</v>
      </c>
      <c r="C794">
        <v>4.25</v>
      </c>
      <c r="D794">
        <v>0.11</v>
      </c>
      <c r="E794">
        <v>6</v>
      </c>
      <c r="F794">
        <f xml:space="preserve"> WYNAJEM3[[#This Row],[data_wyjazdu]] - WYNAJEM3[[#This Row],[data_przyjazdu]]</f>
        <v>9</v>
      </c>
    </row>
    <row r="795" spans="1:6" x14ac:dyDescent="0.25">
      <c r="A795" s="1">
        <v>41959</v>
      </c>
      <c r="B795" s="1">
        <v>41984</v>
      </c>
      <c r="C795">
        <v>5.23</v>
      </c>
      <c r="D795">
        <v>0.14000000000000001</v>
      </c>
      <c r="E795">
        <v>4</v>
      </c>
      <c r="F795">
        <f xml:space="preserve"> WYNAJEM3[[#This Row],[data_wyjazdu]] - WYNAJEM3[[#This Row],[data_przyjazdu]]</f>
        <v>25</v>
      </c>
    </row>
    <row r="796" spans="1:6" x14ac:dyDescent="0.25">
      <c r="A796" s="1">
        <v>41959</v>
      </c>
      <c r="B796" s="1">
        <v>41983</v>
      </c>
      <c r="C796">
        <v>6.23</v>
      </c>
      <c r="D796">
        <v>0.16</v>
      </c>
      <c r="E796">
        <v>2</v>
      </c>
      <c r="F796">
        <f xml:space="preserve"> WYNAJEM3[[#This Row],[data_wyjazdu]] - WYNAJEM3[[#This Row],[data_przyjazdu]]</f>
        <v>24</v>
      </c>
    </row>
    <row r="797" spans="1:6" x14ac:dyDescent="0.25">
      <c r="A797" s="1">
        <v>41959</v>
      </c>
      <c r="B797" s="1">
        <v>41971</v>
      </c>
      <c r="C797">
        <v>16.55</v>
      </c>
      <c r="D797">
        <v>0.44</v>
      </c>
      <c r="E797">
        <v>5</v>
      </c>
      <c r="F797">
        <f xml:space="preserve"> WYNAJEM3[[#This Row],[data_wyjazdu]] - WYNAJEM3[[#This Row],[data_przyjazdu]]</f>
        <v>12</v>
      </c>
    </row>
    <row r="798" spans="1:6" x14ac:dyDescent="0.25">
      <c r="A798" s="1">
        <v>41959</v>
      </c>
      <c r="B798" s="1">
        <v>41966</v>
      </c>
      <c r="C798">
        <v>5.78</v>
      </c>
      <c r="D798">
        <v>0.15</v>
      </c>
      <c r="E798">
        <v>6</v>
      </c>
      <c r="F798">
        <f xml:space="preserve"> WYNAJEM3[[#This Row],[data_wyjazdu]] - WYNAJEM3[[#This Row],[data_przyjazdu]]</f>
        <v>7</v>
      </c>
    </row>
    <row r="799" spans="1:6" x14ac:dyDescent="0.25">
      <c r="A799" s="1">
        <v>41959</v>
      </c>
      <c r="B799" s="1">
        <v>41978</v>
      </c>
      <c r="C799">
        <v>11.69</v>
      </c>
      <c r="D799">
        <v>0.31</v>
      </c>
      <c r="E799">
        <v>5</v>
      </c>
      <c r="F799">
        <f xml:space="preserve"> WYNAJEM3[[#This Row],[data_wyjazdu]] - WYNAJEM3[[#This Row],[data_przyjazdu]]</f>
        <v>19</v>
      </c>
    </row>
    <row r="800" spans="1:6" x14ac:dyDescent="0.25">
      <c r="A800" s="1">
        <v>41959</v>
      </c>
      <c r="B800" s="1">
        <v>41985</v>
      </c>
      <c r="C800">
        <v>11.78</v>
      </c>
      <c r="D800">
        <v>0.31</v>
      </c>
      <c r="E800">
        <v>2</v>
      </c>
      <c r="F800">
        <f xml:space="preserve"> WYNAJEM3[[#This Row],[data_wyjazdu]] - WYNAJEM3[[#This Row],[data_przyjazdu]]</f>
        <v>26</v>
      </c>
    </row>
    <row r="801" spans="1:6" x14ac:dyDescent="0.25">
      <c r="A801" s="1">
        <v>41959</v>
      </c>
      <c r="B801" s="1">
        <v>41974</v>
      </c>
      <c r="C801">
        <v>8.39</v>
      </c>
      <c r="D801">
        <v>0.22</v>
      </c>
      <c r="E801">
        <v>6</v>
      </c>
      <c r="F801">
        <f xml:space="preserve"> WYNAJEM3[[#This Row],[data_wyjazdu]] - WYNAJEM3[[#This Row],[data_przyjazdu]]</f>
        <v>15</v>
      </c>
    </row>
    <row r="802" spans="1:6" x14ac:dyDescent="0.25">
      <c r="A802" s="1">
        <v>41959</v>
      </c>
      <c r="B802" s="1">
        <v>41976</v>
      </c>
      <c r="C802">
        <v>6.75</v>
      </c>
      <c r="D802">
        <v>0.18</v>
      </c>
      <c r="E802">
        <v>6</v>
      </c>
      <c r="F802">
        <f xml:space="preserve"> WYNAJEM3[[#This Row],[data_wyjazdu]] - WYNAJEM3[[#This Row],[data_przyjazdu]]</f>
        <v>17</v>
      </c>
    </row>
    <row r="803" spans="1:6" x14ac:dyDescent="0.25">
      <c r="A803" s="1">
        <v>41960</v>
      </c>
      <c r="B803" s="1">
        <v>41964</v>
      </c>
      <c r="C803">
        <v>3.94</v>
      </c>
      <c r="D803">
        <v>0.1</v>
      </c>
      <c r="E803">
        <v>6</v>
      </c>
      <c r="F803">
        <f xml:space="preserve"> WYNAJEM3[[#This Row],[data_wyjazdu]] - WYNAJEM3[[#This Row],[data_przyjazdu]]</f>
        <v>4</v>
      </c>
    </row>
    <row r="804" spans="1:6" x14ac:dyDescent="0.25">
      <c r="A804" s="1">
        <v>41960</v>
      </c>
      <c r="B804" s="1">
        <v>41980</v>
      </c>
      <c r="C804">
        <v>3.57</v>
      </c>
      <c r="D804">
        <v>0.09</v>
      </c>
      <c r="E804">
        <v>6</v>
      </c>
      <c r="F804">
        <f xml:space="preserve"> WYNAJEM3[[#This Row],[data_wyjazdu]] - WYNAJEM3[[#This Row],[data_przyjazdu]]</f>
        <v>20</v>
      </c>
    </row>
    <row r="805" spans="1:6" x14ac:dyDescent="0.25">
      <c r="A805" s="1">
        <v>41960</v>
      </c>
      <c r="B805" s="1">
        <v>41980</v>
      </c>
      <c r="C805">
        <v>14.13</v>
      </c>
      <c r="D805">
        <v>0.37</v>
      </c>
      <c r="E805">
        <v>5</v>
      </c>
      <c r="F805">
        <f xml:space="preserve"> WYNAJEM3[[#This Row],[data_wyjazdu]] - WYNAJEM3[[#This Row],[data_przyjazdu]]</f>
        <v>20</v>
      </c>
    </row>
    <row r="806" spans="1:6" x14ac:dyDescent="0.25">
      <c r="A806" s="1">
        <v>41960</v>
      </c>
      <c r="B806" s="1">
        <v>41967</v>
      </c>
      <c r="C806">
        <v>5.57</v>
      </c>
      <c r="D806">
        <v>0.15</v>
      </c>
      <c r="E806">
        <v>2</v>
      </c>
      <c r="F806">
        <f xml:space="preserve"> WYNAJEM3[[#This Row],[data_wyjazdu]] - WYNAJEM3[[#This Row],[data_przyjazdu]]</f>
        <v>7</v>
      </c>
    </row>
    <row r="807" spans="1:6" x14ac:dyDescent="0.25">
      <c r="A807" s="1">
        <v>41960</v>
      </c>
      <c r="B807" s="1">
        <v>41979</v>
      </c>
      <c r="C807">
        <v>8.7200000000000006</v>
      </c>
      <c r="D807">
        <v>0.23</v>
      </c>
      <c r="E807">
        <v>2</v>
      </c>
      <c r="F807">
        <f xml:space="preserve"> WYNAJEM3[[#This Row],[data_wyjazdu]] - WYNAJEM3[[#This Row],[data_przyjazdu]]</f>
        <v>19</v>
      </c>
    </row>
    <row r="808" spans="1:6" x14ac:dyDescent="0.25">
      <c r="A808" s="1">
        <v>41961</v>
      </c>
      <c r="B808" s="1">
        <v>41987</v>
      </c>
      <c r="C808">
        <v>5.67</v>
      </c>
      <c r="D808">
        <v>0.15</v>
      </c>
      <c r="E808">
        <v>3</v>
      </c>
      <c r="F808">
        <f xml:space="preserve"> WYNAJEM3[[#This Row],[data_wyjazdu]] - WYNAJEM3[[#This Row],[data_przyjazdu]]</f>
        <v>26</v>
      </c>
    </row>
    <row r="809" spans="1:6" x14ac:dyDescent="0.25">
      <c r="A809" s="1">
        <v>41961</v>
      </c>
      <c r="B809" s="1">
        <v>41972</v>
      </c>
      <c r="C809">
        <v>3.94</v>
      </c>
      <c r="D809">
        <v>0.1</v>
      </c>
      <c r="E809">
        <v>4</v>
      </c>
      <c r="F809">
        <f xml:space="preserve"> WYNAJEM3[[#This Row],[data_wyjazdu]] - WYNAJEM3[[#This Row],[data_przyjazdu]]</f>
        <v>11</v>
      </c>
    </row>
    <row r="810" spans="1:6" x14ac:dyDescent="0.25">
      <c r="A810" s="1">
        <v>41961</v>
      </c>
      <c r="B810" s="1">
        <v>41966</v>
      </c>
      <c r="C810">
        <v>5.67</v>
      </c>
      <c r="D810">
        <v>0.15</v>
      </c>
      <c r="E810">
        <v>3</v>
      </c>
      <c r="F810">
        <f xml:space="preserve"> WYNAJEM3[[#This Row],[data_wyjazdu]] - WYNAJEM3[[#This Row],[data_przyjazdu]]</f>
        <v>5</v>
      </c>
    </row>
    <row r="811" spans="1:6" x14ac:dyDescent="0.25">
      <c r="A811" s="1">
        <v>41962</v>
      </c>
      <c r="B811" s="1">
        <v>41984</v>
      </c>
      <c r="C811">
        <v>6.34</v>
      </c>
      <c r="D811">
        <v>0.17</v>
      </c>
      <c r="E811">
        <v>6</v>
      </c>
      <c r="F811">
        <f xml:space="preserve"> WYNAJEM3[[#This Row],[data_wyjazdu]] - WYNAJEM3[[#This Row],[data_przyjazdu]]</f>
        <v>22</v>
      </c>
    </row>
    <row r="812" spans="1:6" x14ac:dyDescent="0.25">
      <c r="A812" s="1">
        <v>41962</v>
      </c>
      <c r="B812" s="1">
        <v>41970</v>
      </c>
      <c r="C812">
        <v>2.0099999999999998</v>
      </c>
      <c r="D812">
        <v>0.05</v>
      </c>
      <c r="E812">
        <v>4</v>
      </c>
      <c r="F812">
        <f xml:space="preserve"> WYNAJEM3[[#This Row],[data_wyjazdu]] - WYNAJEM3[[#This Row],[data_przyjazdu]]</f>
        <v>8</v>
      </c>
    </row>
    <row r="813" spans="1:6" x14ac:dyDescent="0.25">
      <c r="A813" s="1">
        <v>41962</v>
      </c>
      <c r="B813" s="1">
        <v>41972</v>
      </c>
      <c r="C813">
        <v>5.67</v>
      </c>
      <c r="D813">
        <v>0.15</v>
      </c>
      <c r="E813">
        <v>3</v>
      </c>
      <c r="F813">
        <f xml:space="preserve"> WYNAJEM3[[#This Row],[data_wyjazdu]] - WYNAJEM3[[#This Row],[data_przyjazdu]]</f>
        <v>10</v>
      </c>
    </row>
    <row r="814" spans="1:6" x14ac:dyDescent="0.25">
      <c r="A814" s="1">
        <v>41962</v>
      </c>
      <c r="B814" s="1">
        <v>41969</v>
      </c>
      <c r="C814">
        <v>6.43</v>
      </c>
      <c r="D814">
        <v>0.17</v>
      </c>
      <c r="E814">
        <v>5</v>
      </c>
      <c r="F814">
        <f xml:space="preserve"> WYNAJEM3[[#This Row],[data_wyjazdu]] - WYNAJEM3[[#This Row],[data_przyjazdu]]</f>
        <v>7</v>
      </c>
    </row>
    <row r="815" spans="1:6" x14ac:dyDescent="0.25">
      <c r="A815" s="1">
        <v>41963</v>
      </c>
      <c r="B815" s="1">
        <v>41971</v>
      </c>
      <c r="C815">
        <v>8.39</v>
      </c>
      <c r="D815">
        <v>0.22</v>
      </c>
      <c r="E815">
        <v>6</v>
      </c>
      <c r="F815">
        <f xml:space="preserve"> WYNAJEM3[[#This Row],[data_wyjazdu]] - WYNAJEM3[[#This Row],[data_przyjazdu]]</f>
        <v>8</v>
      </c>
    </row>
    <row r="816" spans="1:6" x14ac:dyDescent="0.25">
      <c r="A816" s="1">
        <v>41963</v>
      </c>
      <c r="B816" s="1">
        <v>41968</v>
      </c>
      <c r="C816">
        <v>5.67</v>
      </c>
      <c r="D816">
        <v>0.15</v>
      </c>
      <c r="E816">
        <v>5</v>
      </c>
      <c r="F816">
        <f xml:space="preserve"> WYNAJEM3[[#This Row],[data_wyjazdu]] - WYNAJEM3[[#This Row],[data_przyjazdu]]</f>
        <v>5</v>
      </c>
    </row>
    <row r="817" spans="1:6" x14ac:dyDescent="0.25">
      <c r="A817" s="1">
        <v>41963</v>
      </c>
      <c r="B817" s="1">
        <v>41965</v>
      </c>
      <c r="C817">
        <v>2.72</v>
      </c>
      <c r="D817">
        <v>7.0000000000000007E-2</v>
      </c>
      <c r="E817">
        <v>2</v>
      </c>
      <c r="F817">
        <f xml:space="preserve"> WYNAJEM3[[#This Row],[data_wyjazdu]] - WYNAJEM3[[#This Row],[data_przyjazdu]]</f>
        <v>2</v>
      </c>
    </row>
    <row r="818" spans="1:6" x14ac:dyDescent="0.25">
      <c r="A818" s="1">
        <v>41964</v>
      </c>
      <c r="B818" s="1">
        <v>41980</v>
      </c>
      <c r="C818">
        <v>7.31</v>
      </c>
      <c r="D818">
        <v>0.19</v>
      </c>
      <c r="E818">
        <v>4</v>
      </c>
      <c r="F818">
        <f xml:space="preserve"> WYNAJEM3[[#This Row],[data_wyjazdu]] - WYNAJEM3[[#This Row],[data_przyjazdu]]</f>
        <v>16</v>
      </c>
    </row>
    <row r="819" spans="1:6" x14ac:dyDescent="0.25">
      <c r="A819" s="1">
        <v>41964</v>
      </c>
      <c r="B819" s="1">
        <v>41990</v>
      </c>
      <c r="C819">
        <v>5.23</v>
      </c>
      <c r="D819">
        <v>0.14000000000000001</v>
      </c>
      <c r="E819">
        <v>6</v>
      </c>
      <c r="F819">
        <f xml:space="preserve"> WYNAJEM3[[#This Row],[data_wyjazdu]] - WYNAJEM3[[#This Row],[data_przyjazdu]]</f>
        <v>26</v>
      </c>
    </row>
    <row r="820" spans="1:6" x14ac:dyDescent="0.25">
      <c r="A820" s="1">
        <v>41965</v>
      </c>
      <c r="B820" s="1">
        <v>41968</v>
      </c>
      <c r="C820">
        <v>8.83</v>
      </c>
      <c r="D820">
        <v>0.23</v>
      </c>
      <c r="E820">
        <v>6</v>
      </c>
      <c r="F820">
        <f xml:space="preserve"> WYNAJEM3[[#This Row],[data_wyjazdu]] - WYNAJEM3[[#This Row],[data_przyjazdu]]</f>
        <v>3</v>
      </c>
    </row>
    <row r="821" spans="1:6" x14ac:dyDescent="0.25">
      <c r="A821" s="1">
        <v>41965</v>
      </c>
      <c r="B821" s="1">
        <v>41971</v>
      </c>
      <c r="C821">
        <v>2.0099999999999998</v>
      </c>
      <c r="D821">
        <v>0.05</v>
      </c>
      <c r="E821">
        <v>5</v>
      </c>
      <c r="F821">
        <f xml:space="preserve"> WYNAJEM3[[#This Row],[data_wyjazdu]] - WYNAJEM3[[#This Row],[data_przyjazdu]]</f>
        <v>6</v>
      </c>
    </row>
    <row r="822" spans="1:6" x14ac:dyDescent="0.25">
      <c r="A822" s="1">
        <v>41965</v>
      </c>
      <c r="B822" s="1">
        <v>41983</v>
      </c>
      <c r="C822">
        <v>8.89</v>
      </c>
      <c r="D822">
        <v>0.23</v>
      </c>
      <c r="E822">
        <v>6</v>
      </c>
      <c r="F822">
        <f xml:space="preserve"> WYNAJEM3[[#This Row],[data_wyjazdu]] - WYNAJEM3[[#This Row],[data_przyjazdu]]</f>
        <v>18</v>
      </c>
    </row>
    <row r="823" spans="1:6" x14ac:dyDescent="0.25">
      <c r="A823" s="1">
        <v>41965</v>
      </c>
      <c r="B823" s="1">
        <v>41984</v>
      </c>
      <c r="C823">
        <v>6.34</v>
      </c>
      <c r="D823">
        <v>0.17</v>
      </c>
      <c r="E823">
        <v>6</v>
      </c>
      <c r="F823">
        <f xml:space="preserve"> WYNAJEM3[[#This Row],[data_wyjazdu]] - WYNAJEM3[[#This Row],[data_przyjazdu]]</f>
        <v>19</v>
      </c>
    </row>
    <row r="824" spans="1:6" x14ac:dyDescent="0.25">
      <c r="A824" s="1">
        <v>41965</v>
      </c>
      <c r="B824" s="1">
        <v>41968</v>
      </c>
      <c r="C824">
        <v>14.31</v>
      </c>
      <c r="D824">
        <v>0.38</v>
      </c>
      <c r="E824">
        <v>3</v>
      </c>
      <c r="F824">
        <f xml:space="preserve"> WYNAJEM3[[#This Row],[data_wyjazdu]] - WYNAJEM3[[#This Row],[data_przyjazdu]]</f>
        <v>3</v>
      </c>
    </row>
    <row r="825" spans="1:6" x14ac:dyDescent="0.25">
      <c r="A825" s="1">
        <v>41965</v>
      </c>
      <c r="B825" s="1">
        <v>41973</v>
      </c>
      <c r="C825">
        <v>11.42</v>
      </c>
      <c r="D825">
        <v>0.3</v>
      </c>
      <c r="E825">
        <v>6</v>
      </c>
      <c r="F825">
        <f xml:space="preserve"> WYNAJEM3[[#This Row],[data_wyjazdu]] - WYNAJEM3[[#This Row],[data_przyjazdu]]</f>
        <v>8</v>
      </c>
    </row>
    <row r="826" spans="1:6" x14ac:dyDescent="0.25">
      <c r="A826" s="1">
        <v>41965</v>
      </c>
      <c r="B826" s="1">
        <v>41969</v>
      </c>
      <c r="C826">
        <v>9.4600000000000009</v>
      </c>
      <c r="D826">
        <v>0.25</v>
      </c>
      <c r="E826">
        <v>4</v>
      </c>
      <c r="F826">
        <f xml:space="preserve"> WYNAJEM3[[#This Row],[data_wyjazdu]] - WYNAJEM3[[#This Row],[data_przyjazdu]]</f>
        <v>4</v>
      </c>
    </row>
    <row r="827" spans="1:6" x14ac:dyDescent="0.25">
      <c r="A827" s="1">
        <v>41966</v>
      </c>
      <c r="B827" s="1">
        <v>41984</v>
      </c>
      <c r="C827">
        <v>6.58</v>
      </c>
      <c r="D827">
        <v>0.17</v>
      </c>
      <c r="E827">
        <v>5</v>
      </c>
      <c r="F827">
        <f xml:space="preserve"> WYNAJEM3[[#This Row],[data_wyjazdu]] - WYNAJEM3[[#This Row],[data_przyjazdu]]</f>
        <v>18</v>
      </c>
    </row>
    <row r="828" spans="1:6" x14ac:dyDescent="0.25">
      <c r="A828" s="1">
        <v>41967</v>
      </c>
      <c r="B828" s="1">
        <v>41991</v>
      </c>
      <c r="C828">
        <v>11.42</v>
      </c>
      <c r="D828">
        <v>0.3</v>
      </c>
      <c r="E828">
        <v>4</v>
      </c>
      <c r="F828">
        <f xml:space="preserve"> WYNAJEM3[[#This Row],[data_wyjazdu]] - WYNAJEM3[[#This Row],[data_przyjazdu]]</f>
        <v>24</v>
      </c>
    </row>
    <row r="829" spans="1:6" x14ac:dyDescent="0.25">
      <c r="A829" s="1">
        <v>41967</v>
      </c>
      <c r="B829" s="1">
        <v>41988</v>
      </c>
      <c r="C829">
        <v>2.29</v>
      </c>
      <c r="D829">
        <v>0.06</v>
      </c>
      <c r="E829">
        <v>6</v>
      </c>
      <c r="F829">
        <f xml:space="preserve"> WYNAJEM3[[#This Row],[data_wyjazdu]] - WYNAJEM3[[#This Row],[data_przyjazdu]]</f>
        <v>21</v>
      </c>
    </row>
    <row r="830" spans="1:6" x14ac:dyDescent="0.25">
      <c r="A830" s="1">
        <v>41968</v>
      </c>
      <c r="B830" s="1">
        <v>41993</v>
      </c>
      <c r="C830">
        <v>8.7200000000000006</v>
      </c>
      <c r="D830">
        <v>0.23</v>
      </c>
      <c r="E830">
        <v>3</v>
      </c>
      <c r="F830">
        <f xml:space="preserve"> WYNAJEM3[[#This Row],[data_wyjazdu]] - WYNAJEM3[[#This Row],[data_przyjazdu]]</f>
        <v>25</v>
      </c>
    </row>
    <row r="831" spans="1:6" x14ac:dyDescent="0.25">
      <c r="A831" s="1">
        <v>41968</v>
      </c>
      <c r="B831" s="1">
        <v>41974</v>
      </c>
      <c r="C831">
        <v>2.29</v>
      </c>
      <c r="D831">
        <v>0.06</v>
      </c>
      <c r="E831">
        <v>3</v>
      </c>
      <c r="F831">
        <f xml:space="preserve"> WYNAJEM3[[#This Row],[data_wyjazdu]] - WYNAJEM3[[#This Row],[data_przyjazdu]]</f>
        <v>6</v>
      </c>
    </row>
    <row r="832" spans="1:6" x14ac:dyDescent="0.25">
      <c r="A832" s="1">
        <v>41968</v>
      </c>
      <c r="B832" s="1">
        <v>41975</v>
      </c>
      <c r="C832">
        <v>6.58</v>
      </c>
      <c r="D832">
        <v>0.17</v>
      </c>
      <c r="E832">
        <v>3</v>
      </c>
      <c r="F832">
        <f xml:space="preserve"> WYNAJEM3[[#This Row],[data_wyjazdu]] - WYNAJEM3[[#This Row],[data_przyjazdu]]</f>
        <v>7</v>
      </c>
    </row>
    <row r="833" spans="1:6" x14ac:dyDescent="0.25">
      <c r="A833" s="1">
        <v>41970</v>
      </c>
      <c r="B833" s="1">
        <v>41972</v>
      </c>
      <c r="C833">
        <v>7.35</v>
      </c>
      <c r="D833">
        <v>0.19</v>
      </c>
      <c r="E833">
        <v>6</v>
      </c>
      <c r="F833">
        <f xml:space="preserve"> WYNAJEM3[[#This Row],[data_wyjazdu]] - WYNAJEM3[[#This Row],[data_przyjazdu]]</f>
        <v>2</v>
      </c>
    </row>
    <row r="834" spans="1:6" x14ac:dyDescent="0.25">
      <c r="A834" s="1">
        <v>41970</v>
      </c>
      <c r="B834" s="1">
        <v>41982</v>
      </c>
      <c r="C834">
        <v>6.43</v>
      </c>
      <c r="D834">
        <v>0.17</v>
      </c>
      <c r="E834">
        <v>4</v>
      </c>
      <c r="F834">
        <f xml:space="preserve"> WYNAJEM3[[#This Row],[data_wyjazdu]] - WYNAJEM3[[#This Row],[data_przyjazdu]]</f>
        <v>12</v>
      </c>
    </row>
    <row r="835" spans="1:6" x14ac:dyDescent="0.25">
      <c r="A835" s="1">
        <v>41970</v>
      </c>
      <c r="B835" s="1">
        <v>41987</v>
      </c>
      <c r="C835">
        <v>8.65</v>
      </c>
      <c r="D835">
        <v>0.23</v>
      </c>
      <c r="E835">
        <v>3</v>
      </c>
      <c r="F835">
        <f xml:space="preserve"> WYNAJEM3[[#This Row],[data_wyjazdu]] - WYNAJEM3[[#This Row],[data_przyjazdu]]</f>
        <v>17</v>
      </c>
    </row>
    <row r="836" spans="1:6" x14ac:dyDescent="0.25">
      <c r="A836" s="1">
        <v>41970</v>
      </c>
      <c r="B836" s="1">
        <v>41994</v>
      </c>
      <c r="C836">
        <v>13.82</v>
      </c>
      <c r="D836">
        <v>0.36</v>
      </c>
      <c r="E836">
        <v>3</v>
      </c>
      <c r="F836">
        <f xml:space="preserve"> WYNAJEM3[[#This Row],[data_wyjazdu]] - WYNAJEM3[[#This Row],[data_przyjazdu]]</f>
        <v>24</v>
      </c>
    </row>
    <row r="837" spans="1:6" x14ac:dyDescent="0.25">
      <c r="A837" s="1">
        <v>41970</v>
      </c>
      <c r="B837" s="1">
        <v>41992</v>
      </c>
      <c r="C837">
        <v>5.67</v>
      </c>
      <c r="D837">
        <v>0.15</v>
      </c>
      <c r="E837">
        <v>4</v>
      </c>
      <c r="F837">
        <f xml:space="preserve"> WYNAJEM3[[#This Row],[data_wyjazdu]] - WYNAJEM3[[#This Row],[data_przyjazdu]]</f>
        <v>22</v>
      </c>
    </row>
    <row r="838" spans="1:6" x14ac:dyDescent="0.25">
      <c r="A838" s="1">
        <v>41970</v>
      </c>
      <c r="B838" s="1">
        <v>41986</v>
      </c>
      <c r="C838">
        <v>6.75</v>
      </c>
      <c r="D838">
        <v>0.18</v>
      </c>
      <c r="E838">
        <v>2</v>
      </c>
      <c r="F838">
        <f xml:space="preserve"> WYNAJEM3[[#This Row],[data_wyjazdu]] - WYNAJEM3[[#This Row],[data_przyjazdu]]</f>
        <v>16</v>
      </c>
    </row>
    <row r="839" spans="1:6" x14ac:dyDescent="0.25">
      <c r="A839" s="1">
        <v>41970</v>
      </c>
      <c r="B839" s="1">
        <v>41992</v>
      </c>
      <c r="C839">
        <v>5.67</v>
      </c>
      <c r="D839">
        <v>0.15</v>
      </c>
      <c r="E839">
        <v>5</v>
      </c>
      <c r="F839">
        <f xml:space="preserve"> WYNAJEM3[[#This Row],[data_wyjazdu]] - WYNAJEM3[[#This Row],[data_przyjazdu]]</f>
        <v>22</v>
      </c>
    </row>
    <row r="840" spans="1:6" x14ac:dyDescent="0.25">
      <c r="A840" s="1">
        <v>41970</v>
      </c>
      <c r="B840" s="1">
        <v>41987</v>
      </c>
      <c r="C840">
        <v>14.31</v>
      </c>
      <c r="D840">
        <v>0.38</v>
      </c>
      <c r="E840">
        <v>3</v>
      </c>
      <c r="F840">
        <f xml:space="preserve"> WYNAJEM3[[#This Row],[data_wyjazdu]] - WYNAJEM3[[#This Row],[data_przyjazdu]]</f>
        <v>17</v>
      </c>
    </row>
    <row r="841" spans="1:6" x14ac:dyDescent="0.25">
      <c r="A841" s="1">
        <v>41970</v>
      </c>
      <c r="B841" s="1">
        <v>41979</v>
      </c>
      <c r="C841">
        <v>16.55</v>
      </c>
      <c r="D841">
        <v>0.44</v>
      </c>
      <c r="E841">
        <v>4</v>
      </c>
      <c r="F841">
        <f xml:space="preserve"> WYNAJEM3[[#This Row],[data_wyjazdu]] - WYNAJEM3[[#This Row],[data_przyjazdu]]</f>
        <v>9</v>
      </c>
    </row>
    <row r="842" spans="1:6" x14ac:dyDescent="0.25">
      <c r="A842" s="1">
        <v>41970</v>
      </c>
      <c r="B842" s="1">
        <v>41974</v>
      </c>
      <c r="C842">
        <v>11.44</v>
      </c>
      <c r="D842">
        <v>0.3</v>
      </c>
      <c r="E842">
        <v>4</v>
      </c>
      <c r="F842">
        <f xml:space="preserve"> WYNAJEM3[[#This Row],[data_wyjazdu]] - WYNAJEM3[[#This Row],[data_przyjazdu]]</f>
        <v>4</v>
      </c>
    </row>
    <row r="843" spans="1:6" x14ac:dyDescent="0.25">
      <c r="A843" s="1">
        <v>41970</v>
      </c>
      <c r="B843" s="1">
        <v>41992</v>
      </c>
      <c r="C843">
        <v>4.66</v>
      </c>
      <c r="D843">
        <v>0.12</v>
      </c>
      <c r="E843">
        <v>4</v>
      </c>
      <c r="F843">
        <f xml:space="preserve"> WYNAJEM3[[#This Row],[data_wyjazdu]] - WYNAJEM3[[#This Row],[data_przyjazdu]]</f>
        <v>22</v>
      </c>
    </row>
    <row r="844" spans="1:6" x14ac:dyDescent="0.25">
      <c r="A844" s="1">
        <v>41970</v>
      </c>
      <c r="B844" s="1">
        <v>41995</v>
      </c>
      <c r="C844">
        <v>3.73</v>
      </c>
      <c r="D844">
        <v>0.1</v>
      </c>
      <c r="E844">
        <v>6</v>
      </c>
      <c r="F844">
        <f xml:space="preserve"> WYNAJEM3[[#This Row],[data_wyjazdu]] - WYNAJEM3[[#This Row],[data_przyjazdu]]</f>
        <v>25</v>
      </c>
    </row>
    <row r="845" spans="1:6" x14ac:dyDescent="0.25">
      <c r="A845" s="1">
        <v>41970</v>
      </c>
      <c r="B845" s="1">
        <v>41982</v>
      </c>
      <c r="C845">
        <v>6.75</v>
      </c>
      <c r="D845">
        <v>0.18</v>
      </c>
      <c r="E845">
        <v>3</v>
      </c>
      <c r="F845">
        <f xml:space="preserve"> WYNAJEM3[[#This Row],[data_wyjazdu]] - WYNAJEM3[[#This Row],[data_przyjazdu]]</f>
        <v>12</v>
      </c>
    </row>
    <row r="846" spans="1:6" x14ac:dyDescent="0.25">
      <c r="A846" s="1">
        <v>41970</v>
      </c>
      <c r="B846" s="1">
        <v>41981</v>
      </c>
      <c r="C846">
        <v>2.72</v>
      </c>
      <c r="D846">
        <v>7.0000000000000007E-2</v>
      </c>
      <c r="E846">
        <v>6</v>
      </c>
      <c r="F846">
        <f xml:space="preserve"> WYNAJEM3[[#This Row],[data_wyjazdu]] - WYNAJEM3[[#This Row],[data_przyjazdu]]</f>
        <v>11</v>
      </c>
    </row>
    <row r="847" spans="1:6" x14ac:dyDescent="0.25">
      <c r="A847" s="1">
        <v>41970</v>
      </c>
      <c r="B847" s="1">
        <v>41990</v>
      </c>
      <c r="C847">
        <v>7.71</v>
      </c>
      <c r="D847">
        <v>0.2</v>
      </c>
      <c r="E847">
        <v>6</v>
      </c>
      <c r="F847">
        <f xml:space="preserve"> WYNAJEM3[[#This Row],[data_wyjazdu]] - WYNAJEM3[[#This Row],[data_przyjazdu]]</f>
        <v>20</v>
      </c>
    </row>
    <row r="848" spans="1:6" x14ac:dyDescent="0.25">
      <c r="A848" s="1">
        <v>41970</v>
      </c>
      <c r="B848" s="1">
        <v>41972</v>
      </c>
      <c r="C848">
        <v>6.58</v>
      </c>
      <c r="D848">
        <v>0.17</v>
      </c>
      <c r="E848">
        <v>6</v>
      </c>
      <c r="F848">
        <f xml:space="preserve"> WYNAJEM3[[#This Row],[data_wyjazdu]] - WYNAJEM3[[#This Row],[data_przyjazdu]]</f>
        <v>2</v>
      </c>
    </row>
    <row r="849" spans="1:6" x14ac:dyDescent="0.25">
      <c r="A849" s="1">
        <v>41970</v>
      </c>
      <c r="B849" s="1">
        <v>41986</v>
      </c>
      <c r="C849">
        <v>8.89</v>
      </c>
      <c r="D849">
        <v>0.23</v>
      </c>
      <c r="E849">
        <v>2</v>
      </c>
      <c r="F849">
        <f xml:space="preserve"> WYNAJEM3[[#This Row],[data_wyjazdu]] - WYNAJEM3[[#This Row],[data_przyjazdu]]</f>
        <v>16</v>
      </c>
    </row>
    <row r="850" spans="1:6" x14ac:dyDescent="0.25">
      <c r="A850" s="1">
        <v>41970</v>
      </c>
      <c r="B850" s="1">
        <v>41986</v>
      </c>
      <c r="C850">
        <v>5.47</v>
      </c>
      <c r="D850">
        <v>0.14000000000000001</v>
      </c>
      <c r="E850">
        <v>4</v>
      </c>
      <c r="F850">
        <f xml:space="preserve"> WYNAJEM3[[#This Row],[data_wyjazdu]] - WYNAJEM3[[#This Row],[data_przyjazdu]]</f>
        <v>16</v>
      </c>
    </row>
    <row r="851" spans="1:6" x14ac:dyDescent="0.25">
      <c r="A851" s="1">
        <v>41971</v>
      </c>
      <c r="B851" s="1">
        <v>41987</v>
      </c>
      <c r="C851">
        <v>12.01</v>
      </c>
      <c r="D851">
        <v>0.32</v>
      </c>
      <c r="E851">
        <v>2</v>
      </c>
      <c r="F851">
        <f xml:space="preserve"> WYNAJEM3[[#This Row],[data_wyjazdu]] - WYNAJEM3[[#This Row],[data_przyjazdu]]</f>
        <v>16</v>
      </c>
    </row>
    <row r="852" spans="1:6" x14ac:dyDescent="0.25">
      <c r="A852" s="1">
        <v>41971</v>
      </c>
      <c r="B852" s="1">
        <v>41976</v>
      </c>
      <c r="C852">
        <v>11.44</v>
      </c>
      <c r="D852">
        <v>0.3</v>
      </c>
      <c r="E852">
        <v>3</v>
      </c>
      <c r="F852">
        <f xml:space="preserve"> WYNAJEM3[[#This Row],[data_wyjazdu]] - WYNAJEM3[[#This Row],[data_przyjazdu]]</f>
        <v>5</v>
      </c>
    </row>
    <row r="853" spans="1:6" x14ac:dyDescent="0.25">
      <c r="A853" s="1">
        <v>41971</v>
      </c>
      <c r="B853" s="1">
        <v>41986</v>
      </c>
      <c r="C853">
        <v>14.13</v>
      </c>
      <c r="D853">
        <v>0.37</v>
      </c>
      <c r="E853">
        <v>3</v>
      </c>
      <c r="F853">
        <f xml:space="preserve"> WYNAJEM3[[#This Row],[data_wyjazdu]] - WYNAJEM3[[#This Row],[data_przyjazdu]]</f>
        <v>15</v>
      </c>
    </row>
    <row r="854" spans="1:6" x14ac:dyDescent="0.25">
      <c r="A854" s="1">
        <v>41971</v>
      </c>
      <c r="B854" s="1">
        <v>41983</v>
      </c>
      <c r="C854">
        <v>8.9499999999999993</v>
      </c>
      <c r="D854">
        <v>0.24</v>
      </c>
      <c r="E854">
        <v>6</v>
      </c>
      <c r="F854">
        <f xml:space="preserve"> WYNAJEM3[[#This Row],[data_wyjazdu]] - WYNAJEM3[[#This Row],[data_przyjazdu]]</f>
        <v>12</v>
      </c>
    </row>
    <row r="855" spans="1:6" x14ac:dyDescent="0.25">
      <c r="A855" s="1">
        <v>41971</v>
      </c>
      <c r="B855" s="1">
        <v>41973</v>
      </c>
      <c r="C855">
        <v>8.89</v>
      </c>
      <c r="D855">
        <v>0.23</v>
      </c>
      <c r="E855">
        <v>2</v>
      </c>
      <c r="F855">
        <f xml:space="preserve"> WYNAJEM3[[#This Row],[data_wyjazdu]] - WYNAJEM3[[#This Row],[data_przyjazdu]]</f>
        <v>2</v>
      </c>
    </row>
    <row r="856" spans="1:6" x14ac:dyDescent="0.25">
      <c r="A856" s="1">
        <v>41971</v>
      </c>
      <c r="B856" s="1">
        <v>41975</v>
      </c>
      <c r="C856">
        <v>6.43</v>
      </c>
      <c r="D856">
        <v>0.17</v>
      </c>
      <c r="E856">
        <v>5</v>
      </c>
      <c r="F856">
        <f xml:space="preserve"> WYNAJEM3[[#This Row],[data_wyjazdu]] - WYNAJEM3[[#This Row],[data_przyjazdu]]</f>
        <v>4</v>
      </c>
    </row>
    <row r="857" spans="1:6" x14ac:dyDescent="0.25">
      <c r="A857" s="1">
        <v>41971</v>
      </c>
      <c r="B857" s="1">
        <v>41974</v>
      </c>
      <c r="C857">
        <v>3.94</v>
      </c>
      <c r="D857">
        <v>0.1</v>
      </c>
      <c r="E857">
        <v>3</v>
      </c>
      <c r="F857">
        <f xml:space="preserve"> WYNAJEM3[[#This Row],[data_wyjazdu]] - WYNAJEM3[[#This Row],[data_przyjazdu]]</f>
        <v>3</v>
      </c>
    </row>
    <row r="858" spans="1:6" x14ac:dyDescent="0.25">
      <c r="A858" s="1">
        <v>41971</v>
      </c>
      <c r="B858" s="1">
        <v>41973</v>
      </c>
      <c r="C858">
        <v>6.23</v>
      </c>
      <c r="D858">
        <v>0.16</v>
      </c>
      <c r="E858">
        <v>3</v>
      </c>
      <c r="F858">
        <f xml:space="preserve"> WYNAJEM3[[#This Row],[data_wyjazdu]] - WYNAJEM3[[#This Row],[data_przyjazdu]]</f>
        <v>2</v>
      </c>
    </row>
    <row r="859" spans="1:6" x14ac:dyDescent="0.25">
      <c r="A859" s="1">
        <v>41971</v>
      </c>
      <c r="B859" s="1">
        <v>41999</v>
      </c>
      <c r="C859">
        <v>13.82</v>
      </c>
      <c r="D859">
        <v>0.36</v>
      </c>
      <c r="E859">
        <v>3</v>
      </c>
      <c r="F859">
        <f xml:space="preserve"> WYNAJEM3[[#This Row],[data_wyjazdu]] - WYNAJEM3[[#This Row],[data_przyjazdu]]</f>
        <v>28</v>
      </c>
    </row>
    <row r="860" spans="1:6" x14ac:dyDescent="0.25">
      <c r="A860" s="1">
        <v>41971</v>
      </c>
      <c r="B860" s="1">
        <v>41987</v>
      </c>
      <c r="C860">
        <v>4.66</v>
      </c>
      <c r="D860">
        <v>0.12</v>
      </c>
      <c r="E860">
        <v>4</v>
      </c>
      <c r="F860">
        <f xml:space="preserve"> WYNAJEM3[[#This Row],[data_wyjazdu]] - WYNAJEM3[[#This Row],[data_przyjazdu]]</f>
        <v>16</v>
      </c>
    </row>
    <row r="861" spans="1:6" x14ac:dyDescent="0.25">
      <c r="A861" s="1">
        <v>41971</v>
      </c>
      <c r="B861" s="1">
        <v>41998</v>
      </c>
      <c r="C861">
        <v>6.58</v>
      </c>
      <c r="D861">
        <v>0.17</v>
      </c>
      <c r="E861">
        <v>6</v>
      </c>
      <c r="F861">
        <f xml:space="preserve"> WYNAJEM3[[#This Row],[data_wyjazdu]] - WYNAJEM3[[#This Row],[data_przyjazdu]]</f>
        <v>27</v>
      </c>
    </row>
    <row r="862" spans="1:6" x14ac:dyDescent="0.25">
      <c r="A862" s="1">
        <v>41971</v>
      </c>
      <c r="B862" s="1">
        <v>41987</v>
      </c>
      <c r="C862">
        <v>5.23</v>
      </c>
      <c r="D862">
        <v>0.14000000000000001</v>
      </c>
      <c r="E862">
        <v>2</v>
      </c>
      <c r="F862">
        <f xml:space="preserve"> WYNAJEM3[[#This Row],[data_wyjazdu]] - WYNAJEM3[[#This Row],[data_przyjazdu]]</f>
        <v>16</v>
      </c>
    </row>
    <row r="863" spans="1:6" x14ac:dyDescent="0.25">
      <c r="A863" s="1">
        <v>41971</v>
      </c>
      <c r="B863" s="1">
        <v>41999</v>
      </c>
      <c r="C863">
        <v>14</v>
      </c>
      <c r="D863">
        <v>0.37</v>
      </c>
      <c r="E863">
        <v>6</v>
      </c>
      <c r="F863">
        <f xml:space="preserve"> WYNAJEM3[[#This Row],[data_wyjazdu]] - WYNAJEM3[[#This Row],[data_przyjazdu]]</f>
        <v>28</v>
      </c>
    </row>
    <row r="864" spans="1:6" x14ac:dyDescent="0.25">
      <c r="A864" s="1">
        <v>41971</v>
      </c>
      <c r="B864" s="1">
        <v>41993</v>
      </c>
      <c r="C864">
        <v>8.65</v>
      </c>
      <c r="D864">
        <v>0.23</v>
      </c>
      <c r="E864">
        <v>2</v>
      </c>
      <c r="F864">
        <f xml:space="preserve"> WYNAJEM3[[#This Row],[data_wyjazdu]] - WYNAJEM3[[#This Row],[data_przyjazdu]]</f>
        <v>22</v>
      </c>
    </row>
    <row r="865" spans="1:6" x14ac:dyDescent="0.25">
      <c r="A865" s="1">
        <v>41971</v>
      </c>
      <c r="B865" s="1">
        <v>41988</v>
      </c>
      <c r="C865">
        <v>19.54</v>
      </c>
      <c r="D865">
        <v>0.51</v>
      </c>
      <c r="E865">
        <v>6</v>
      </c>
      <c r="F865">
        <f xml:space="preserve"> WYNAJEM3[[#This Row],[data_wyjazdu]] - WYNAJEM3[[#This Row],[data_przyjazdu]]</f>
        <v>17</v>
      </c>
    </row>
    <row r="866" spans="1:6" x14ac:dyDescent="0.25">
      <c r="A866" s="1">
        <v>41971</v>
      </c>
      <c r="B866" s="1">
        <v>41994</v>
      </c>
      <c r="C866">
        <v>8.83</v>
      </c>
      <c r="D866">
        <v>0.23</v>
      </c>
      <c r="E866">
        <v>2</v>
      </c>
      <c r="F866">
        <f xml:space="preserve"> WYNAJEM3[[#This Row],[data_wyjazdu]] - WYNAJEM3[[#This Row],[data_przyjazdu]]</f>
        <v>23</v>
      </c>
    </row>
    <row r="867" spans="1:6" x14ac:dyDescent="0.25">
      <c r="A867" s="1">
        <v>41971</v>
      </c>
      <c r="B867" s="1">
        <v>41994</v>
      </c>
      <c r="C867">
        <v>5.64</v>
      </c>
      <c r="D867">
        <v>0.15</v>
      </c>
      <c r="E867">
        <v>3</v>
      </c>
      <c r="F867">
        <f xml:space="preserve"> WYNAJEM3[[#This Row],[data_wyjazdu]] - WYNAJEM3[[#This Row],[data_przyjazdu]]</f>
        <v>23</v>
      </c>
    </row>
    <row r="868" spans="1:6" x14ac:dyDescent="0.25">
      <c r="A868" s="1">
        <v>41971</v>
      </c>
      <c r="B868" s="1">
        <v>41995</v>
      </c>
      <c r="C868">
        <v>8.89</v>
      </c>
      <c r="D868">
        <v>0.23</v>
      </c>
      <c r="E868">
        <v>4</v>
      </c>
      <c r="F868">
        <f xml:space="preserve"> WYNAJEM3[[#This Row],[data_wyjazdu]] - WYNAJEM3[[#This Row],[data_przyjazdu]]</f>
        <v>24</v>
      </c>
    </row>
    <row r="869" spans="1:6" x14ac:dyDescent="0.25">
      <c r="A869" s="1">
        <v>41971</v>
      </c>
      <c r="B869" s="1">
        <v>41981</v>
      </c>
      <c r="C869">
        <v>16.829999999999998</v>
      </c>
      <c r="D869">
        <v>0.44</v>
      </c>
      <c r="E869">
        <v>2</v>
      </c>
      <c r="F869">
        <f xml:space="preserve"> WYNAJEM3[[#This Row],[data_wyjazdu]] - WYNAJEM3[[#This Row],[data_przyjazdu]]</f>
        <v>10</v>
      </c>
    </row>
    <row r="870" spans="1:6" x14ac:dyDescent="0.25">
      <c r="A870" s="1">
        <v>41971</v>
      </c>
      <c r="B870" s="1">
        <v>41982</v>
      </c>
      <c r="C870">
        <v>11.42</v>
      </c>
      <c r="D870">
        <v>0.3</v>
      </c>
      <c r="E870">
        <v>2</v>
      </c>
      <c r="F870">
        <f xml:space="preserve"> WYNAJEM3[[#This Row],[data_wyjazdu]] - WYNAJEM3[[#This Row],[data_przyjazdu]]</f>
        <v>11</v>
      </c>
    </row>
    <row r="871" spans="1:6" x14ac:dyDescent="0.25">
      <c r="A871" s="1">
        <v>41972</v>
      </c>
      <c r="B871" s="1">
        <v>41979</v>
      </c>
      <c r="C871">
        <v>5.64</v>
      </c>
      <c r="D871">
        <v>0.15</v>
      </c>
      <c r="E871">
        <v>3</v>
      </c>
      <c r="F871">
        <f xml:space="preserve"> WYNAJEM3[[#This Row],[data_wyjazdu]] - WYNAJEM3[[#This Row],[data_przyjazdu]]</f>
        <v>7</v>
      </c>
    </row>
    <row r="872" spans="1:6" x14ac:dyDescent="0.25">
      <c r="A872" s="1">
        <v>41974</v>
      </c>
      <c r="B872" s="1">
        <v>41985</v>
      </c>
      <c r="C872">
        <v>8.7200000000000006</v>
      </c>
      <c r="D872">
        <v>0.23</v>
      </c>
      <c r="E872">
        <v>6</v>
      </c>
      <c r="F872">
        <f xml:space="preserve"> WYNAJEM3[[#This Row],[data_wyjazdu]] - WYNAJEM3[[#This Row],[data_przyjazdu]]</f>
        <v>11</v>
      </c>
    </row>
    <row r="873" spans="1:6" x14ac:dyDescent="0.25">
      <c r="A873" s="1">
        <v>41974</v>
      </c>
      <c r="B873" s="1">
        <v>41994</v>
      </c>
      <c r="C873">
        <v>5.67</v>
      </c>
      <c r="D873">
        <v>0.15</v>
      </c>
      <c r="E873">
        <v>5</v>
      </c>
      <c r="F873">
        <f xml:space="preserve"> WYNAJEM3[[#This Row],[data_wyjazdu]] - WYNAJEM3[[#This Row],[data_przyjazdu]]</f>
        <v>20</v>
      </c>
    </row>
    <row r="874" spans="1:6" x14ac:dyDescent="0.25">
      <c r="A874" s="1">
        <v>41974</v>
      </c>
      <c r="B874" s="1">
        <v>41995</v>
      </c>
      <c r="C874">
        <v>3.88</v>
      </c>
      <c r="D874">
        <v>0.1</v>
      </c>
      <c r="E874">
        <v>5</v>
      </c>
      <c r="F874">
        <f xml:space="preserve"> WYNAJEM3[[#This Row],[data_wyjazdu]] - WYNAJEM3[[#This Row],[data_przyjazdu]]</f>
        <v>21</v>
      </c>
    </row>
    <row r="875" spans="1:6" x14ac:dyDescent="0.25">
      <c r="A875" s="1">
        <v>41974</v>
      </c>
      <c r="B875" s="1">
        <v>41989</v>
      </c>
      <c r="C875">
        <v>6.58</v>
      </c>
      <c r="D875">
        <v>0.17</v>
      </c>
      <c r="E875">
        <v>5</v>
      </c>
      <c r="F875">
        <f xml:space="preserve"> WYNAJEM3[[#This Row],[data_wyjazdu]] - WYNAJEM3[[#This Row],[data_przyjazdu]]</f>
        <v>15</v>
      </c>
    </row>
    <row r="876" spans="1:6" x14ac:dyDescent="0.25">
      <c r="A876" s="1">
        <v>41974</v>
      </c>
      <c r="B876" s="1">
        <v>41994</v>
      </c>
      <c r="C876">
        <v>5.67</v>
      </c>
      <c r="D876">
        <v>0.15</v>
      </c>
      <c r="E876">
        <v>2</v>
      </c>
      <c r="F876">
        <f xml:space="preserve"> WYNAJEM3[[#This Row],[data_wyjazdu]] - WYNAJEM3[[#This Row],[data_przyjazdu]]</f>
        <v>20</v>
      </c>
    </row>
    <row r="877" spans="1:6" x14ac:dyDescent="0.25">
      <c r="A877" s="1">
        <v>41974</v>
      </c>
      <c r="B877" s="1">
        <v>41994</v>
      </c>
      <c r="C877">
        <v>6.34</v>
      </c>
      <c r="D877">
        <v>0.17</v>
      </c>
      <c r="E877">
        <v>6</v>
      </c>
      <c r="F877">
        <f xml:space="preserve"> WYNAJEM3[[#This Row],[data_wyjazdu]] - WYNAJEM3[[#This Row],[data_przyjazdu]]</f>
        <v>20</v>
      </c>
    </row>
    <row r="878" spans="1:6" x14ac:dyDescent="0.25">
      <c r="A878" s="1">
        <v>41974</v>
      </c>
      <c r="B878" s="1">
        <v>41985</v>
      </c>
      <c r="C878">
        <v>6.58</v>
      </c>
      <c r="D878">
        <v>0.17</v>
      </c>
      <c r="E878">
        <v>6</v>
      </c>
      <c r="F878">
        <f xml:space="preserve"> WYNAJEM3[[#This Row],[data_wyjazdu]] - WYNAJEM3[[#This Row],[data_przyjazdu]]</f>
        <v>11</v>
      </c>
    </row>
    <row r="879" spans="1:6" x14ac:dyDescent="0.25">
      <c r="A879" s="1">
        <v>41975</v>
      </c>
      <c r="B879" s="1">
        <v>41977</v>
      </c>
      <c r="C879">
        <v>5.67</v>
      </c>
      <c r="D879">
        <v>0.15</v>
      </c>
      <c r="E879">
        <v>3</v>
      </c>
      <c r="F879">
        <f xml:space="preserve"> WYNAJEM3[[#This Row],[data_wyjazdu]] - WYNAJEM3[[#This Row],[data_przyjazdu]]</f>
        <v>2</v>
      </c>
    </row>
    <row r="880" spans="1:6" x14ac:dyDescent="0.25">
      <c r="A880" s="1">
        <v>41975</v>
      </c>
      <c r="B880" s="1">
        <v>41981</v>
      </c>
      <c r="C880">
        <v>4.25</v>
      </c>
      <c r="D880">
        <v>0.11</v>
      </c>
      <c r="E880">
        <v>3</v>
      </c>
      <c r="F880">
        <f xml:space="preserve"> WYNAJEM3[[#This Row],[data_wyjazdu]] - WYNAJEM3[[#This Row],[data_przyjazdu]]</f>
        <v>6</v>
      </c>
    </row>
    <row r="881" spans="1:6" x14ac:dyDescent="0.25">
      <c r="A881" s="1">
        <v>41975</v>
      </c>
      <c r="B881" s="1">
        <v>41992</v>
      </c>
      <c r="C881">
        <v>8.84</v>
      </c>
      <c r="D881">
        <v>0.23</v>
      </c>
      <c r="E881">
        <v>3</v>
      </c>
      <c r="F881">
        <f xml:space="preserve"> WYNAJEM3[[#This Row],[data_wyjazdu]] - WYNAJEM3[[#This Row],[data_przyjazdu]]</f>
        <v>17</v>
      </c>
    </row>
    <row r="882" spans="1:6" x14ac:dyDescent="0.25">
      <c r="A882" s="1">
        <v>41975</v>
      </c>
      <c r="B882" s="1">
        <v>41990</v>
      </c>
      <c r="C882">
        <v>3.57</v>
      </c>
      <c r="D882">
        <v>0.09</v>
      </c>
      <c r="E882">
        <v>5</v>
      </c>
      <c r="F882">
        <f xml:space="preserve"> WYNAJEM3[[#This Row],[data_wyjazdu]] - WYNAJEM3[[#This Row],[data_przyjazdu]]</f>
        <v>15</v>
      </c>
    </row>
    <row r="883" spans="1:6" x14ac:dyDescent="0.25">
      <c r="A883" s="1">
        <v>41975</v>
      </c>
      <c r="B883" s="1">
        <v>41990</v>
      </c>
      <c r="C883">
        <v>2.0099999999999998</v>
      </c>
      <c r="D883">
        <v>0.05</v>
      </c>
      <c r="E883">
        <v>2</v>
      </c>
      <c r="F883">
        <f xml:space="preserve"> WYNAJEM3[[#This Row],[data_wyjazdu]] - WYNAJEM3[[#This Row],[data_przyjazdu]]</f>
        <v>15</v>
      </c>
    </row>
    <row r="884" spans="1:6" x14ac:dyDescent="0.25">
      <c r="A884" s="1">
        <v>41975</v>
      </c>
      <c r="B884" s="1">
        <v>41992</v>
      </c>
      <c r="C884">
        <v>3.73</v>
      </c>
      <c r="D884">
        <v>0.1</v>
      </c>
      <c r="E884">
        <v>3</v>
      </c>
      <c r="F884">
        <f xml:space="preserve"> WYNAJEM3[[#This Row],[data_wyjazdu]] - WYNAJEM3[[#This Row],[data_przyjazdu]]</f>
        <v>17</v>
      </c>
    </row>
    <row r="885" spans="1:6" x14ac:dyDescent="0.25">
      <c r="A885" s="1">
        <v>41976</v>
      </c>
      <c r="B885" s="1">
        <v>41978</v>
      </c>
      <c r="C885">
        <v>3.57</v>
      </c>
      <c r="D885">
        <v>0.09</v>
      </c>
      <c r="E885">
        <v>5</v>
      </c>
      <c r="F885">
        <f xml:space="preserve"> WYNAJEM3[[#This Row],[data_wyjazdu]] - WYNAJEM3[[#This Row],[data_przyjazdu]]</f>
        <v>2</v>
      </c>
    </row>
    <row r="886" spans="1:6" x14ac:dyDescent="0.25">
      <c r="A886" s="1">
        <v>41977</v>
      </c>
      <c r="B886" s="1">
        <v>41993</v>
      </c>
      <c r="C886">
        <v>6.58</v>
      </c>
      <c r="D886">
        <v>0.17</v>
      </c>
      <c r="E886">
        <v>4</v>
      </c>
      <c r="F886">
        <f xml:space="preserve"> WYNAJEM3[[#This Row],[data_wyjazdu]] - WYNAJEM3[[#This Row],[data_przyjazdu]]</f>
        <v>16</v>
      </c>
    </row>
    <row r="887" spans="1:6" x14ac:dyDescent="0.25">
      <c r="A887" s="1">
        <v>41977</v>
      </c>
      <c r="B887" s="1">
        <v>42005</v>
      </c>
      <c r="C887">
        <v>5.64</v>
      </c>
      <c r="D887">
        <v>0.15</v>
      </c>
      <c r="E887">
        <v>6</v>
      </c>
      <c r="F887">
        <f xml:space="preserve"> WYNAJEM3[[#This Row],[data_wyjazdu]] - WYNAJEM3[[#This Row],[data_przyjazdu]]</f>
        <v>28</v>
      </c>
    </row>
    <row r="888" spans="1:6" x14ac:dyDescent="0.25">
      <c r="A888" s="1">
        <v>41977</v>
      </c>
      <c r="B888" s="1">
        <v>41989</v>
      </c>
      <c r="C888">
        <v>3.88</v>
      </c>
      <c r="D888">
        <v>0.1</v>
      </c>
      <c r="E888">
        <v>2</v>
      </c>
      <c r="F888">
        <f xml:space="preserve"> WYNAJEM3[[#This Row],[data_wyjazdu]] - WYNAJEM3[[#This Row],[data_przyjazdu]]</f>
        <v>12</v>
      </c>
    </row>
    <row r="889" spans="1:6" x14ac:dyDescent="0.25">
      <c r="A889" s="1">
        <v>41977</v>
      </c>
      <c r="B889" s="1">
        <v>42000</v>
      </c>
      <c r="C889">
        <v>3.79</v>
      </c>
      <c r="D889">
        <v>0.1</v>
      </c>
      <c r="E889">
        <v>6</v>
      </c>
      <c r="F889">
        <f xml:space="preserve"> WYNAJEM3[[#This Row],[data_wyjazdu]] - WYNAJEM3[[#This Row],[data_przyjazdu]]</f>
        <v>23</v>
      </c>
    </row>
    <row r="890" spans="1:6" x14ac:dyDescent="0.25">
      <c r="A890" s="1">
        <v>41977</v>
      </c>
      <c r="B890" s="1">
        <v>41984</v>
      </c>
      <c r="C890">
        <v>11.37</v>
      </c>
      <c r="D890">
        <v>0.3</v>
      </c>
      <c r="E890">
        <v>2</v>
      </c>
      <c r="F890">
        <f xml:space="preserve"> WYNAJEM3[[#This Row],[data_wyjazdu]] - WYNAJEM3[[#This Row],[data_przyjazdu]]</f>
        <v>7</v>
      </c>
    </row>
    <row r="891" spans="1:6" x14ac:dyDescent="0.25">
      <c r="A891" s="1">
        <v>41977</v>
      </c>
      <c r="B891" s="1">
        <v>41994</v>
      </c>
      <c r="C891">
        <v>16.55</v>
      </c>
      <c r="D891">
        <v>0.44</v>
      </c>
      <c r="E891">
        <v>6</v>
      </c>
      <c r="F891">
        <f xml:space="preserve"> WYNAJEM3[[#This Row],[data_wyjazdu]] - WYNAJEM3[[#This Row],[data_przyjazdu]]</f>
        <v>17</v>
      </c>
    </row>
    <row r="892" spans="1:6" x14ac:dyDescent="0.25">
      <c r="A892" s="1">
        <v>41977</v>
      </c>
      <c r="B892" s="1">
        <v>42001</v>
      </c>
      <c r="C892">
        <v>6.88</v>
      </c>
      <c r="D892">
        <v>0.18</v>
      </c>
      <c r="E892">
        <v>4</v>
      </c>
      <c r="F892">
        <f xml:space="preserve"> WYNAJEM3[[#This Row],[data_wyjazdu]] - WYNAJEM3[[#This Row],[data_przyjazdu]]</f>
        <v>24</v>
      </c>
    </row>
    <row r="893" spans="1:6" x14ac:dyDescent="0.25">
      <c r="A893" s="1">
        <v>41982</v>
      </c>
      <c r="B893" s="1">
        <v>42001</v>
      </c>
      <c r="C893">
        <v>5.64</v>
      </c>
      <c r="D893">
        <v>0.15</v>
      </c>
      <c r="E893">
        <v>4</v>
      </c>
      <c r="F893">
        <f xml:space="preserve"> WYNAJEM3[[#This Row],[data_wyjazdu]] - WYNAJEM3[[#This Row],[data_przyjazdu]]</f>
        <v>19</v>
      </c>
    </row>
    <row r="894" spans="1:6" x14ac:dyDescent="0.25">
      <c r="A894" s="1">
        <v>41982</v>
      </c>
      <c r="B894" s="1">
        <v>42004</v>
      </c>
      <c r="C894">
        <v>3.57</v>
      </c>
      <c r="D894">
        <v>0.09</v>
      </c>
      <c r="E894">
        <v>4</v>
      </c>
      <c r="F894">
        <f xml:space="preserve"> WYNAJEM3[[#This Row],[data_wyjazdu]] - WYNAJEM3[[#This Row],[data_przyjazdu]]</f>
        <v>22</v>
      </c>
    </row>
    <row r="895" spans="1:6" x14ac:dyDescent="0.25">
      <c r="A895" s="1">
        <v>41982</v>
      </c>
      <c r="B895" s="1">
        <v>42007</v>
      </c>
      <c r="C895">
        <v>9.4600000000000009</v>
      </c>
      <c r="D895">
        <v>0.25</v>
      </c>
      <c r="E895">
        <v>6</v>
      </c>
      <c r="F895">
        <f xml:space="preserve"> WYNAJEM3[[#This Row],[data_wyjazdu]] - WYNAJEM3[[#This Row],[data_przyjazdu]]</f>
        <v>25</v>
      </c>
    </row>
    <row r="896" spans="1:6" x14ac:dyDescent="0.25">
      <c r="A896" s="1">
        <v>41982</v>
      </c>
      <c r="B896" s="1">
        <v>41992</v>
      </c>
      <c r="C896">
        <v>4.25</v>
      </c>
      <c r="D896">
        <v>0.11</v>
      </c>
      <c r="E896">
        <v>5</v>
      </c>
      <c r="F896">
        <f xml:space="preserve"> WYNAJEM3[[#This Row],[data_wyjazdu]] - WYNAJEM3[[#This Row],[data_przyjazdu]]</f>
        <v>10</v>
      </c>
    </row>
    <row r="897" spans="1:6" x14ac:dyDescent="0.25">
      <c r="A897" s="1">
        <v>41982</v>
      </c>
      <c r="B897" s="1">
        <v>41988</v>
      </c>
      <c r="C897">
        <v>5.67</v>
      </c>
      <c r="D897">
        <v>0.15</v>
      </c>
      <c r="E897">
        <v>5</v>
      </c>
      <c r="F897">
        <f xml:space="preserve"> WYNAJEM3[[#This Row],[data_wyjazdu]] - WYNAJEM3[[#This Row],[data_przyjazdu]]</f>
        <v>6</v>
      </c>
    </row>
    <row r="898" spans="1:6" x14ac:dyDescent="0.25">
      <c r="A898" s="1">
        <v>41982</v>
      </c>
      <c r="B898" s="1">
        <v>41999</v>
      </c>
      <c r="C898">
        <v>6.34</v>
      </c>
      <c r="D898">
        <v>0.17</v>
      </c>
      <c r="E898">
        <v>2</v>
      </c>
      <c r="F898">
        <f xml:space="preserve"> WYNAJEM3[[#This Row],[data_wyjazdu]] - WYNAJEM3[[#This Row],[data_przyjazdu]]</f>
        <v>17</v>
      </c>
    </row>
    <row r="899" spans="1:6" x14ac:dyDescent="0.25">
      <c r="A899" s="1">
        <v>41982</v>
      </c>
      <c r="B899" s="1">
        <v>41991</v>
      </c>
      <c r="C899">
        <v>14.13</v>
      </c>
      <c r="D899">
        <v>0.37</v>
      </c>
      <c r="E899">
        <v>6</v>
      </c>
      <c r="F899">
        <f xml:space="preserve"> WYNAJEM3[[#This Row],[data_wyjazdu]] - WYNAJEM3[[#This Row],[data_przyjazdu]]</f>
        <v>9</v>
      </c>
    </row>
    <row r="900" spans="1:6" x14ac:dyDescent="0.25">
      <c r="A900" s="1">
        <v>41982</v>
      </c>
      <c r="B900" s="1">
        <v>42007</v>
      </c>
      <c r="C900">
        <v>8.83</v>
      </c>
      <c r="D900">
        <v>0.23</v>
      </c>
      <c r="E900">
        <v>5</v>
      </c>
      <c r="F900">
        <f xml:space="preserve"> WYNAJEM3[[#This Row],[data_wyjazdu]] - WYNAJEM3[[#This Row],[data_przyjazdu]]</f>
        <v>25</v>
      </c>
    </row>
    <row r="901" spans="1:6" x14ac:dyDescent="0.25">
      <c r="A901" s="1">
        <v>41982</v>
      </c>
      <c r="B901" s="1">
        <v>42003</v>
      </c>
      <c r="C901">
        <v>7.31</v>
      </c>
      <c r="D901">
        <v>0.19</v>
      </c>
      <c r="E901">
        <v>2</v>
      </c>
      <c r="F901">
        <f xml:space="preserve"> WYNAJEM3[[#This Row],[data_wyjazdu]] - WYNAJEM3[[#This Row],[data_przyjazdu]]</f>
        <v>21</v>
      </c>
    </row>
    <row r="902" spans="1:6" x14ac:dyDescent="0.25">
      <c r="A902" s="1">
        <v>41982</v>
      </c>
      <c r="B902" s="1">
        <v>41997</v>
      </c>
      <c r="C902">
        <v>9.74</v>
      </c>
      <c r="D902">
        <v>0.26</v>
      </c>
      <c r="E902">
        <v>6</v>
      </c>
      <c r="F902">
        <f xml:space="preserve"> WYNAJEM3[[#This Row],[data_wyjazdu]] - WYNAJEM3[[#This Row],[data_przyjazdu]]</f>
        <v>15</v>
      </c>
    </row>
    <row r="903" spans="1:6" x14ac:dyDescent="0.25">
      <c r="A903" s="1">
        <v>41982</v>
      </c>
      <c r="B903" s="1">
        <v>42006</v>
      </c>
      <c r="C903">
        <v>11.42</v>
      </c>
      <c r="D903">
        <v>0.3</v>
      </c>
      <c r="E903">
        <v>4</v>
      </c>
      <c r="F903">
        <f xml:space="preserve"> WYNAJEM3[[#This Row],[data_wyjazdu]] - WYNAJEM3[[#This Row],[data_przyjazdu]]</f>
        <v>24</v>
      </c>
    </row>
    <row r="904" spans="1:6" x14ac:dyDescent="0.25">
      <c r="A904" s="1">
        <v>41982</v>
      </c>
      <c r="B904" s="1">
        <v>41995</v>
      </c>
      <c r="C904">
        <v>11.44</v>
      </c>
      <c r="D904">
        <v>0.3</v>
      </c>
      <c r="E904">
        <v>4</v>
      </c>
      <c r="F904">
        <f xml:space="preserve"> WYNAJEM3[[#This Row],[data_wyjazdu]] - WYNAJEM3[[#This Row],[data_przyjazdu]]</f>
        <v>13</v>
      </c>
    </row>
    <row r="905" spans="1:6" x14ac:dyDescent="0.25">
      <c r="A905" s="1">
        <v>41982</v>
      </c>
      <c r="B905" s="1">
        <v>41988</v>
      </c>
      <c r="C905">
        <v>7.35</v>
      </c>
      <c r="D905">
        <v>0.19</v>
      </c>
      <c r="E905">
        <v>3</v>
      </c>
      <c r="F905">
        <f xml:space="preserve"> WYNAJEM3[[#This Row],[data_wyjazdu]] - WYNAJEM3[[#This Row],[data_przyjazdu]]</f>
        <v>6</v>
      </c>
    </row>
    <row r="906" spans="1:6" x14ac:dyDescent="0.25">
      <c r="A906" s="1">
        <v>41982</v>
      </c>
      <c r="B906" s="1">
        <v>41993</v>
      </c>
      <c r="C906">
        <v>7.3</v>
      </c>
      <c r="D906">
        <v>0.19</v>
      </c>
      <c r="E906">
        <v>2</v>
      </c>
      <c r="F906">
        <f xml:space="preserve"> WYNAJEM3[[#This Row],[data_wyjazdu]] - WYNAJEM3[[#This Row],[data_przyjazdu]]</f>
        <v>11</v>
      </c>
    </row>
    <row r="907" spans="1:6" x14ac:dyDescent="0.25">
      <c r="A907" s="1">
        <v>41982</v>
      </c>
      <c r="B907" s="1">
        <v>41989</v>
      </c>
      <c r="C907">
        <v>8.65</v>
      </c>
      <c r="D907">
        <v>0.23</v>
      </c>
      <c r="E907">
        <v>4</v>
      </c>
      <c r="F907">
        <f xml:space="preserve"> WYNAJEM3[[#This Row],[data_wyjazdu]] - WYNAJEM3[[#This Row],[data_przyjazdu]]</f>
        <v>7</v>
      </c>
    </row>
    <row r="908" spans="1:6" x14ac:dyDescent="0.25">
      <c r="A908" s="1">
        <v>41982</v>
      </c>
      <c r="B908" s="1">
        <v>41991</v>
      </c>
      <c r="C908">
        <v>8.39</v>
      </c>
      <c r="D908">
        <v>0.22</v>
      </c>
      <c r="E908">
        <v>2</v>
      </c>
      <c r="F908">
        <f xml:space="preserve"> WYNAJEM3[[#This Row],[data_wyjazdu]] - WYNAJEM3[[#This Row],[data_przyjazdu]]</f>
        <v>9</v>
      </c>
    </row>
    <row r="909" spans="1:6" x14ac:dyDescent="0.25">
      <c r="A909" s="1">
        <v>41982</v>
      </c>
      <c r="B909" s="1">
        <v>41993</v>
      </c>
      <c r="C909">
        <v>11.42</v>
      </c>
      <c r="D909">
        <v>0.3</v>
      </c>
      <c r="E909">
        <v>3</v>
      </c>
      <c r="F909">
        <f xml:space="preserve"> WYNAJEM3[[#This Row],[data_wyjazdu]] - WYNAJEM3[[#This Row],[data_przyjazdu]]</f>
        <v>11</v>
      </c>
    </row>
    <row r="910" spans="1:6" x14ac:dyDescent="0.25">
      <c r="A910" s="1">
        <v>41982</v>
      </c>
      <c r="B910" s="1">
        <v>41994</v>
      </c>
      <c r="C910">
        <v>9.74</v>
      </c>
      <c r="D910">
        <v>0.26</v>
      </c>
      <c r="E910">
        <v>2</v>
      </c>
      <c r="F910">
        <f xml:space="preserve"> WYNAJEM3[[#This Row],[data_wyjazdu]] - WYNAJEM3[[#This Row],[data_przyjazdu]]</f>
        <v>12</v>
      </c>
    </row>
    <row r="911" spans="1:6" x14ac:dyDescent="0.25">
      <c r="A911" s="1">
        <v>41982</v>
      </c>
      <c r="B911" s="1">
        <v>42002</v>
      </c>
      <c r="C911">
        <v>13.07</v>
      </c>
      <c r="D911">
        <v>0.34</v>
      </c>
      <c r="E911">
        <v>2</v>
      </c>
      <c r="F911">
        <f xml:space="preserve"> WYNAJEM3[[#This Row],[data_wyjazdu]] - WYNAJEM3[[#This Row],[data_przyjazdu]]</f>
        <v>20</v>
      </c>
    </row>
    <row r="912" spans="1:6" x14ac:dyDescent="0.25">
      <c r="A912" s="1">
        <v>41982</v>
      </c>
      <c r="B912" s="1">
        <v>42006</v>
      </c>
      <c r="C912">
        <v>6.75</v>
      </c>
      <c r="D912">
        <v>0.18</v>
      </c>
      <c r="E912">
        <v>4</v>
      </c>
      <c r="F912">
        <f xml:space="preserve"> WYNAJEM3[[#This Row],[data_wyjazdu]] - WYNAJEM3[[#This Row],[data_przyjazdu]]</f>
        <v>24</v>
      </c>
    </row>
    <row r="913" spans="1:6" x14ac:dyDescent="0.25">
      <c r="A913" s="1">
        <v>41982</v>
      </c>
      <c r="B913" s="1">
        <v>42010</v>
      </c>
      <c r="C913">
        <v>6.75</v>
      </c>
      <c r="D913">
        <v>0.18</v>
      </c>
      <c r="E913">
        <v>2</v>
      </c>
      <c r="F913">
        <f xml:space="preserve"> WYNAJEM3[[#This Row],[data_wyjazdu]] - WYNAJEM3[[#This Row],[data_przyjazdu]]</f>
        <v>28</v>
      </c>
    </row>
    <row r="914" spans="1:6" x14ac:dyDescent="0.25">
      <c r="A914" s="1">
        <v>41983</v>
      </c>
      <c r="B914" s="1">
        <v>41990</v>
      </c>
      <c r="C914">
        <v>9.06</v>
      </c>
      <c r="D914">
        <v>0.24</v>
      </c>
      <c r="E914">
        <v>4</v>
      </c>
      <c r="F914">
        <f xml:space="preserve"> WYNAJEM3[[#This Row],[data_wyjazdu]] - WYNAJEM3[[#This Row],[data_przyjazdu]]</f>
        <v>7</v>
      </c>
    </row>
    <row r="915" spans="1:6" x14ac:dyDescent="0.25">
      <c r="A915" s="1">
        <v>41983</v>
      </c>
      <c r="B915" s="1">
        <v>42004</v>
      </c>
      <c r="C915">
        <v>4.25</v>
      </c>
      <c r="D915">
        <v>0.11</v>
      </c>
      <c r="E915">
        <v>5</v>
      </c>
      <c r="F915">
        <f xml:space="preserve"> WYNAJEM3[[#This Row],[data_wyjazdu]] - WYNAJEM3[[#This Row],[data_przyjazdu]]</f>
        <v>21</v>
      </c>
    </row>
    <row r="916" spans="1:6" x14ac:dyDescent="0.25">
      <c r="A916" s="1">
        <v>41983</v>
      </c>
      <c r="B916" s="1">
        <v>41993</v>
      </c>
      <c r="C916">
        <v>7.06</v>
      </c>
      <c r="D916">
        <v>0.19</v>
      </c>
      <c r="E916">
        <v>2</v>
      </c>
      <c r="F916">
        <f xml:space="preserve"> WYNAJEM3[[#This Row],[data_wyjazdu]] - WYNAJEM3[[#This Row],[data_przyjazdu]]</f>
        <v>10</v>
      </c>
    </row>
    <row r="917" spans="1:6" x14ac:dyDescent="0.25">
      <c r="A917" s="1">
        <v>41983</v>
      </c>
      <c r="B917" s="1">
        <v>41992</v>
      </c>
      <c r="C917">
        <v>14.31</v>
      </c>
      <c r="D917">
        <v>0.38</v>
      </c>
      <c r="E917">
        <v>4</v>
      </c>
      <c r="F917">
        <f xml:space="preserve"> WYNAJEM3[[#This Row],[data_wyjazdu]] - WYNAJEM3[[#This Row],[data_przyjazdu]]</f>
        <v>9</v>
      </c>
    </row>
    <row r="918" spans="1:6" x14ac:dyDescent="0.25">
      <c r="A918" s="1">
        <v>41983</v>
      </c>
      <c r="B918" s="1">
        <v>42011</v>
      </c>
      <c r="C918">
        <v>5.64</v>
      </c>
      <c r="D918">
        <v>0.15</v>
      </c>
      <c r="E918">
        <v>5</v>
      </c>
      <c r="F918">
        <f xml:space="preserve"> WYNAJEM3[[#This Row],[data_wyjazdu]] - WYNAJEM3[[#This Row],[data_przyjazdu]]</f>
        <v>28</v>
      </c>
    </row>
    <row r="919" spans="1:6" x14ac:dyDescent="0.25">
      <c r="A919" s="1">
        <v>41983</v>
      </c>
      <c r="B919" s="1">
        <v>41996</v>
      </c>
      <c r="C919">
        <v>5.67</v>
      </c>
      <c r="D919">
        <v>0.15</v>
      </c>
      <c r="E919">
        <v>3</v>
      </c>
      <c r="F919">
        <f xml:space="preserve"> WYNAJEM3[[#This Row],[data_wyjazdu]] - WYNAJEM3[[#This Row],[data_przyjazdu]]</f>
        <v>13</v>
      </c>
    </row>
    <row r="920" spans="1:6" x14ac:dyDescent="0.25">
      <c r="A920" s="1">
        <v>41983</v>
      </c>
      <c r="B920" s="1">
        <v>41990</v>
      </c>
      <c r="C920">
        <v>11.69</v>
      </c>
      <c r="D920">
        <v>0.31</v>
      </c>
      <c r="E920">
        <v>2</v>
      </c>
      <c r="F920">
        <f xml:space="preserve"> WYNAJEM3[[#This Row],[data_wyjazdu]] - WYNAJEM3[[#This Row],[data_przyjazdu]]</f>
        <v>7</v>
      </c>
    </row>
    <row r="921" spans="1:6" x14ac:dyDescent="0.25">
      <c r="A921" s="1">
        <v>41983</v>
      </c>
      <c r="B921" s="1">
        <v>42002</v>
      </c>
      <c r="C921">
        <v>13.02</v>
      </c>
      <c r="D921">
        <v>0.34</v>
      </c>
      <c r="E921">
        <v>3</v>
      </c>
      <c r="F921">
        <f xml:space="preserve"> WYNAJEM3[[#This Row],[data_wyjazdu]] - WYNAJEM3[[#This Row],[data_przyjazdu]]</f>
        <v>19</v>
      </c>
    </row>
    <row r="922" spans="1:6" x14ac:dyDescent="0.25">
      <c r="A922" s="1">
        <v>41983</v>
      </c>
      <c r="B922" s="1">
        <v>41986</v>
      </c>
      <c r="C922">
        <v>4.25</v>
      </c>
      <c r="D922">
        <v>0.11</v>
      </c>
      <c r="E922">
        <v>3</v>
      </c>
      <c r="F922">
        <f xml:space="preserve"> WYNAJEM3[[#This Row],[data_wyjazdu]] - WYNAJEM3[[#This Row],[data_przyjazdu]]</f>
        <v>3</v>
      </c>
    </row>
    <row r="923" spans="1:6" x14ac:dyDescent="0.25">
      <c r="A923" s="1">
        <v>41983</v>
      </c>
      <c r="B923" s="1">
        <v>41995</v>
      </c>
      <c r="C923">
        <v>12.23</v>
      </c>
      <c r="D923">
        <v>0.32</v>
      </c>
      <c r="E923">
        <v>3</v>
      </c>
      <c r="F923">
        <f xml:space="preserve"> WYNAJEM3[[#This Row],[data_wyjazdu]] - WYNAJEM3[[#This Row],[data_przyjazdu]]</f>
        <v>12</v>
      </c>
    </row>
    <row r="924" spans="1:6" x14ac:dyDescent="0.25">
      <c r="A924" s="1">
        <v>41983</v>
      </c>
      <c r="B924" s="1">
        <v>42009</v>
      </c>
      <c r="C924">
        <v>14.13</v>
      </c>
      <c r="D924">
        <v>0.37</v>
      </c>
      <c r="E924">
        <v>5</v>
      </c>
      <c r="F924">
        <f xml:space="preserve"> WYNAJEM3[[#This Row],[data_wyjazdu]] - WYNAJEM3[[#This Row],[data_przyjazdu]]</f>
        <v>26</v>
      </c>
    </row>
    <row r="925" spans="1:6" x14ac:dyDescent="0.25">
      <c r="A925" s="1">
        <v>41983</v>
      </c>
      <c r="B925" s="1">
        <v>42008</v>
      </c>
      <c r="C925">
        <v>6.23</v>
      </c>
      <c r="D925">
        <v>0.16</v>
      </c>
      <c r="E925">
        <v>3</v>
      </c>
      <c r="F925">
        <f xml:space="preserve"> WYNAJEM3[[#This Row],[data_wyjazdu]] - WYNAJEM3[[#This Row],[data_przyjazdu]]</f>
        <v>25</v>
      </c>
    </row>
    <row r="926" spans="1:6" x14ac:dyDescent="0.25">
      <c r="A926" s="1">
        <v>41983</v>
      </c>
      <c r="B926" s="1">
        <v>42006</v>
      </c>
      <c r="C926">
        <v>8.5399999999999991</v>
      </c>
      <c r="D926">
        <v>0.22</v>
      </c>
      <c r="E926">
        <v>2</v>
      </c>
      <c r="F926">
        <f xml:space="preserve"> WYNAJEM3[[#This Row],[data_wyjazdu]] - WYNAJEM3[[#This Row],[data_przyjazdu]]</f>
        <v>23</v>
      </c>
    </row>
    <row r="927" spans="1:6" x14ac:dyDescent="0.25">
      <c r="A927" s="1">
        <v>41983</v>
      </c>
      <c r="B927" s="1">
        <v>42001</v>
      </c>
      <c r="C927">
        <v>7.55</v>
      </c>
      <c r="D927">
        <v>0.2</v>
      </c>
      <c r="E927">
        <v>2</v>
      </c>
      <c r="F927">
        <f xml:space="preserve"> WYNAJEM3[[#This Row],[data_wyjazdu]] - WYNAJEM3[[#This Row],[data_przyjazdu]]</f>
        <v>18</v>
      </c>
    </row>
    <row r="928" spans="1:6" x14ac:dyDescent="0.25">
      <c r="A928" s="1">
        <v>41983</v>
      </c>
      <c r="B928" s="1">
        <v>41989</v>
      </c>
      <c r="C928">
        <v>14</v>
      </c>
      <c r="D928">
        <v>0.37</v>
      </c>
      <c r="E928">
        <v>4</v>
      </c>
      <c r="F928">
        <f xml:space="preserve"> WYNAJEM3[[#This Row],[data_wyjazdu]] - WYNAJEM3[[#This Row],[data_przyjazdu]]</f>
        <v>6</v>
      </c>
    </row>
    <row r="929" spans="1:6" x14ac:dyDescent="0.25">
      <c r="A929" s="1">
        <v>41983</v>
      </c>
      <c r="B929" s="1">
        <v>41986</v>
      </c>
      <c r="C929">
        <v>13.02</v>
      </c>
      <c r="D929">
        <v>0.34</v>
      </c>
      <c r="E929">
        <v>2</v>
      </c>
      <c r="F929">
        <f xml:space="preserve"> WYNAJEM3[[#This Row],[data_wyjazdu]] - WYNAJEM3[[#This Row],[data_przyjazdu]]</f>
        <v>3</v>
      </c>
    </row>
    <row r="930" spans="1:6" x14ac:dyDescent="0.25">
      <c r="A930" s="1">
        <v>41983</v>
      </c>
      <c r="B930" s="1">
        <v>42009</v>
      </c>
      <c r="C930">
        <v>8.39</v>
      </c>
      <c r="D930">
        <v>0.22</v>
      </c>
      <c r="E930">
        <v>6</v>
      </c>
      <c r="F930">
        <f xml:space="preserve"> WYNAJEM3[[#This Row],[data_wyjazdu]] - WYNAJEM3[[#This Row],[data_przyjazdu]]</f>
        <v>26</v>
      </c>
    </row>
    <row r="931" spans="1:6" x14ac:dyDescent="0.25">
      <c r="A931" s="1">
        <v>41983</v>
      </c>
      <c r="B931" s="1">
        <v>41990</v>
      </c>
      <c r="C931">
        <v>5.23</v>
      </c>
      <c r="D931">
        <v>0.14000000000000001</v>
      </c>
      <c r="E931">
        <v>4</v>
      </c>
      <c r="F931">
        <f xml:space="preserve"> WYNAJEM3[[#This Row],[data_wyjazdu]] - WYNAJEM3[[#This Row],[data_przyjazdu]]</f>
        <v>7</v>
      </c>
    </row>
    <row r="932" spans="1:6" x14ac:dyDescent="0.25">
      <c r="A932" s="1">
        <v>41983</v>
      </c>
      <c r="B932" s="1">
        <v>41988</v>
      </c>
      <c r="C932">
        <v>2.0099999999999998</v>
      </c>
      <c r="D932">
        <v>0.05</v>
      </c>
      <c r="E932">
        <v>2</v>
      </c>
      <c r="F932">
        <f xml:space="preserve"> WYNAJEM3[[#This Row],[data_wyjazdu]] - WYNAJEM3[[#This Row],[data_przyjazdu]]</f>
        <v>5</v>
      </c>
    </row>
    <row r="933" spans="1:6" x14ac:dyDescent="0.25">
      <c r="A933" s="1">
        <v>41983</v>
      </c>
      <c r="B933" s="1">
        <v>42008</v>
      </c>
      <c r="C933">
        <v>7.06</v>
      </c>
      <c r="D933">
        <v>0.19</v>
      </c>
      <c r="E933">
        <v>5</v>
      </c>
      <c r="F933">
        <f xml:space="preserve"> WYNAJEM3[[#This Row],[data_wyjazdu]] - WYNAJEM3[[#This Row],[data_przyjazdu]]</f>
        <v>25</v>
      </c>
    </row>
    <row r="934" spans="1:6" x14ac:dyDescent="0.25">
      <c r="A934" s="1">
        <v>41983</v>
      </c>
      <c r="B934" s="1">
        <v>42004</v>
      </c>
      <c r="C934">
        <v>19.54</v>
      </c>
      <c r="D934">
        <v>0.51</v>
      </c>
      <c r="E934">
        <v>3</v>
      </c>
      <c r="F934">
        <f xml:space="preserve"> WYNAJEM3[[#This Row],[data_wyjazdu]] - WYNAJEM3[[#This Row],[data_przyjazdu]]</f>
        <v>21</v>
      </c>
    </row>
    <row r="935" spans="1:6" x14ac:dyDescent="0.25">
      <c r="A935" s="1">
        <v>41983</v>
      </c>
      <c r="B935" s="1">
        <v>41993</v>
      </c>
      <c r="C935">
        <v>5.23</v>
      </c>
      <c r="D935">
        <v>0.14000000000000001</v>
      </c>
      <c r="E935">
        <v>4</v>
      </c>
      <c r="F935">
        <f xml:space="preserve"> WYNAJEM3[[#This Row],[data_wyjazdu]] - WYNAJEM3[[#This Row],[data_przyjazdu]]</f>
        <v>10</v>
      </c>
    </row>
    <row r="936" spans="1:6" x14ac:dyDescent="0.25">
      <c r="A936" s="1">
        <v>41984</v>
      </c>
      <c r="B936" s="1">
        <v>42002</v>
      </c>
      <c r="C936">
        <v>9.06</v>
      </c>
      <c r="D936">
        <v>0.24</v>
      </c>
      <c r="E936">
        <v>4</v>
      </c>
      <c r="F936">
        <f xml:space="preserve"> WYNAJEM3[[#This Row],[data_wyjazdu]] - WYNAJEM3[[#This Row],[data_przyjazdu]]</f>
        <v>18</v>
      </c>
    </row>
    <row r="937" spans="1:6" x14ac:dyDescent="0.25">
      <c r="A937" s="1">
        <v>41984</v>
      </c>
      <c r="B937" s="1">
        <v>41988</v>
      </c>
      <c r="C937">
        <v>3.73</v>
      </c>
      <c r="D937">
        <v>0.1</v>
      </c>
      <c r="E937">
        <v>6</v>
      </c>
      <c r="F937">
        <f xml:space="preserve"> WYNAJEM3[[#This Row],[data_wyjazdu]] - WYNAJEM3[[#This Row],[data_przyjazdu]]</f>
        <v>4</v>
      </c>
    </row>
    <row r="938" spans="1:6" x14ac:dyDescent="0.25">
      <c r="A938" s="1">
        <v>41985</v>
      </c>
      <c r="B938" s="1">
        <v>42012</v>
      </c>
      <c r="C938">
        <v>5.67</v>
      </c>
      <c r="D938">
        <v>0.15</v>
      </c>
      <c r="E938">
        <v>2</v>
      </c>
      <c r="F938">
        <f xml:space="preserve"> WYNAJEM3[[#This Row],[data_wyjazdu]] - WYNAJEM3[[#This Row],[data_przyjazdu]]</f>
        <v>27</v>
      </c>
    </row>
    <row r="939" spans="1:6" x14ac:dyDescent="0.25">
      <c r="A939" s="1">
        <v>41985</v>
      </c>
      <c r="B939" s="1">
        <v>41989</v>
      </c>
      <c r="C939">
        <v>5.67</v>
      </c>
      <c r="D939">
        <v>0.15</v>
      </c>
      <c r="E939">
        <v>4</v>
      </c>
      <c r="F939">
        <f xml:space="preserve"> WYNAJEM3[[#This Row],[data_wyjazdu]] - WYNAJEM3[[#This Row],[data_przyjazdu]]</f>
        <v>4</v>
      </c>
    </row>
    <row r="940" spans="1:6" x14ac:dyDescent="0.25">
      <c r="A940" s="1">
        <v>41985</v>
      </c>
      <c r="B940" s="1">
        <v>41995</v>
      </c>
      <c r="C940">
        <v>3.57</v>
      </c>
      <c r="D940">
        <v>0.09</v>
      </c>
      <c r="E940">
        <v>2</v>
      </c>
      <c r="F940">
        <f xml:space="preserve"> WYNAJEM3[[#This Row],[data_wyjazdu]] - WYNAJEM3[[#This Row],[data_przyjazdu]]</f>
        <v>10</v>
      </c>
    </row>
    <row r="941" spans="1:6" x14ac:dyDescent="0.25">
      <c r="A941" s="1">
        <v>41985</v>
      </c>
      <c r="B941" s="1">
        <v>41995</v>
      </c>
      <c r="C941">
        <v>3.57</v>
      </c>
      <c r="D941">
        <v>0.09</v>
      </c>
      <c r="E941">
        <v>3</v>
      </c>
      <c r="F941">
        <f xml:space="preserve"> WYNAJEM3[[#This Row],[data_wyjazdu]] - WYNAJEM3[[#This Row],[data_przyjazdu]]</f>
        <v>10</v>
      </c>
    </row>
    <row r="942" spans="1:6" x14ac:dyDescent="0.25">
      <c r="A942" s="1">
        <v>41985</v>
      </c>
      <c r="B942" s="1">
        <v>42013</v>
      </c>
      <c r="C942">
        <v>2.29</v>
      </c>
      <c r="D942">
        <v>0.06</v>
      </c>
      <c r="E942">
        <v>2</v>
      </c>
      <c r="F942">
        <f xml:space="preserve"> WYNAJEM3[[#This Row],[data_wyjazdu]] - WYNAJEM3[[#This Row],[data_przyjazdu]]</f>
        <v>28</v>
      </c>
    </row>
    <row r="943" spans="1:6" x14ac:dyDescent="0.25">
      <c r="A943" s="1">
        <v>41985</v>
      </c>
      <c r="B943" s="1">
        <v>42003</v>
      </c>
      <c r="C943">
        <v>7.35</v>
      </c>
      <c r="D943">
        <v>0.19</v>
      </c>
      <c r="E943">
        <v>5</v>
      </c>
      <c r="F943">
        <f xml:space="preserve"> WYNAJEM3[[#This Row],[data_wyjazdu]] - WYNAJEM3[[#This Row],[data_przyjazdu]]</f>
        <v>18</v>
      </c>
    </row>
    <row r="944" spans="1:6" x14ac:dyDescent="0.25">
      <c r="A944" s="1">
        <v>41985</v>
      </c>
      <c r="B944" s="1">
        <v>42011</v>
      </c>
      <c r="C944">
        <v>3.94</v>
      </c>
      <c r="D944">
        <v>0.1</v>
      </c>
      <c r="E944">
        <v>4</v>
      </c>
      <c r="F944">
        <f xml:space="preserve"> WYNAJEM3[[#This Row],[data_wyjazdu]] - WYNAJEM3[[#This Row],[data_przyjazdu]]</f>
        <v>26</v>
      </c>
    </row>
    <row r="945" spans="1:6" x14ac:dyDescent="0.25">
      <c r="A945" s="1">
        <v>41985</v>
      </c>
      <c r="B945" s="1">
        <v>41995</v>
      </c>
      <c r="C945">
        <v>3.94</v>
      </c>
      <c r="D945">
        <v>0.1</v>
      </c>
      <c r="E945">
        <v>2</v>
      </c>
      <c r="F945">
        <f xml:space="preserve"> WYNAJEM3[[#This Row],[data_wyjazdu]] - WYNAJEM3[[#This Row],[data_przyjazdu]]</f>
        <v>10</v>
      </c>
    </row>
    <row r="946" spans="1:6" x14ac:dyDescent="0.25">
      <c r="A946" s="1">
        <v>41985</v>
      </c>
      <c r="B946" s="1">
        <v>42006</v>
      </c>
      <c r="C946">
        <v>13.07</v>
      </c>
      <c r="D946">
        <v>0.34</v>
      </c>
      <c r="E946">
        <v>3</v>
      </c>
      <c r="F946">
        <f xml:space="preserve"> WYNAJEM3[[#This Row],[data_wyjazdu]] - WYNAJEM3[[#This Row],[data_przyjazdu]]</f>
        <v>21</v>
      </c>
    </row>
    <row r="947" spans="1:6" x14ac:dyDescent="0.25">
      <c r="A947" s="1">
        <v>41986</v>
      </c>
      <c r="B947" s="1">
        <v>41990</v>
      </c>
      <c r="C947">
        <v>6.43</v>
      </c>
      <c r="D947">
        <v>0.17</v>
      </c>
      <c r="E947">
        <v>5</v>
      </c>
      <c r="F947">
        <f xml:space="preserve"> WYNAJEM3[[#This Row],[data_wyjazdu]] - WYNAJEM3[[#This Row],[data_przyjazdu]]</f>
        <v>4</v>
      </c>
    </row>
    <row r="948" spans="1:6" x14ac:dyDescent="0.25">
      <c r="A948" s="1">
        <v>41986</v>
      </c>
      <c r="B948" s="1">
        <v>42005</v>
      </c>
      <c r="C948">
        <v>6.43</v>
      </c>
      <c r="D948">
        <v>0.17</v>
      </c>
      <c r="E948">
        <v>3</v>
      </c>
      <c r="F948">
        <f xml:space="preserve"> WYNAJEM3[[#This Row],[data_wyjazdu]] - WYNAJEM3[[#This Row],[data_przyjazdu]]</f>
        <v>19</v>
      </c>
    </row>
    <row r="949" spans="1:6" x14ac:dyDescent="0.25">
      <c r="A949" s="1">
        <v>41987</v>
      </c>
      <c r="B949" s="1">
        <v>42012</v>
      </c>
      <c r="C949">
        <v>2.72</v>
      </c>
      <c r="D949">
        <v>7.0000000000000007E-2</v>
      </c>
      <c r="E949">
        <v>4</v>
      </c>
      <c r="F949">
        <f xml:space="preserve"> WYNAJEM3[[#This Row],[data_wyjazdu]] - WYNAJEM3[[#This Row],[data_przyjazdu]]</f>
        <v>25</v>
      </c>
    </row>
    <row r="950" spans="1:6" x14ac:dyDescent="0.25">
      <c r="A950" s="1">
        <v>41987</v>
      </c>
      <c r="B950" s="1">
        <v>42007</v>
      </c>
      <c r="C950">
        <v>6.43</v>
      </c>
      <c r="D950">
        <v>0.17</v>
      </c>
      <c r="E950">
        <v>6</v>
      </c>
      <c r="F950">
        <f xml:space="preserve"> WYNAJEM3[[#This Row],[data_wyjazdu]] - WYNAJEM3[[#This Row],[data_przyjazdu]]</f>
        <v>20</v>
      </c>
    </row>
    <row r="951" spans="1:6" x14ac:dyDescent="0.25">
      <c r="A951" s="1">
        <v>41988</v>
      </c>
      <c r="B951" s="1">
        <v>42014</v>
      </c>
      <c r="C951">
        <v>2.0099999999999998</v>
      </c>
      <c r="D951">
        <v>0.05</v>
      </c>
      <c r="E951">
        <v>3</v>
      </c>
      <c r="F951">
        <f xml:space="preserve"> WYNAJEM3[[#This Row],[data_wyjazdu]] - WYNAJEM3[[#This Row],[data_przyjazdu]]</f>
        <v>26</v>
      </c>
    </row>
    <row r="952" spans="1:6" x14ac:dyDescent="0.25">
      <c r="A952" s="1">
        <v>41988</v>
      </c>
      <c r="B952" s="1">
        <v>42005</v>
      </c>
      <c r="C952">
        <v>2.72</v>
      </c>
      <c r="D952">
        <v>7.0000000000000007E-2</v>
      </c>
      <c r="E952">
        <v>2</v>
      </c>
      <c r="F952">
        <f xml:space="preserve"> WYNAJEM3[[#This Row],[data_wyjazdu]] - WYNAJEM3[[#This Row],[data_przyjazdu]]</f>
        <v>17</v>
      </c>
    </row>
    <row r="953" spans="1:6" x14ac:dyDescent="0.25">
      <c r="A953" s="1">
        <v>41988</v>
      </c>
      <c r="B953" s="1">
        <v>41996</v>
      </c>
      <c r="C953">
        <v>2.0099999999999998</v>
      </c>
      <c r="D953">
        <v>0.05</v>
      </c>
      <c r="E953">
        <v>5</v>
      </c>
      <c r="F953">
        <f xml:space="preserve"> WYNAJEM3[[#This Row],[data_wyjazdu]] - WYNAJEM3[[#This Row],[data_przyjazdu]]</f>
        <v>8</v>
      </c>
    </row>
    <row r="954" spans="1:6" x14ac:dyDescent="0.25">
      <c r="A954" s="1">
        <v>41989</v>
      </c>
      <c r="B954" s="1">
        <v>41991</v>
      </c>
      <c r="C954">
        <v>11.42</v>
      </c>
      <c r="D954">
        <v>0.3</v>
      </c>
      <c r="E954">
        <v>5</v>
      </c>
      <c r="F954">
        <f xml:space="preserve"> WYNAJEM3[[#This Row],[data_wyjazdu]] - WYNAJEM3[[#This Row],[data_przyjazdu]]</f>
        <v>2</v>
      </c>
    </row>
    <row r="955" spans="1:6" x14ac:dyDescent="0.25">
      <c r="A955" s="1">
        <v>41989</v>
      </c>
      <c r="B955" s="1">
        <v>42003</v>
      </c>
      <c r="C955">
        <v>10.93</v>
      </c>
      <c r="D955">
        <v>0.28999999999999998</v>
      </c>
      <c r="E955">
        <v>3</v>
      </c>
      <c r="F955">
        <f xml:space="preserve"> WYNAJEM3[[#This Row],[data_wyjazdu]] - WYNAJEM3[[#This Row],[data_przyjazdu]]</f>
        <v>14</v>
      </c>
    </row>
    <row r="956" spans="1:6" x14ac:dyDescent="0.25">
      <c r="A956" s="1">
        <v>41989</v>
      </c>
      <c r="B956" s="1">
        <v>41997</v>
      </c>
      <c r="C956">
        <v>9.06</v>
      </c>
      <c r="D956">
        <v>0.24</v>
      </c>
      <c r="E956">
        <v>2</v>
      </c>
      <c r="F956">
        <f xml:space="preserve"> WYNAJEM3[[#This Row],[data_wyjazdu]] - WYNAJEM3[[#This Row],[data_przyjazdu]]</f>
        <v>8</v>
      </c>
    </row>
    <row r="957" spans="1:6" x14ac:dyDescent="0.25">
      <c r="A957" s="1">
        <v>41989</v>
      </c>
      <c r="B957" s="1">
        <v>41998</v>
      </c>
      <c r="C957">
        <v>5.67</v>
      </c>
      <c r="D957">
        <v>0.15</v>
      </c>
      <c r="E957">
        <v>3</v>
      </c>
      <c r="F957">
        <f xml:space="preserve"> WYNAJEM3[[#This Row],[data_wyjazdu]] - WYNAJEM3[[#This Row],[data_przyjazdu]]</f>
        <v>9</v>
      </c>
    </row>
    <row r="958" spans="1:6" x14ac:dyDescent="0.25">
      <c r="A958" s="1">
        <v>41989</v>
      </c>
      <c r="B958" s="1">
        <v>42015</v>
      </c>
      <c r="C958">
        <v>3.57</v>
      </c>
      <c r="D958">
        <v>0.09</v>
      </c>
      <c r="E958">
        <v>4</v>
      </c>
      <c r="F958">
        <f xml:space="preserve"> WYNAJEM3[[#This Row],[data_wyjazdu]] - WYNAJEM3[[#This Row],[data_przyjazdu]]</f>
        <v>26</v>
      </c>
    </row>
    <row r="959" spans="1:6" x14ac:dyDescent="0.25">
      <c r="A959" s="1">
        <v>41989</v>
      </c>
      <c r="B959" s="1">
        <v>42011</v>
      </c>
      <c r="C959">
        <v>3.79</v>
      </c>
      <c r="D959">
        <v>0.1</v>
      </c>
      <c r="E959">
        <v>5</v>
      </c>
      <c r="F959">
        <f xml:space="preserve"> WYNAJEM3[[#This Row],[data_wyjazdu]] - WYNAJEM3[[#This Row],[data_przyjazdu]]</f>
        <v>22</v>
      </c>
    </row>
    <row r="960" spans="1:6" x14ac:dyDescent="0.25">
      <c r="A960" s="1">
        <v>41990</v>
      </c>
      <c r="B960" s="1">
        <v>41996</v>
      </c>
      <c r="C960">
        <v>4.66</v>
      </c>
      <c r="D960">
        <v>0.12</v>
      </c>
      <c r="E960">
        <v>3</v>
      </c>
      <c r="F960">
        <f xml:space="preserve"> WYNAJEM3[[#This Row],[data_wyjazdu]] - WYNAJEM3[[#This Row],[data_przyjazdu]]</f>
        <v>6</v>
      </c>
    </row>
    <row r="961" spans="1:6" x14ac:dyDescent="0.25">
      <c r="A961" s="1">
        <v>41990</v>
      </c>
      <c r="B961" s="1">
        <v>42004</v>
      </c>
      <c r="C961">
        <v>6.43</v>
      </c>
      <c r="D961">
        <v>0.17</v>
      </c>
      <c r="E961">
        <v>6</v>
      </c>
      <c r="F961">
        <f xml:space="preserve"> WYNAJEM3[[#This Row],[data_wyjazdu]] - WYNAJEM3[[#This Row],[data_przyjazdu]]</f>
        <v>14</v>
      </c>
    </row>
    <row r="962" spans="1:6" x14ac:dyDescent="0.25">
      <c r="A962" s="1">
        <v>41990</v>
      </c>
      <c r="B962" s="1">
        <v>41998</v>
      </c>
      <c r="C962">
        <v>6.58</v>
      </c>
      <c r="D962">
        <v>0.17</v>
      </c>
      <c r="E962">
        <v>4</v>
      </c>
      <c r="F962">
        <f xml:space="preserve"> WYNAJEM3[[#This Row],[data_wyjazdu]] - WYNAJEM3[[#This Row],[data_przyjazdu]]</f>
        <v>8</v>
      </c>
    </row>
    <row r="963" spans="1:6" x14ac:dyDescent="0.25">
      <c r="A963" s="1">
        <v>41991</v>
      </c>
      <c r="B963" s="1">
        <v>41998</v>
      </c>
      <c r="C963">
        <v>4.66</v>
      </c>
      <c r="D963">
        <v>0.12</v>
      </c>
      <c r="E963">
        <v>6</v>
      </c>
      <c r="F963">
        <f xml:space="preserve"> WYNAJEM3[[#This Row],[data_wyjazdu]] - WYNAJEM3[[#This Row],[data_przyjazdu]]</f>
        <v>7</v>
      </c>
    </row>
    <row r="964" spans="1:6" x14ac:dyDescent="0.25">
      <c r="A964" s="1">
        <v>41991</v>
      </c>
      <c r="B964" s="1">
        <v>42003</v>
      </c>
      <c r="C964">
        <v>4.66</v>
      </c>
      <c r="D964">
        <v>0.12</v>
      </c>
      <c r="E964">
        <v>5</v>
      </c>
      <c r="F964">
        <f xml:space="preserve"> WYNAJEM3[[#This Row],[data_wyjazdu]] - WYNAJEM3[[#This Row],[data_przyjazdu]]</f>
        <v>12</v>
      </c>
    </row>
    <row r="965" spans="1:6" x14ac:dyDescent="0.25">
      <c r="A965" s="1">
        <v>41991</v>
      </c>
      <c r="B965" s="1">
        <v>41999</v>
      </c>
      <c r="C965">
        <v>3.73</v>
      </c>
      <c r="D965">
        <v>0.1</v>
      </c>
      <c r="E965">
        <v>5</v>
      </c>
      <c r="F965">
        <f xml:space="preserve"> WYNAJEM3[[#This Row],[data_wyjazdu]] - WYNAJEM3[[#This Row],[data_przyjazdu]]</f>
        <v>8</v>
      </c>
    </row>
    <row r="966" spans="1:6" x14ac:dyDescent="0.25">
      <c r="A966" s="1">
        <v>41991</v>
      </c>
      <c r="B966" s="1">
        <v>41995</v>
      </c>
      <c r="C966">
        <v>4.25</v>
      </c>
      <c r="D966">
        <v>0.11</v>
      </c>
      <c r="E966">
        <v>4</v>
      </c>
      <c r="F966">
        <f xml:space="preserve"> WYNAJEM3[[#This Row],[data_wyjazdu]] - WYNAJEM3[[#This Row],[data_przyjazdu]]</f>
        <v>4</v>
      </c>
    </row>
    <row r="967" spans="1:6" x14ac:dyDescent="0.25">
      <c r="A967" s="1">
        <v>41991</v>
      </c>
      <c r="B967" s="1">
        <v>42014</v>
      </c>
      <c r="C967">
        <v>6.34</v>
      </c>
      <c r="D967">
        <v>0.17</v>
      </c>
      <c r="E967">
        <v>5</v>
      </c>
      <c r="F967">
        <f xml:space="preserve"> WYNAJEM3[[#This Row],[data_wyjazdu]] - WYNAJEM3[[#This Row],[data_przyjazdu]]</f>
        <v>23</v>
      </c>
    </row>
    <row r="968" spans="1:6" x14ac:dyDescent="0.25">
      <c r="A968" s="1">
        <v>41992</v>
      </c>
      <c r="B968" s="1">
        <v>42016</v>
      </c>
      <c r="C968">
        <v>2.0099999999999998</v>
      </c>
      <c r="D968">
        <v>0.05</v>
      </c>
      <c r="E968">
        <v>6</v>
      </c>
      <c r="F968">
        <f xml:space="preserve"> WYNAJEM3[[#This Row],[data_wyjazdu]] - WYNAJEM3[[#This Row],[data_przyjazdu]]</f>
        <v>24</v>
      </c>
    </row>
    <row r="969" spans="1:6" x14ac:dyDescent="0.25">
      <c r="A969" s="1">
        <v>41992</v>
      </c>
      <c r="B969" s="1">
        <v>42007</v>
      </c>
      <c r="C969">
        <v>6.34</v>
      </c>
      <c r="D969">
        <v>0.17</v>
      </c>
      <c r="E969">
        <v>6</v>
      </c>
      <c r="F969">
        <f xml:space="preserve"> WYNAJEM3[[#This Row],[data_wyjazdu]] - WYNAJEM3[[#This Row],[data_przyjazdu]]</f>
        <v>15</v>
      </c>
    </row>
    <row r="970" spans="1:6" x14ac:dyDescent="0.25">
      <c r="A970" s="1">
        <v>41993</v>
      </c>
      <c r="B970" s="1">
        <v>42014</v>
      </c>
      <c r="C970">
        <v>3.94</v>
      </c>
      <c r="D970">
        <v>0.1</v>
      </c>
      <c r="E970">
        <v>4</v>
      </c>
      <c r="F970">
        <f xml:space="preserve"> WYNAJEM3[[#This Row],[data_wyjazdu]] - WYNAJEM3[[#This Row],[data_przyjazdu]]</f>
        <v>21</v>
      </c>
    </row>
    <row r="971" spans="1:6" x14ac:dyDescent="0.25">
      <c r="A971" s="1">
        <v>41993</v>
      </c>
      <c r="B971" s="1">
        <v>42021</v>
      </c>
      <c r="C971">
        <v>8.7200000000000006</v>
      </c>
      <c r="D971">
        <v>0.23</v>
      </c>
      <c r="E971">
        <v>4</v>
      </c>
      <c r="F971">
        <f xml:space="preserve"> WYNAJEM3[[#This Row],[data_wyjazdu]] - WYNAJEM3[[#This Row],[data_przyjazdu]]</f>
        <v>28</v>
      </c>
    </row>
    <row r="972" spans="1:6" x14ac:dyDescent="0.25">
      <c r="A972" s="1">
        <v>41994</v>
      </c>
      <c r="B972" s="1">
        <v>42012</v>
      </c>
      <c r="C972">
        <v>5.67</v>
      </c>
      <c r="D972">
        <v>0.15</v>
      </c>
      <c r="E972">
        <v>6</v>
      </c>
      <c r="F972">
        <f xml:space="preserve"> WYNAJEM3[[#This Row],[data_wyjazdu]] - WYNAJEM3[[#This Row],[data_przyjazdu]]</f>
        <v>18</v>
      </c>
    </row>
    <row r="973" spans="1:6" x14ac:dyDescent="0.25">
      <c r="A973" s="1">
        <v>41994</v>
      </c>
      <c r="B973" s="1">
        <v>42021</v>
      </c>
      <c r="C973">
        <v>6.58</v>
      </c>
      <c r="D973">
        <v>0.17</v>
      </c>
      <c r="E973">
        <v>5</v>
      </c>
      <c r="F973">
        <f xml:space="preserve"> WYNAJEM3[[#This Row],[data_wyjazdu]] - WYNAJEM3[[#This Row],[data_przyjazdu]]</f>
        <v>27</v>
      </c>
    </row>
    <row r="974" spans="1:6" x14ac:dyDescent="0.25">
      <c r="A974" s="1">
        <v>41994</v>
      </c>
      <c r="B974" s="1">
        <v>42022</v>
      </c>
      <c r="C974">
        <v>8.7200000000000006</v>
      </c>
      <c r="D974">
        <v>0.23</v>
      </c>
      <c r="E974">
        <v>6</v>
      </c>
      <c r="F974">
        <f xml:space="preserve"> WYNAJEM3[[#This Row],[data_wyjazdu]] - WYNAJEM3[[#This Row],[data_przyjazdu]]</f>
        <v>28</v>
      </c>
    </row>
    <row r="975" spans="1:6" x14ac:dyDescent="0.25">
      <c r="A975" s="1">
        <v>41994</v>
      </c>
      <c r="B975" s="1">
        <v>42000</v>
      </c>
      <c r="C975">
        <v>6.43</v>
      </c>
      <c r="D975">
        <v>0.17</v>
      </c>
      <c r="E975">
        <v>2</v>
      </c>
      <c r="F975">
        <f xml:space="preserve"> WYNAJEM3[[#This Row],[data_wyjazdu]] - WYNAJEM3[[#This Row],[data_przyjazdu]]</f>
        <v>6</v>
      </c>
    </row>
    <row r="976" spans="1:6" x14ac:dyDescent="0.25">
      <c r="A976" s="1">
        <v>41994</v>
      </c>
      <c r="B976" s="1">
        <v>42001</v>
      </c>
      <c r="C976">
        <v>3.73</v>
      </c>
      <c r="D976">
        <v>0.1</v>
      </c>
      <c r="E976">
        <v>2</v>
      </c>
      <c r="F976">
        <f xml:space="preserve"> WYNAJEM3[[#This Row],[data_wyjazdu]] - WYNAJEM3[[#This Row],[data_przyjazdu]]</f>
        <v>7</v>
      </c>
    </row>
    <row r="977" spans="1:6" x14ac:dyDescent="0.25">
      <c r="A977" s="1">
        <v>41994</v>
      </c>
      <c r="B977" s="1">
        <v>42015</v>
      </c>
      <c r="C977">
        <v>7.71</v>
      </c>
      <c r="D977">
        <v>0.2</v>
      </c>
      <c r="E977">
        <v>6</v>
      </c>
      <c r="F977">
        <f xml:space="preserve"> WYNAJEM3[[#This Row],[data_wyjazdu]] - WYNAJEM3[[#This Row],[data_przyjazdu]]</f>
        <v>21</v>
      </c>
    </row>
    <row r="978" spans="1:6" x14ac:dyDescent="0.25">
      <c r="A978" s="1">
        <v>41994</v>
      </c>
      <c r="B978" s="1">
        <v>42007</v>
      </c>
      <c r="C978">
        <v>7.31</v>
      </c>
      <c r="D978">
        <v>0.19</v>
      </c>
      <c r="E978">
        <v>5</v>
      </c>
      <c r="F978">
        <f xml:space="preserve"> WYNAJEM3[[#This Row],[data_wyjazdu]] - WYNAJEM3[[#This Row],[data_przyjazdu]]</f>
        <v>13</v>
      </c>
    </row>
    <row r="979" spans="1:6" x14ac:dyDescent="0.25">
      <c r="A979" s="1">
        <v>41994</v>
      </c>
      <c r="B979" s="1">
        <v>42016</v>
      </c>
      <c r="C979">
        <v>4.25</v>
      </c>
      <c r="D979">
        <v>0.11</v>
      </c>
      <c r="E979">
        <v>4</v>
      </c>
      <c r="F979">
        <f xml:space="preserve"> WYNAJEM3[[#This Row],[data_wyjazdu]] - WYNAJEM3[[#This Row],[data_przyjazdu]]</f>
        <v>22</v>
      </c>
    </row>
    <row r="980" spans="1:6" x14ac:dyDescent="0.25">
      <c r="A980" s="1">
        <v>41995</v>
      </c>
      <c r="B980" s="1">
        <v>42018</v>
      </c>
      <c r="C980">
        <v>6.43</v>
      </c>
      <c r="D980">
        <v>0.17</v>
      </c>
      <c r="E980">
        <v>2</v>
      </c>
      <c r="F980">
        <f xml:space="preserve"> WYNAJEM3[[#This Row],[data_wyjazdu]] - WYNAJEM3[[#This Row],[data_przyjazdu]]</f>
        <v>23</v>
      </c>
    </row>
    <row r="981" spans="1:6" x14ac:dyDescent="0.25">
      <c r="A981" s="1">
        <v>41995</v>
      </c>
      <c r="B981" s="1">
        <v>42017</v>
      </c>
      <c r="C981">
        <v>4.66</v>
      </c>
      <c r="D981">
        <v>0.12</v>
      </c>
      <c r="E981">
        <v>5</v>
      </c>
      <c r="F981">
        <f xml:space="preserve"> WYNAJEM3[[#This Row],[data_wyjazdu]] - WYNAJEM3[[#This Row],[data_przyjazdu]]</f>
        <v>22</v>
      </c>
    </row>
    <row r="982" spans="1:6" x14ac:dyDescent="0.25">
      <c r="A982" s="1">
        <v>41995</v>
      </c>
      <c r="B982" s="1">
        <v>42006</v>
      </c>
      <c r="C982">
        <v>6.23</v>
      </c>
      <c r="D982">
        <v>0.16</v>
      </c>
      <c r="E982">
        <v>5</v>
      </c>
      <c r="F982">
        <f xml:space="preserve"> WYNAJEM3[[#This Row],[data_wyjazdu]] - WYNAJEM3[[#This Row],[data_przyjazdu]]</f>
        <v>11</v>
      </c>
    </row>
    <row r="983" spans="1:6" x14ac:dyDescent="0.25">
      <c r="A983" s="1">
        <v>41995</v>
      </c>
      <c r="B983" s="1">
        <v>42018</v>
      </c>
      <c r="C983">
        <v>3.73</v>
      </c>
      <c r="D983">
        <v>0.1</v>
      </c>
      <c r="E983">
        <v>3</v>
      </c>
      <c r="F983">
        <f xml:space="preserve"> WYNAJEM3[[#This Row],[data_wyjazdu]] - WYNAJEM3[[#This Row],[data_przyjazdu]]</f>
        <v>23</v>
      </c>
    </row>
    <row r="984" spans="1:6" x14ac:dyDescent="0.25">
      <c r="A984" s="1">
        <v>41995</v>
      </c>
      <c r="B984" s="1">
        <v>42006</v>
      </c>
      <c r="C984">
        <v>3.79</v>
      </c>
      <c r="D984">
        <v>0.1</v>
      </c>
      <c r="E984">
        <v>2</v>
      </c>
      <c r="F984">
        <f xml:space="preserve"> WYNAJEM3[[#This Row],[data_wyjazdu]] - WYNAJEM3[[#This Row],[data_przyjazdu]]</f>
        <v>11</v>
      </c>
    </row>
    <row r="985" spans="1:6" x14ac:dyDescent="0.25">
      <c r="A985" s="1">
        <v>41995</v>
      </c>
      <c r="B985" s="1">
        <v>42000</v>
      </c>
      <c r="C985">
        <v>2.0099999999999998</v>
      </c>
      <c r="D985">
        <v>0.05</v>
      </c>
      <c r="E985">
        <v>6</v>
      </c>
      <c r="F985">
        <f xml:space="preserve"> WYNAJEM3[[#This Row],[data_wyjazdu]] - WYNAJEM3[[#This Row],[data_przyjazdu]]</f>
        <v>5</v>
      </c>
    </row>
    <row r="986" spans="1:6" x14ac:dyDescent="0.25">
      <c r="A986" s="1">
        <v>41995</v>
      </c>
      <c r="B986" s="1">
        <v>42003</v>
      </c>
      <c r="C986">
        <v>6.43</v>
      </c>
      <c r="D986">
        <v>0.17</v>
      </c>
      <c r="E986">
        <v>3</v>
      </c>
      <c r="F986">
        <f xml:space="preserve"> WYNAJEM3[[#This Row],[data_wyjazdu]] - WYNAJEM3[[#This Row],[data_przyjazdu]]</f>
        <v>8</v>
      </c>
    </row>
    <row r="987" spans="1:6" x14ac:dyDescent="0.25">
      <c r="A987" s="1">
        <v>41995</v>
      </c>
      <c r="B987" s="1">
        <v>42022</v>
      </c>
      <c r="C987">
        <v>2.72</v>
      </c>
      <c r="D987">
        <v>7.0000000000000007E-2</v>
      </c>
      <c r="E987">
        <v>3</v>
      </c>
      <c r="F987">
        <f xml:space="preserve"> WYNAJEM3[[#This Row],[data_wyjazdu]] - WYNAJEM3[[#This Row],[data_przyjazdu]]</f>
        <v>27</v>
      </c>
    </row>
    <row r="988" spans="1:6" x14ac:dyDescent="0.25">
      <c r="A988" s="1">
        <v>41995</v>
      </c>
      <c r="B988" s="1">
        <v>42005</v>
      </c>
      <c r="C988">
        <v>9.06</v>
      </c>
      <c r="D988">
        <v>0.24</v>
      </c>
      <c r="E988">
        <v>3</v>
      </c>
      <c r="F988">
        <f xml:space="preserve"> WYNAJEM3[[#This Row],[data_wyjazdu]] - WYNAJEM3[[#This Row],[data_przyjazdu]]</f>
        <v>10</v>
      </c>
    </row>
    <row r="989" spans="1:6" x14ac:dyDescent="0.25">
      <c r="A989" s="1">
        <v>41995</v>
      </c>
      <c r="B989" s="1">
        <v>42007</v>
      </c>
      <c r="C989">
        <v>5.67</v>
      </c>
      <c r="D989">
        <v>0.15</v>
      </c>
      <c r="E989">
        <v>3</v>
      </c>
      <c r="F989">
        <f xml:space="preserve"> WYNAJEM3[[#This Row],[data_wyjazdu]] - WYNAJEM3[[#This Row],[data_przyjazdu]]</f>
        <v>12</v>
      </c>
    </row>
    <row r="990" spans="1:6" x14ac:dyDescent="0.25">
      <c r="A990" s="1">
        <v>41995</v>
      </c>
      <c r="B990" s="1">
        <v>42009</v>
      </c>
      <c r="C990">
        <v>4.25</v>
      </c>
      <c r="D990">
        <v>0.11</v>
      </c>
      <c r="E990">
        <v>6</v>
      </c>
      <c r="F990">
        <f xml:space="preserve"> WYNAJEM3[[#This Row],[data_wyjazdu]] - WYNAJEM3[[#This Row],[data_przyjazdu]]</f>
        <v>14</v>
      </c>
    </row>
    <row r="991" spans="1:6" x14ac:dyDescent="0.25">
      <c r="A991" s="1">
        <v>41995</v>
      </c>
      <c r="B991" s="1">
        <v>42009</v>
      </c>
      <c r="C991">
        <v>3.57</v>
      </c>
      <c r="D991">
        <v>0.09</v>
      </c>
      <c r="E991">
        <v>2</v>
      </c>
      <c r="F991">
        <f xml:space="preserve"> WYNAJEM3[[#This Row],[data_wyjazdu]] - WYNAJEM3[[#This Row],[data_przyjazdu]]</f>
        <v>14</v>
      </c>
    </row>
    <row r="992" spans="1:6" x14ac:dyDescent="0.25">
      <c r="A992" s="1">
        <v>41995</v>
      </c>
      <c r="B992" s="1">
        <v>42008</v>
      </c>
      <c r="C992">
        <v>8.39</v>
      </c>
      <c r="D992">
        <v>0.22</v>
      </c>
      <c r="E992">
        <v>5</v>
      </c>
      <c r="F992">
        <f xml:space="preserve"> WYNAJEM3[[#This Row],[data_wyjazdu]] - WYNAJEM3[[#This Row],[data_przyjazdu]]</f>
        <v>13</v>
      </c>
    </row>
    <row r="993" spans="1:6" x14ac:dyDescent="0.25">
      <c r="A993" s="1">
        <v>41995</v>
      </c>
      <c r="B993" s="1">
        <v>42021</v>
      </c>
      <c r="C993">
        <v>2.29</v>
      </c>
      <c r="D993">
        <v>0.06</v>
      </c>
      <c r="E993">
        <v>5</v>
      </c>
      <c r="F993">
        <f xml:space="preserve"> WYNAJEM3[[#This Row],[data_wyjazdu]] - WYNAJEM3[[#This Row],[data_przyjazdu]]</f>
        <v>26</v>
      </c>
    </row>
    <row r="994" spans="1:6" x14ac:dyDescent="0.25">
      <c r="A994" s="1">
        <v>42001</v>
      </c>
      <c r="B994" s="1">
        <v>42010</v>
      </c>
      <c r="C994">
        <v>3.79</v>
      </c>
      <c r="D994">
        <v>0.1</v>
      </c>
      <c r="E994">
        <v>4</v>
      </c>
      <c r="F994">
        <f xml:space="preserve"> WYNAJEM3[[#This Row],[data_wyjazdu]] - WYNAJEM3[[#This Row],[data_przyjazdu]]</f>
        <v>9</v>
      </c>
    </row>
    <row r="995" spans="1:6" x14ac:dyDescent="0.25">
      <c r="A995" s="1">
        <v>42001</v>
      </c>
      <c r="B995" s="1">
        <v>42006</v>
      </c>
      <c r="C995">
        <v>7.55</v>
      </c>
      <c r="D995">
        <v>0.2</v>
      </c>
      <c r="E995">
        <v>3</v>
      </c>
      <c r="F995">
        <f xml:space="preserve"> WYNAJEM3[[#This Row],[data_wyjazdu]] - WYNAJEM3[[#This Row],[data_przyjazdu]]</f>
        <v>5</v>
      </c>
    </row>
    <row r="996" spans="1:6" x14ac:dyDescent="0.25">
      <c r="A996" s="1">
        <v>42002</v>
      </c>
      <c r="B996" s="1">
        <v>42028</v>
      </c>
      <c r="C996">
        <v>7.71</v>
      </c>
      <c r="D996">
        <v>0.2</v>
      </c>
      <c r="E996">
        <v>6</v>
      </c>
      <c r="F996">
        <f xml:space="preserve"> WYNAJEM3[[#This Row],[data_wyjazdu]] - WYNAJEM3[[#This Row],[data_przyjazdu]]</f>
        <v>26</v>
      </c>
    </row>
    <row r="997" spans="1:6" x14ac:dyDescent="0.25">
      <c r="A997" s="1">
        <v>42002</v>
      </c>
      <c r="B997" s="1">
        <v>42004</v>
      </c>
      <c r="C997">
        <v>6.34</v>
      </c>
      <c r="D997">
        <v>0.17</v>
      </c>
      <c r="E997">
        <v>4</v>
      </c>
      <c r="F997">
        <f xml:space="preserve"> WYNAJEM3[[#This Row],[data_wyjazdu]] - WYNAJEM3[[#This Row],[data_przyjazdu]]</f>
        <v>2</v>
      </c>
    </row>
    <row r="998" spans="1:6" x14ac:dyDescent="0.25">
      <c r="A998" s="1">
        <v>42002</v>
      </c>
      <c r="B998" s="1">
        <v>42012</v>
      </c>
      <c r="C998">
        <v>6.58</v>
      </c>
      <c r="D998">
        <v>0.17</v>
      </c>
      <c r="E998">
        <v>2</v>
      </c>
      <c r="F998">
        <f xml:space="preserve"> WYNAJEM3[[#This Row],[data_wyjazdu]] - WYNAJEM3[[#This Row],[data_przyjazdu]]</f>
        <v>10</v>
      </c>
    </row>
    <row r="999" spans="1:6" x14ac:dyDescent="0.25">
      <c r="A999" s="1">
        <v>42002</v>
      </c>
      <c r="B999" s="1">
        <v>42028</v>
      </c>
      <c r="C999">
        <v>6.34</v>
      </c>
      <c r="D999">
        <v>0.17</v>
      </c>
      <c r="E999">
        <v>6</v>
      </c>
      <c r="F999">
        <f xml:space="preserve"> WYNAJEM3[[#This Row],[data_wyjazdu]] - WYNAJEM3[[#This Row],[data_przyjazdu]]</f>
        <v>26</v>
      </c>
    </row>
    <row r="1000" spans="1:6" x14ac:dyDescent="0.25">
      <c r="A1000" s="1">
        <v>42002</v>
      </c>
      <c r="B1000" s="1">
        <v>42019</v>
      </c>
      <c r="C1000">
        <v>5.67</v>
      </c>
      <c r="D1000">
        <v>0.15</v>
      </c>
      <c r="E1000">
        <v>4</v>
      </c>
      <c r="F1000">
        <f xml:space="preserve"> WYNAJEM3[[#This Row],[data_wyjazdu]] - WYNAJEM3[[#This Row],[data_przyjazdu]]</f>
        <v>17</v>
      </c>
    </row>
    <row r="1001" spans="1:6" x14ac:dyDescent="0.25">
      <c r="A1001" s="1">
        <v>42002</v>
      </c>
      <c r="B1001" s="1">
        <v>42009</v>
      </c>
      <c r="C1001">
        <v>4.25</v>
      </c>
      <c r="D1001">
        <v>0.11</v>
      </c>
      <c r="E1001">
        <v>4</v>
      </c>
      <c r="F1001">
        <f xml:space="preserve"> WYNAJEM3[[#This Row],[data_wyjazdu]] - WYNAJEM3[[#This Row],[data_przyjazdu]]</f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D82D-41E5-463B-B3A3-26EF84959B1F}">
  <dimension ref="A3:B9"/>
  <sheetViews>
    <sheetView workbookViewId="0">
      <selection activeCell="A4" sqref="A4:B8"/>
      <pivotSelection pane="bottomRight" showHeader="1" extendable="1" axis="axisRow" max="6" activeRow="3" previousRow="7" click="1" r:id="rId1">
        <pivotArea dataOnly="0" axis="axisRow" fieldPosition="0">
          <references count="1">
            <reference field="4" count="5">
              <x v="0"/>
              <x v="1"/>
              <x v="2"/>
              <x v="3"/>
              <x v="4"/>
            </reference>
          </references>
        </pivotArea>
      </pivotSelection>
    </sheetView>
  </sheetViews>
  <sheetFormatPr defaultRowHeight="15" x14ac:dyDescent="0.25"/>
  <cols>
    <col min="1" max="1" width="17.7109375" bestFit="1" customWidth="1"/>
    <col min="2" max="2" width="17.42578125" bestFit="1" customWidth="1"/>
  </cols>
  <sheetData>
    <row r="3" spans="1:2" x14ac:dyDescent="0.25">
      <c r="A3" s="2" t="s">
        <v>5</v>
      </c>
      <c r="B3" t="s">
        <v>10</v>
      </c>
    </row>
    <row r="4" spans="1:2" x14ac:dyDescent="0.25">
      <c r="A4" s="3">
        <v>2</v>
      </c>
      <c r="B4">
        <v>2985</v>
      </c>
    </row>
    <row r="5" spans="1:2" x14ac:dyDescent="0.25">
      <c r="A5" s="3">
        <v>3</v>
      </c>
      <c r="B5">
        <v>2816</v>
      </c>
    </row>
    <row r="6" spans="1:2" x14ac:dyDescent="0.25">
      <c r="A6" s="3">
        <v>4</v>
      </c>
      <c r="B6">
        <v>2944</v>
      </c>
    </row>
    <row r="7" spans="1:2" x14ac:dyDescent="0.25">
      <c r="A7" s="3">
        <v>5</v>
      </c>
      <c r="B7">
        <v>2997</v>
      </c>
    </row>
    <row r="8" spans="1:2" x14ac:dyDescent="0.25">
      <c r="A8" s="3">
        <v>6</v>
      </c>
      <c r="B8">
        <v>3244</v>
      </c>
    </row>
    <row r="9" spans="1:2" x14ac:dyDescent="0.25">
      <c r="A9" s="3" t="s">
        <v>6</v>
      </c>
      <c r="B9">
        <v>14986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29C9-3039-4132-9AC9-89BD301DA4A9}">
  <dimension ref="A1:M1001"/>
  <sheetViews>
    <sheetView workbookViewId="0">
      <selection activeCell="K10" sqref="K10"/>
    </sheetView>
  </sheetViews>
  <sheetFormatPr defaultRowHeight="15" x14ac:dyDescent="0.25"/>
  <cols>
    <col min="1" max="1" width="16.7109375" bestFit="1" customWidth="1"/>
    <col min="2" max="2" width="15.5703125" bestFit="1" customWidth="1"/>
    <col min="3" max="3" width="10" bestFit="1" customWidth="1"/>
    <col min="4" max="4" width="8.140625" bestFit="1" customWidth="1"/>
    <col min="5" max="5" width="6.140625" bestFit="1" customWidth="1"/>
    <col min="6" max="6" width="26.85546875" style="10" bestFit="1" customWidth="1"/>
    <col min="7" max="7" width="21.7109375" bestFit="1" customWidth="1"/>
    <col min="8" max="8" width="11.28515625" style="8" bestFit="1" customWidth="1"/>
    <col min="9" max="9" width="15.5703125" bestFit="1" customWidth="1"/>
    <col min="13" max="13" width="13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0" t="s">
        <v>14</v>
      </c>
      <c r="G1" t="s">
        <v>15</v>
      </c>
      <c r="H1" s="8" t="s">
        <v>16</v>
      </c>
      <c r="I1" t="s">
        <v>17</v>
      </c>
    </row>
    <row r="2" spans="1:13" x14ac:dyDescent="0.25">
      <c r="A2" s="1">
        <v>41641</v>
      </c>
      <c r="B2" s="1">
        <v>41650</v>
      </c>
      <c r="C2" s="8">
        <v>39.35</v>
      </c>
      <c r="D2" s="8">
        <v>1.04</v>
      </c>
      <c r="E2">
        <v>5</v>
      </c>
      <c r="F2" s="10">
        <f>(WYNAJEM4[[#This Row],[data_wyjazdu]]-WYNAJEM4[[#This Row],[data_przyjazdu]])</f>
        <v>9</v>
      </c>
      <c r="G2" s="9">
        <f xml:space="preserve"> WYNAJEM4[[#This Row],[energia]] + WYNAJEM4[[#This Row],[woda]]</f>
        <v>40.39</v>
      </c>
      <c r="H2" s="8">
        <f xml:space="preserve"> (10 * WYNAJEM4[[#This Row],[typ]] * WYNAJEM4[[#This Row],[czas wynajecia domku]])</f>
        <v>450</v>
      </c>
      <c r="I2" s="9">
        <f xml:space="preserve"> WYNAJEM4[[#This Row],[suma energia i woda]] + WYNAJEM4[[#This Row],[czynsz]]</f>
        <v>490.39</v>
      </c>
      <c r="L2" t="s">
        <v>19</v>
      </c>
      <c r="M2" t="s">
        <v>13</v>
      </c>
    </row>
    <row r="3" spans="1:13" x14ac:dyDescent="0.25">
      <c r="A3" s="1">
        <v>41641</v>
      </c>
      <c r="B3" s="1">
        <v>41662</v>
      </c>
      <c r="C3" s="8">
        <v>3.79</v>
      </c>
      <c r="D3" s="8">
        <v>0.1</v>
      </c>
      <c r="E3">
        <v>6</v>
      </c>
      <c r="F3" s="10">
        <f>(WYNAJEM4[[#This Row],[data_wyjazdu]]-WYNAJEM4[[#This Row],[data_przyjazdu]])</f>
        <v>21</v>
      </c>
      <c r="G3" s="9">
        <f xml:space="preserve"> WYNAJEM4[[#This Row],[energia]] + WYNAJEM4[[#This Row],[woda]]</f>
        <v>3.89</v>
      </c>
      <c r="H3" s="8">
        <f xml:space="preserve"> (10 * WYNAJEM4[[#This Row],[typ]] * WYNAJEM4[[#This Row],[czas wynajecia domku]])</f>
        <v>1260</v>
      </c>
      <c r="I3" s="9">
        <f xml:space="preserve"> WYNAJEM4[[#This Row],[suma energia i woda]] + WYNAJEM4[[#This Row],[czynsz]]</f>
        <v>1263.8900000000001</v>
      </c>
      <c r="K3" t="s">
        <v>20</v>
      </c>
      <c r="L3" s="3">
        <v>6</v>
      </c>
      <c r="M3" s="9">
        <v>196335.25000000006</v>
      </c>
    </row>
    <row r="4" spans="1:13" x14ac:dyDescent="0.25">
      <c r="A4" s="1">
        <v>41641</v>
      </c>
      <c r="B4" s="1">
        <v>41653</v>
      </c>
      <c r="C4" s="8">
        <v>3.88</v>
      </c>
      <c r="D4" s="8">
        <v>0.1</v>
      </c>
      <c r="E4">
        <v>6</v>
      </c>
      <c r="F4" s="10">
        <f>(WYNAJEM4[[#This Row],[data_wyjazdu]]-WYNAJEM4[[#This Row],[data_przyjazdu]])</f>
        <v>12</v>
      </c>
      <c r="G4" s="9">
        <f xml:space="preserve"> WYNAJEM4[[#This Row],[energia]] + WYNAJEM4[[#This Row],[woda]]</f>
        <v>3.98</v>
      </c>
      <c r="H4" s="8">
        <f xml:space="preserve"> (10 * WYNAJEM4[[#This Row],[typ]] * WYNAJEM4[[#This Row],[czas wynajecia domku]])</f>
        <v>720</v>
      </c>
      <c r="I4" s="9">
        <f xml:space="preserve"> WYNAJEM4[[#This Row],[suma energia i woda]] + WYNAJEM4[[#This Row],[czynsz]]</f>
        <v>723.98</v>
      </c>
      <c r="L4" s="3">
        <v>5</v>
      </c>
      <c r="M4" s="9">
        <v>151509.94000000009</v>
      </c>
    </row>
    <row r="5" spans="1:13" x14ac:dyDescent="0.25">
      <c r="A5" s="1">
        <v>41641</v>
      </c>
      <c r="B5" s="1">
        <v>41661</v>
      </c>
      <c r="C5" s="8">
        <v>6.43</v>
      </c>
      <c r="D5" s="8">
        <v>0.17</v>
      </c>
      <c r="E5">
        <v>5</v>
      </c>
      <c r="F5" s="10">
        <f>(WYNAJEM4[[#This Row],[data_wyjazdu]]-WYNAJEM4[[#This Row],[data_przyjazdu]])</f>
        <v>20</v>
      </c>
      <c r="G5" s="9">
        <f xml:space="preserve"> WYNAJEM4[[#This Row],[energia]] + WYNAJEM4[[#This Row],[woda]]</f>
        <v>6.6</v>
      </c>
      <c r="H5" s="8">
        <f xml:space="preserve"> (10 * WYNAJEM4[[#This Row],[typ]] * WYNAJEM4[[#This Row],[czas wynajecia domku]])</f>
        <v>1000</v>
      </c>
      <c r="I5" s="9">
        <f xml:space="preserve"> WYNAJEM4[[#This Row],[suma energia i woda]] + WYNAJEM4[[#This Row],[czynsz]]</f>
        <v>1006.6</v>
      </c>
      <c r="L5" s="3">
        <v>4</v>
      </c>
      <c r="M5" s="9">
        <v>119478.24000000006</v>
      </c>
    </row>
    <row r="6" spans="1:13" x14ac:dyDescent="0.25">
      <c r="A6" s="1">
        <v>41641</v>
      </c>
      <c r="B6" s="1">
        <v>41666</v>
      </c>
      <c r="C6" s="8">
        <v>8.39</v>
      </c>
      <c r="D6" s="8">
        <v>0.22</v>
      </c>
      <c r="E6">
        <v>2</v>
      </c>
      <c r="F6" s="10">
        <f>(WYNAJEM4[[#This Row],[data_wyjazdu]]-WYNAJEM4[[#This Row],[data_przyjazdu]])</f>
        <v>25</v>
      </c>
      <c r="G6" s="9">
        <f xml:space="preserve"> WYNAJEM4[[#This Row],[energia]] + WYNAJEM4[[#This Row],[woda]]</f>
        <v>8.6100000000000012</v>
      </c>
      <c r="H6" s="8">
        <f xml:space="preserve"> (10 * WYNAJEM4[[#This Row],[typ]] * WYNAJEM4[[#This Row],[czas wynajecia domku]])</f>
        <v>500</v>
      </c>
      <c r="I6" s="9">
        <f xml:space="preserve"> WYNAJEM4[[#This Row],[suma energia i woda]] + WYNAJEM4[[#This Row],[czynsz]]</f>
        <v>508.61</v>
      </c>
      <c r="L6" s="3">
        <v>3</v>
      </c>
      <c r="M6" s="9">
        <v>86170.730000000054</v>
      </c>
    </row>
    <row r="7" spans="1:13" x14ac:dyDescent="0.25">
      <c r="A7" s="1">
        <v>41641</v>
      </c>
      <c r="B7" s="1">
        <v>41669</v>
      </c>
      <c r="C7" s="8">
        <v>11.42</v>
      </c>
      <c r="D7" s="8">
        <v>0.3</v>
      </c>
      <c r="E7">
        <v>2</v>
      </c>
      <c r="F7" s="10">
        <f>(WYNAJEM4[[#This Row],[data_wyjazdu]]-WYNAJEM4[[#This Row],[data_przyjazdu]])</f>
        <v>28</v>
      </c>
      <c r="G7" s="9">
        <f xml:space="preserve"> WYNAJEM4[[#This Row],[energia]] + WYNAJEM4[[#This Row],[woda]]</f>
        <v>11.72</v>
      </c>
      <c r="H7" s="8">
        <f xml:space="preserve"> (10 * WYNAJEM4[[#This Row],[typ]] * WYNAJEM4[[#This Row],[czas wynajecia domku]])</f>
        <v>560</v>
      </c>
      <c r="I7" s="9">
        <f xml:space="preserve"> WYNAJEM4[[#This Row],[suma energia i woda]] + WYNAJEM4[[#This Row],[czynsz]]</f>
        <v>571.72</v>
      </c>
      <c r="L7" s="3">
        <v>2</v>
      </c>
      <c r="M7" s="9">
        <v>61401.000000000029</v>
      </c>
    </row>
    <row r="8" spans="1:13" x14ac:dyDescent="0.25">
      <c r="A8" s="1">
        <v>41642</v>
      </c>
      <c r="B8" s="1">
        <v>41670</v>
      </c>
      <c r="C8" s="8">
        <v>5.64</v>
      </c>
      <c r="D8" s="8">
        <v>0.15</v>
      </c>
      <c r="E8">
        <v>5</v>
      </c>
      <c r="F8" s="10">
        <f>(WYNAJEM4[[#This Row],[data_wyjazdu]]-WYNAJEM4[[#This Row],[data_przyjazdu]])</f>
        <v>28</v>
      </c>
      <c r="G8" s="9">
        <f xml:space="preserve"> WYNAJEM4[[#This Row],[energia]] + WYNAJEM4[[#This Row],[woda]]</f>
        <v>5.79</v>
      </c>
      <c r="H8" s="8">
        <f xml:space="preserve"> (10 * WYNAJEM4[[#This Row],[typ]] * WYNAJEM4[[#This Row],[czas wynajecia domku]])</f>
        <v>1400</v>
      </c>
      <c r="I8" s="9">
        <f xml:space="preserve"> WYNAJEM4[[#This Row],[suma energia i woda]] + WYNAJEM4[[#This Row],[czynsz]]</f>
        <v>1405.79</v>
      </c>
    </row>
    <row r="9" spans="1:13" x14ac:dyDescent="0.25">
      <c r="A9" s="1">
        <v>41642</v>
      </c>
      <c r="B9" s="1">
        <v>41645</v>
      </c>
      <c r="C9" s="8">
        <v>10.59</v>
      </c>
      <c r="D9" s="8">
        <v>0.28000000000000003</v>
      </c>
      <c r="E9">
        <v>5</v>
      </c>
      <c r="F9" s="10">
        <f>(WYNAJEM4[[#This Row],[data_wyjazdu]]-WYNAJEM4[[#This Row],[data_przyjazdu]])</f>
        <v>3</v>
      </c>
      <c r="G9" s="9">
        <f xml:space="preserve"> WYNAJEM4[[#This Row],[energia]] + WYNAJEM4[[#This Row],[woda]]</f>
        <v>10.87</v>
      </c>
      <c r="H9" s="8">
        <f xml:space="preserve"> (10 * WYNAJEM4[[#This Row],[typ]] * WYNAJEM4[[#This Row],[czas wynajecia domku]])</f>
        <v>150</v>
      </c>
      <c r="I9" s="9">
        <f xml:space="preserve"> WYNAJEM4[[#This Row],[suma energia i woda]] + WYNAJEM4[[#This Row],[czynsz]]</f>
        <v>160.87</v>
      </c>
    </row>
    <row r="10" spans="1:13" x14ac:dyDescent="0.25">
      <c r="A10" s="1">
        <v>41642</v>
      </c>
      <c r="B10" s="1">
        <v>41669</v>
      </c>
      <c r="C10" s="8">
        <v>4.25</v>
      </c>
      <c r="D10" s="8">
        <v>0.11</v>
      </c>
      <c r="E10">
        <v>2</v>
      </c>
      <c r="F10" s="10">
        <f>(WYNAJEM4[[#This Row],[data_wyjazdu]]-WYNAJEM4[[#This Row],[data_przyjazdu]])</f>
        <v>27</v>
      </c>
      <c r="G10" s="9">
        <f xml:space="preserve"> WYNAJEM4[[#This Row],[energia]] + WYNAJEM4[[#This Row],[woda]]</f>
        <v>4.3600000000000003</v>
      </c>
      <c r="H10" s="8">
        <f xml:space="preserve"> (10 * WYNAJEM4[[#This Row],[typ]] * WYNAJEM4[[#This Row],[czas wynajecia domku]])</f>
        <v>540</v>
      </c>
      <c r="I10" s="9">
        <f xml:space="preserve"> WYNAJEM4[[#This Row],[suma energia i woda]] + WYNAJEM4[[#This Row],[czynsz]]</f>
        <v>544.36</v>
      </c>
    </row>
    <row r="11" spans="1:13" x14ac:dyDescent="0.25">
      <c r="A11" s="1">
        <v>41642</v>
      </c>
      <c r="B11" s="1">
        <v>41660</v>
      </c>
      <c r="C11" s="8">
        <v>5.64</v>
      </c>
      <c r="D11" s="8">
        <v>0.15</v>
      </c>
      <c r="E11">
        <v>4</v>
      </c>
      <c r="F11" s="10">
        <f>(WYNAJEM4[[#This Row],[data_wyjazdu]]-WYNAJEM4[[#This Row],[data_przyjazdu]])</f>
        <v>18</v>
      </c>
      <c r="G11" s="9">
        <f xml:space="preserve"> WYNAJEM4[[#This Row],[energia]] + WYNAJEM4[[#This Row],[woda]]</f>
        <v>5.79</v>
      </c>
      <c r="H11" s="8">
        <f xml:space="preserve"> (10 * WYNAJEM4[[#This Row],[typ]] * WYNAJEM4[[#This Row],[czas wynajecia domku]])</f>
        <v>720</v>
      </c>
      <c r="I11" s="9">
        <f xml:space="preserve"> WYNAJEM4[[#This Row],[suma energia i woda]] + WYNAJEM4[[#This Row],[czynsz]]</f>
        <v>725.79</v>
      </c>
    </row>
    <row r="12" spans="1:13" x14ac:dyDescent="0.25">
      <c r="A12" s="1">
        <v>41642</v>
      </c>
      <c r="B12" s="1">
        <v>41669</v>
      </c>
      <c r="C12" s="8">
        <v>5.78</v>
      </c>
      <c r="D12" s="8">
        <v>0.15</v>
      </c>
      <c r="E12">
        <v>5</v>
      </c>
      <c r="F12" s="10">
        <f>(WYNAJEM4[[#This Row],[data_wyjazdu]]-WYNAJEM4[[#This Row],[data_przyjazdu]])</f>
        <v>27</v>
      </c>
      <c r="G12" s="9">
        <f xml:space="preserve"> WYNAJEM4[[#This Row],[energia]] + WYNAJEM4[[#This Row],[woda]]</f>
        <v>5.9300000000000006</v>
      </c>
      <c r="H12" s="8">
        <f xml:space="preserve"> (10 * WYNAJEM4[[#This Row],[typ]] * WYNAJEM4[[#This Row],[czas wynajecia domku]])</f>
        <v>1350</v>
      </c>
      <c r="I12" s="9">
        <f xml:space="preserve"> WYNAJEM4[[#This Row],[suma energia i woda]] + WYNAJEM4[[#This Row],[czynsz]]</f>
        <v>1355.93</v>
      </c>
    </row>
    <row r="13" spans="1:13" x14ac:dyDescent="0.25">
      <c r="A13" s="1">
        <v>41642</v>
      </c>
      <c r="B13" s="1">
        <v>41669</v>
      </c>
      <c r="C13" s="8">
        <v>2.29</v>
      </c>
      <c r="D13" s="8">
        <v>0.06</v>
      </c>
      <c r="E13">
        <v>4</v>
      </c>
      <c r="F13" s="10">
        <f>(WYNAJEM4[[#This Row],[data_wyjazdu]]-WYNAJEM4[[#This Row],[data_przyjazdu]])</f>
        <v>27</v>
      </c>
      <c r="G13" s="9">
        <f xml:space="preserve"> WYNAJEM4[[#This Row],[energia]] + WYNAJEM4[[#This Row],[woda]]</f>
        <v>2.35</v>
      </c>
      <c r="H13" s="8">
        <f xml:space="preserve"> (10 * WYNAJEM4[[#This Row],[typ]] * WYNAJEM4[[#This Row],[czas wynajecia domku]])</f>
        <v>1080</v>
      </c>
      <c r="I13" s="9">
        <f xml:space="preserve"> WYNAJEM4[[#This Row],[suma energia i woda]] + WYNAJEM4[[#This Row],[czynsz]]</f>
        <v>1082.3499999999999</v>
      </c>
    </row>
    <row r="14" spans="1:13" x14ac:dyDescent="0.25">
      <c r="A14" s="1">
        <v>41642</v>
      </c>
      <c r="B14" s="1">
        <v>41665</v>
      </c>
      <c r="C14" s="8">
        <v>5.23</v>
      </c>
      <c r="D14" s="8">
        <v>0.14000000000000001</v>
      </c>
      <c r="E14">
        <v>2</v>
      </c>
      <c r="F14" s="10">
        <f>(WYNAJEM4[[#This Row],[data_wyjazdu]]-WYNAJEM4[[#This Row],[data_przyjazdu]])</f>
        <v>23</v>
      </c>
      <c r="G14" s="9">
        <f xml:space="preserve"> WYNAJEM4[[#This Row],[energia]] + WYNAJEM4[[#This Row],[woda]]</f>
        <v>5.37</v>
      </c>
      <c r="H14" s="8">
        <f xml:space="preserve"> (10 * WYNAJEM4[[#This Row],[typ]] * WYNAJEM4[[#This Row],[czas wynajecia domku]])</f>
        <v>460</v>
      </c>
      <c r="I14" s="9">
        <f xml:space="preserve"> WYNAJEM4[[#This Row],[suma energia i woda]] + WYNAJEM4[[#This Row],[czynsz]]</f>
        <v>465.37</v>
      </c>
    </row>
    <row r="15" spans="1:13" x14ac:dyDescent="0.25">
      <c r="A15" s="1">
        <v>41642</v>
      </c>
      <c r="B15" s="1">
        <v>41649</v>
      </c>
      <c r="C15" s="8">
        <v>5.67</v>
      </c>
      <c r="D15" s="8">
        <v>0.15</v>
      </c>
      <c r="E15">
        <v>2</v>
      </c>
      <c r="F15" s="10">
        <f>(WYNAJEM4[[#This Row],[data_wyjazdu]]-WYNAJEM4[[#This Row],[data_przyjazdu]])</f>
        <v>7</v>
      </c>
      <c r="G15" s="9">
        <f xml:space="preserve"> WYNAJEM4[[#This Row],[energia]] + WYNAJEM4[[#This Row],[woda]]</f>
        <v>5.82</v>
      </c>
      <c r="H15" s="8">
        <f xml:space="preserve"> (10 * WYNAJEM4[[#This Row],[typ]] * WYNAJEM4[[#This Row],[czas wynajecia domku]])</f>
        <v>140</v>
      </c>
      <c r="I15" s="9">
        <f xml:space="preserve"> WYNAJEM4[[#This Row],[suma energia i woda]] + WYNAJEM4[[#This Row],[czynsz]]</f>
        <v>145.82</v>
      </c>
    </row>
    <row r="16" spans="1:13" x14ac:dyDescent="0.25">
      <c r="A16" s="1">
        <v>41643</v>
      </c>
      <c r="B16" s="1">
        <v>41649</v>
      </c>
      <c r="C16" s="8">
        <v>5.64</v>
      </c>
      <c r="D16" s="8">
        <v>0.15</v>
      </c>
      <c r="E16">
        <v>2</v>
      </c>
      <c r="F16" s="10">
        <f>(WYNAJEM4[[#This Row],[data_wyjazdu]]-WYNAJEM4[[#This Row],[data_przyjazdu]])</f>
        <v>6</v>
      </c>
      <c r="G16" s="9">
        <f xml:space="preserve"> WYNAJEM4[[#This Row],[energia]] + WYNAJEM4[[#This Row],[woda]]</f>
        <v>5.79</v>
      </c>
      <c r="H16" s="8">
        <f xml:space="preserve"> (10 * WYNAJEM4[[#This Row],[typ]] * WYNAJEM4[[#This Row],[czas wynajecia domku]])</f>
        <v>120</v>
      </c>
      <c r="I16" s="9">
        <f xml:space="preserve"> WYNAJEM4[[#This Row],[suma energia i woda]] + WYNAJEM4[[#This Row],[czynsz]]</f>
        <v>125.79</v>
      </c>
    </row>
    <row r="17" spans="1:9" x14ac:dyDescent="0.25">
      <c r="A17" s="1">
        <v>41643</v>
      </c>
      <c r="B17" s="1">
        <v>41650</v>
      </c>
      <c r="C17" s="8">
        <v>4.25</v>
      </c>
      <c r="D17" s="8">
        <v>0.11</v>
      </c>
      <c r="E17">
        <v>4</v>
      </c>
      <c r="F17" s="10">
        <f>(WYNAJEM4[[#This Row],[data_wyjazdu]]-WYNAJEM4[[#This Row],[data_przyjazdu]])</f>
        <v>7</v>
      </c>
      <c r="G17" s="9">
        <f xml:space="preserve"> WYNAJEM4[[#This Row],[energia]] + WYNAJEM4[[#This Row],[woda]]</f>
        <v>4.3600000000000003</v>
      </c>
      <c r="H17" s="8">
        <f xml:space="preserve"> (10 * WYNAJEM4[[#This Row],[typ]] * WYNAJEM4[[#This Row],[czas wynajecia domku]])</f>
        <v>280</v>
      </c>
      <c r="I17" s="9">
        <f xml:space="preserve"> WYNAJEM4[[#This Row],[suma energia i woda]] + WYNAJEM4[[#This Row],[czynsz]]</f>
        <v>284.36</v>
      </c>
    </row>
    <row r="18" spans="1:9" x14ac:dyDescent="0.25">
      <c r="A18" s="1">
        <v>41643</v>
      </c>
      <c r="B18" s="1">
        <v>41660</v>
      </c>
      <c r="C18" s="8">
        <v>6.58</v>
      </c>
      <c r="D18" s="8">
        <v>0.17</v>
      </c>
      <c r="E18">
        <v>6</v>
      </c>
      <c r="F18" s="10">
        <f>(WYNAJEM4[[#This Row],[data_wyjazdu]]-WYNAJEM4[[#This Row],[data_przyjazdu]])</f>
        <v>17</v>
      </c>
      <c r="G18" s="9">
        <f xml:space="preserve"> WYNAJEM4[[#This Row],[energia]] + WYNAJEM4[[#This Row],[woda]]</f>
        <v>6.75</v>
      </c>
      <c r="H18" s="8">
        <f xml:space="preserve"> (10 * WYNAJEM4[[#This Row],[typ]] * WYNAJEM4[[#This Row],[czas wynajecia domku]])</f>
        <v>1020</v>
      </c>
      <c r="I18" s="9">
        <f xml:space="preserve"> WYNAJEM4[[#This Row],[suma energia i woda]] + WYNAJEM4[[#This Row],[czynsz]]</f>
        <v>1026.75</v>
      </c>
    </row>
    <row r="19" spans="1:9" x14ac:dyDescent="0.25">
      <c r="A19" s="1">
        <v>41644</v>
      </c>
      <c r="B19" s="1">
        <v>41661</v>
      </c>
      <c r="C19" s="8">
        <v>6.43</v>
      </c>
      <c r="D19" s="8">
        <v>0.17</v>
      </c>
      <c r="E19">
        <v>3</v>
      </c>
      <c r="F19" s="10">
        <f>(WYNAJEM4[[#This Row],[data_wyjazdu]]-WYNAJEM4[[#This Row],[data_przyjazdu]])</f>
        <v>17</v>
      </c>
      <c r="G19" s="9">
        <f xml:space="preserve"> WYNAJEM4[[#This Row],[energia]] + WYNAJEM4[[#This Row],[woda]]</f>
        <v>6.6</v>
      </c>
      <c r="H19" s="8">
        <f xml:space="preserve"> (10 * WYNAJEM4[[#This Row],[typ]] * WYNAJEM4[[#This Row],[czas wynajecia domku]])</f>
        <v>510</v>
      </c>
      <c r="I19" s="9">
        <f xml:space="preserve"> WYNAJEM4[[#This Row],[suma energia i woda]] + WYNAJEM4[[#This Row],[czynsz]]</f>
        <v>516.6</v>
      </c>
    </row>
    <row r="20" spans="1:9" x14ac:dyDescent="0.25">
      <c r="A20" s="1">
        <v>41644</v>
      </c>
      <c r="B20" s="1">
        <v>41662</v>
      </c>
      <c r="C20" s="8">
        <v>5.67</v>
      </c>
      <c r="D20" s="8">
        <v>0.15</v>
      </c>
      <c r="E20">
        <v>5</v>
      </c>
      <c r="F20" s="10">
        <f>(WYNAJEM4[[#This Row],[data_wyjazdu]]-WYNAJEM4[[#This Row],[data_przyjazdu]])</f>
        <v>18</v>
      </c>
      <c r="G20" s="9">
        <f xml:space="preserve"> WYNAJEM4[[#This Row],[energia]] + WYNAJEM4[[#This Row],[woda]]</f>
        <v>5.82</v>
      </c>
      <c r="H20" s="8">
        <f xml:space="preserve"> (10 * WYNAJEM4[[#This Row],[typ]] * WYNAJEM4[[#This Row],[czas wynajecia domku]])</f>
        <v>900</v>
      </c>
      <c r="I20" s="9">
        <f xml:space="preserve"> WYNAJEM4[[#This Row],[suma energia i woda]] + WYNAJEM4[[#This Row],[czynsz]]</f>
        <v>905.82</v>
      </c>
    </row>
    <row r="21" spans="1:9" x14ac:dyDescent="0.25">
      <c r="A21" s="1">
        <v>41645</v>
      </c>
      <c r="B21" s="1">
        <v>41654</v>
      </c>
      <c r="C21" s="8">
        <v>4.66</v>
      </c>
      <c r="D21" s="8">
        <v>0.12</v>
      </c>
      <c r="E21">
        <v>2</v>
      </c>
      <c r="F21" s="10">
        <f>(WYNAJEM4[[#This Row],[data_wyjazdu]]-WYNAJEM4[[#This Row],[data_przyjazdu]])</f>
        <v>9</v>
      </c>
      <c r="G21" s="9">
        <f xml:space="preserve"> WYNAJEM4[[#This Row],[energia]] + WYNAJEM4[[#This Row],[woda]]</f>
        <v>4.78</v>
      </c>
      <c r="H21" s="8">
        <f xml:space="preserve"> (10 * WYNAJEM4[[#This Row],[typ]] * WYNAJEM4[[#This Row],[czas wynajecia domku]])</f>
        <v>180</v>
      </c>
      <c r="I21" s="9">
        <f xml:space="preserve"> WYNAJEM4[[#This Row],[suma energia i woda]] + WYNAJEM4[[#This Row],[czynsz]]</f>
        <v>184.78</v>
      </c>
    </row>
    <row r="22" spans="1:9" x14ac:dyDescent="0.25">
      <c r="A22" s="1">
        <v>41646</v>
      </c>
      <c r="B22" s="1">
        <v>41663</v>
      </c>
      <c r="C22" s="8">
        <v>2.0099999999999998</v>
      </c>
      <c r="D22" s="8">
        <v>0.05</v>
      </c>
      <c r="E22">
        <v>4</v>
      </c>
      <c r="F22" s="10">
        <f>(WYNAJEM4[[#This Row],[data_wyjazdu]]-WYNAJEM4[[#This Row],[data_przyjazdu]])</f>
        <v>17</v>
      </c>
      <c r="G22" s="9">
        <f xml:space="preserve"> WYNAJEM4[[#This Row],[energia]] + WYNAJEM4[[#This Row],[woda]]</f>
        <v>2.0599999999999996</v>
      </c>
      <c r="H22" s="8">
        <f xml:space="preserve"> (10 * WYNAJEM4[[#This Row],[typ]] * WYNAJEM4[[#This Row],[czas wynajecia domku]])</f>
        <v>680</v>
      </c>
      <c r="I22" s="9">
        <f xml:space="preserve"> WYNAJEM4[[#This Row],[suma energia i woda]] + WYNAJEM4[[#This Row],[czynsz]]</f>
        <v>682.06</v>
      </c>
    </row>
    <row r="23" spans="1:9" x14ac:dyDescent="0.25">
      <c r="A23" s="1">
        <v>41646</v>
      </c>
      <c r="B23" s="1">
        <v>41670</v>
      </c>
      <c r="C23" s="8">
        <v>3.57</v>
      </c>
      <c r="D23" s="8">
        <v>0.09</v>
      </c>
      <c r="E23">
        <v>3</v>
      </c>
      <c r="F23" s="10">
        <f>(WYNAJEM4[[#This Row],[data_wyjazdu]]-WYNAJEM4[[#This Row],[data_przyjazdu]])</f>
        <v>24</v>
      </c>
      <c r="G23" s="9">
        <f xml:space="preserve"> WYNAJEM4[[#This Row],[energia]] + WYNAJEM4[[#This Row],[woda]]</f>
        <v>3.6599999999999997</v>
      </c>
      <c r="H23" s="8">
        <f xml:space="preserve"> (10 * WYNAJEM4[[#This Row],[typ]] * WYNAJEM4[[#This Row],[czas wynajecia domku]])</f>
        <v>720</v>
      </c>
      <c r="I23" s="9">
        <f xml:space="preserve"> WYNAJEM4[[#This Row],[suma energia i woda]] + WYNAJEM4[[#This Row],[czynsz]]</f>
        <v>723.66</v>
      </c>
    </row>
    <row r="24" spans="1:9" x14ac:dyDescent="0.25">
      <c r="A24" s="1">
        <v>41646</v>
      </c>
      <c r="B24" s="1">
        <v>41649</v>
      </c>
      <c r="C24" s="8">
        <v>2.29</v>
      </c>
      <c r="D24" s="8">
        <v>0.06</v>
      </c>
      <c r="E24">
        <v>5</v>
      </c>
      <c r="F24" s="10">
        <f>(WYNAJEM4[[#This Row],[data_wyjazdu]]-WYNAJEM4[[#This Row],[data_przyjazdu]])</f>
        <v>3</v>
      </c>
      <c r="G24" s="9">
        <f xml:space="preserve"> WYNAJEM4[[#This Row],[energia]] + WYNAJEM4[[#This Row],[woda]]</f>
        <v>2.35</v>
      </c>
      <c r="H24" s="8">
        <f xml:space="preserve"> (10 * WYNAJEM4[[#This Row],[typ]] * WYNAJEM4[[#This Row],[czas wynajecia domku]])</f>
        <v>150</v>
      </c>
      <c r="I24" s="9">
        <f xml:space="preserve"> WYNAJEM4[[#This Row],[suma energia i woda]] + WYNAJEM4[[#This Row],[czynsz]]</f>
        <v>152.35</v>
      </c>
    </row>
    <row r="25" spans="1:9" x14ac:dyDescent="0.25">
      <c r="A25" s="1">
        <v>41646</v>
      </c>
      <c r="B25" s="1">
        <v>41649</v>
      </c>
      <c r="C25" s="8">
        <v>2.72</v>
      </c>
      <c r="D25" s="8">
        <v>7.0000000000000007E-2</v>
      </c>
      <c r="E25">
        <v>4</v>
      </c>
      <c r="F25" s="10">
        <f>(WYNAJEM4[[#This Row],[data_wyjazdu]]-WYNAJEM4[[#This Row],[data_przyjazdu]])</f>
        <v>3</v>
      </c>
      <c r="G25" s="9">
        <f xml:space="preserve"> WYNAJEM4[[#This Row],[energia]] + WYNAJEM4[[#This Row],[woda]]</f>
        <v>2.79</v>
      </c>
      <c r="H25" s="8">
        <f xml:space="preserve"> (10 * WYNAJEM4[[#This Row],[typ]] * WYNAJEM4[[#This Row],[czas wynajecia domku]])</f>
        <v>120</v>
      </c>
      <c r="I25" s="9">
        <f xml:space="preserve"> WYNAJEM4[[#This Row],[suma energia i woda]] + WYNAJEM4[[#This Row],[czynsz]]</f>
        <v>122.79</v>
      </c>
    </row>
    <row r="26" spans="1:9" x14ac:dyDescent="0.25">
      <c r="A26" s="1">
        <v>41646</v>
      </c>
      <c r="B26" s="1">
        <v>41651</v>
      </c>
      <c r="C26" s="8">
        <v>3.73</v>
      </c>
      <c r="D26" s="8">
        <v>0.1</v>
      </c>
      <c r="E26">
        <v>3</v>
      </c>
      <c r="F26" s="10">
        <f>(WYNAJEM4[[#This Row],[data_wyjazdu]]-WYNAJEM4[[#This Row],[data_przyjazdu]])</f>
        <v>5</v>
      </c>
      <c r="G26" s="9">
        <f xml:space="preserve"> WYNAJEM4[[#This Row],[energia]] + WYNAJEM4[[#This Row],[woda]]</f>
        <v>3.83</v>
      </c>
      <c r="H26" s="8">
        <f xml:space="preserve"> (10 * WYNAJEM4[[#This Row],[typ]] * WYNAJEM4[[#This Row],[czas wynajecia domku]])</f>
        <v>150</v>
      </c>
      <c r="I26" s="9">
        <f xml:space="preserve"> WYNAJEM4[[#This Row],[suma energia i woda]] + WYNAJEM4[[#This Row],[czynsz]]</f>
        <v>153.83000000000001</v>
      </c>
    </row>
    <row r="27" spans="1:9" x14ac:dyDescent="0.25">
      <c r="A27" s="1">
        <v>41647</v>
      </c>
      <c r="B27" s="1">
        <v>41665</v>
      </c>
      <c r="C27" s="8">
        <v>6.58</v>
      </c>
      <c r="D27" s="8">
        <v>0.17</v>
      </c>
      <c r="E27">
        <v>3</v>
      </c>
      <c r="F27" s="10">
        <f>(WYNAJEM4[[#This Row],[data_wyjazdu]]-WYNAJEM4[[#This Row],[data_przyjazdu]])</f>
        <v>18</v>
      </c>
      <c r="G27" s="9">
        <f xml:space="preserve"> WYNAJEM4[[#This Row],[energia]] + WYNAJEM4[[#This Row],[woda]]</f>
        <v>6.75</v>
      </c>
      <c r="H27" s="8">
        <f xml:space="preserve"> (10 * WYNAJEM4[[#This Row],[typ]] * WYNAJEM4[[#This Row],[czas wynajecia domku]])</f>
        <v>540</v>
      </c>
      <c r="I27" s="9">
        <f xml:space="preserve"> WYNAJEM4[[#This Row],[suma energia i woda]] + WYNAJEM4[[#This Row],[czynsz]]</f>
        <v>546.75</v>
      </c>
    </row>
    <row r="28" spans="1:9" x14ac:dyDescent="0.25">
      <c r="A28" s="1">
        <v>41647</v>
      </c>
      <c r="B28" s="1">
        <v>41664</v>
      </c>
      <c r="C28" s="8">
        <v>6.58</v>
      </c>
      <c r="D28" s="8">
        <v>0.17</v>
      </c>
      <c r="E28">
        <v>2</v>
      </c>
      <c r="F28" s="10">
        <f>(WYNAJEM4[[#This Row],[data_wyjazdu]]-WYNAJEM4[[#This Row],[data_przyjazdu]])</f>
        <v>17</v>
      </c>
      <c r="G28" s="9">
        <f xml:space="preserve"> WYNAJEM4[[#This Row],[energia]] + WYNAJEM4[[#This Row],[woda]]</f>
        <v>6.75</v>
      </c>
      <c r="H28" s="8">
        <f xml:space="preserve"> (10 * WYNAJEM4[[#This Row],[typ]] * WYNAJEM4[[#This Row],[czas wynajecia domku]])</f>
        <v>340</v>
      </c>
      <c r="I28" s="9">
        <f xml:space="preserve"> WYNAJEM4[[#This Row],[suma energia i woda]] + WYNAJEM4[[#This Row],[czynsz]]</f>
        <v>346.75</v>
      </c>
    </row>
    <row r="29" spans="1:9" x14ac:dyDescent="0.25">
      <c r="A29" s="1">
        <v>41647</v>
      </c>
      <c r="B29" s="1">
        <v>41658</v>
      </c>
      <c r="C29" s="8">
        <v>5.67</v>
      </c>
      <c r="D29" s="8">
        <v>0.15</v>
      </c>
      <c r="E29">
        <v>5</v>
      </c>
      <c r="F29" s="10">
        <f>(WYNAJEM4[[#This Row],[data_wyjazdu]]-WYNAJEM4[[#This Row],[data_przyjazdu]])</f>
        <v>11</v>
      </c>
      <c r="G29" s="9">
        <f xml:space="preserve"> WYNAJEM4[[#This Row],[energia]] + WYNAJEM4[[#This Row],[woda]]</f>
        <v>5.82</v>
      </c>
      <c r="H29" s="8">
        <f xml:space="preserve"> (10 * WYNAJEM4[[#This Row],[typ]] * WYNAJEM4[[#This Row],[czas wynajecia domku]])</f>
        <v>550</v>
      </c>
      <c r="I29" s="9">
        <f xml:space="preserve"> WYNAJEM4[[#This Row],[suma energia i woda]] + WYNAJEM4[[#This Row],[czynsz]]</f>
        <v>555.82000000000005</v>
      </c>
    </row>
    <row r="30" spans="1:9" x14ac:dyDescent="0.25">
      <c r="A30" s="1">
        <v>41648</v>
      </c>
      <c r="B30" s="1">
        <v>41674</v>
      </c>
      <c r="C30" s="8">
        <v>9.1300000000000008</v>
      </c>
      <c r="D30" s="8">
        <v>0.24</v>
      </c>
      <c r="E30">
        <v>2</v>
      </c>
      <c r="F30" s="10">
        <f>(WYNAJEM4[[#This Row],[data_wyjazdu]]-WYNAJEM4[[#This Row],[data_przyjazdu]])</f>
        <v>26</v>
      </c>
      <c r="G30" s="9">
        <f xml:space="preserve"> WYNAJEM4[[#This Row],[energia]] + WYNAJEM4[[#This Row],[woda]]</f>
        <v>9.370000000000001</v>
      </c>
      <c r="H30" s="8">
        <f xml:space="preserve"> (10 * WYNAJEM4[[#This Row],[typ]] * WYNAJEM4[[#This Row],[czas wynajecia domku]])</f>
        <v>520</v>
      </c>
      <c r="I30" s="9">
        <f xml:space="preserve"> WYNAJEM4[[#This Row],[suma energia i woda]] + WYNAJEM4[[#This Row],[czynsz]]</f>
        <v>529.37</v>
      </c>
    </row>
    <row r="31" spans="1:9" x14ac:dyDescent="0.25">
      <c r="A31" s="1">
        <v>41648</v>
      </c>
      <c r="B31" s="1">
        <v>41658</v>
      </c>
      <c r="C31" s="8">
        <v>14.31</v>
      </c>
      <c r="D31" s="8">
        <v>0.38</v>
      </c>
      <c r="E31">
        <v>6</v>
      </c>
      <c r="F31" s="10">
        <f>(WYNAJEM4[[#This Row],[data_wyjazdu]]-WYNAJEM4[[#This Row],[data_przyjazdu]])</f>
        <v>10</v>
      </c>
      <c r="G31" s="9">
        <f xml:space="preserve"> WYNAJEM4[[#This Row],[energia]] + WYNAJEM4[[#This Row],[woda]]</f>
        <v>14.690000000000001</v>
      </c>
      <c r="H31" s="8">
        <f xml:space="preserve"> (10 * WYNAJEM4[[#This Row],[typ]] * WYNAJEM4[[#This Row],[czas wynajecia domku]])</f>
        <v>600</v>
      </c>
      <c r="I31" s="9">
        <f xml:space="preserve"> WYNAJEM4[[#This Row],[suma energia i woda]] + WYNAJEM4[[#This Row],[czynsz]]</f>
        <v>614.69000000000005</v>
      </c>
    </row>
    <row r="32" spans="1:9" x14ac:dyDescent="0.25">
      <c r="A32" s="1">
        <v>41648</v>
      </c>
      <c r="B32" s="1">
        <v>41675</v>
      </c>
      <c r="C32" s="8">
        <v>3.79</v>
      </c>
      <c r="D32" s="8">
        <v>0.1</v>
      </c>
      <c r="E32">
        <v>5</v>
      </c>
      <c r="F32" s="10">
        <f>(WYNAJEM4[[#This Row],[data_wyjazdu]]-WYNAJEM4[[#This Row],[data_przyjazdu]])</f>
        <v>27</v>
      </c>
      <c r="G32" s="9">
        <f xml:space="preserve"> WYNAJEM4[[#This Row],[energia]] + WYNAJEM4[[#This Row],[woda]]</f>
        <v>3.89</v>
      </c>
      <c r="H32" s="8">
        <f xml:space="preserve"> (10 * WYNAJEM4[[#This Row],[typ]] * WYNAJEM4[[#This Row],[czas wynajecia domku]])</f>
        <v>1350</v>
      </c>
      <c r="I32" s="9">
        <f xml:space="preserve"> WYNAJEM4[[#This Row],[suma energia i woda]] + WYNAJEM4[[#This Row],[czynsz]]</f>
        <v>1353.89</v>
      </c>
    </row>
    <row r="33" spans="1:9" x14ac:dyDescent="0.25">
      <c r="A33" s="1">
        <v>41648</v>
      </c>
      <c r="B33" s="1">
        <v>41666</v>
      </c>
      <c r="C33" s="8">
        <v>6.23</v>
      </c>
      <c r="D33" s="8">
        <v>0.16</v>
      </c>
      <c r="E33">
        <v>5</v>
      </c>
      <c r="F33" s="10">
        <f>(WYNAJEM4[[#This Row],[data_wyjazdu]]-WYNAJEM4[[#This Row],[data_przyjazdu]])</f>
        <v>18</v>
      </c>
      <c r="G33" s="9">
        <f xml:space="preserve"> WYNAJEM4[[#This Row],[energia]] + WYNAJEM4[[#This Row],[woda]]</f>
        <v>6.3900000000000006</v>
      </c>
      <c r="H33" s="8">
        <f xml:space="preserve"> (10 * WYNAJEM4[[#This Row],[typ]] * WYNAJEM4[[#This Row],[czas wynajecia domku]])</f>
        <v>900</v>
      </c>
      <c r="I33" s="9">
        <f xml:space="preserve"> WYNAJEM4[[#This Row],[suma energia i woda]] + WYNAJEM4[[#This Row],[czynsz]]</f>
        <v>906.39</v>
      </c>
    </row>
    <row r="34" spans="1:9" x14ac:dyDescent="0.25">
      <c r="A34" s="1">
        <v>41649</v>
      </c>
      <c r="B34" s="1">
        <v>41659</v>
      </c>
      <c r="C34" s="8">
        <v>3.57</v>
      </c>
      <c r="D34" s="8">
        <v>0.09</v>
      </c>
      <c r="E34">
        <v>6</v>
      </c>
      <c r="F34" s="10">
        <f>(WYNAJEM4[[#This Row],[data_wyjazdu]]-WYNAJEM4[[#This Row],[data_przyjazdu]])</f>
        <v>10</v>
      </c>
      <c r="G34" s="9">
        <f xml:space="preserve"> WYNAJEM4[[#This Row],[energia]] + WYNAJEM4[[#This Row],[woda]]</f>
        <v>3.6599999999999997</v>
      </c>
      <c r="H34" s="8">
        <f xml:space="preserve"> (10 * WYNAJEM4[[#This Row],[typ]] * WYNAJEM4[[#This Row],[czas wynajecia domku]])</f>
        <v>600</v>
      </c>
      <c r="I34" s="9">
        <f xml:space="preserve"> WYNAJEM4[[#This Row],[suma energia i woda]] + WYNAJEM4[[#This Row],[czynsz]]</f>
        <v>603.66</v>
      </c>
    </row>
    <row r="35" spans="1:9" x14ac:dyDescent="0.25">
      <c r="A35" s="1">
        <v>41649</v>
      </c>
      <c r="B35" s="1">
        <v>41652</v>
      </c>
      <c r="C35" s="8">
        <v>5.67</v>
      </c>
      <c r="D35" s="8">
        <v>0.15</v>
      </c>
      <c r="E35">
        <v>6</v>
      </c>
      <c r="F35" s="10">
        <f>(WYNAJEM4[[#This Row],[data_wyjazdu]]-WYNAJEM4[[#This Row],[data_przyjazdu]])</f>
        <v>3</v>
      </c>
      <c r="G35" s="9">
        <f xml:space="preserve"> WYNAJEM4[[#This Row],[energia]] + WYNAJEM4[[#This Row],[woda]]</f>
        <v>5.82</v>
      </c>
      <c r="H35" s="8">
        <f xml:space="preserve"> (10 * WYNAJEM4[[#This Row],[typ]] * WYNAJEM4[[#This Row],[czas wynajecia domku]])</f>
        <v>180</v>
      </c>
      <c r="I35" s="9">
        <f xml:space="preserve"> WYNAJEM4[[#This Row],[suma energia i woda]] + WYNAJEM4[[#This Row],[czynsz]]</f>
        <v>185.82</v>
      </c>
    </row>
    <row r="36" spans="1:9" x14ac:dyDescent="0.25">
      <c r="A36" s="1">
        <v>41649</v>
      </c>
      <c r="B36" s="1">
        <v>41667</v>
      </c>
      <c r="C36" s="8">
        <v>8.7200000000000006</v>
      </c>
      <c r="D36" s="8">
        <v>0.23</v>
      </c>
      <c r="E36">
        <v>5</v>
      </c>
      <c r="F36" s="10">
        <f>(WYNAJEM4[[#This Row],[data_wyjazdu]]-WYNAJEM4[[#This Row],[data_przyjazdu]])</f>
        <v>18</v>
      </c>
      <c r="G36" s="9">
        <f xml:space="preserve"> WYNAJEM4[[#This Row],[energia]] + WYNAJEM4[[#This Row],[woda]]</f>
        <v>8.9500000000000011</v>
      </c>
      <c r="H36" s="8">
        <f xml:space="preserve"> (10 * WYNAJEM4[[#This Row],[typ]] * WYNAJEM4[[#This Row],[czas wynajecia domku]])</f>
        <v>900</v>
      </c>
      <c r="I36" s="9">
        <f xml:space="preserve"> WYNAJEM4[[#This Row],[suma energia i woda]] + WYNAJEM4[[#This Row],[czynsz]]</f>
        <v>908.95</v>
      </c>
    </row>
    <row r="37" spans="1:9" x14ac:dyDescent="0.25">
      <c r="A37" s="1">
        <v>41649</v>
      </c>
      <c r="B37" s="1">
        <v>41654</v>
      </c>
      <c r="C37" s="8">
        <v>4.66</v>
      </c>
      <c r="D37" s="8">
        <v>0.12</v>
      </c>
      <c r="E37">
        <v>3</v>
      </c>
      <c r="F37" s="10">
        <f>(WYNAJEM4[[#This Row],[data_wyjazdu]]-WYNAJEM4[[#This Row],[data_przyjazdu]])</f>
        <v>5</v>
      </c>
      <c r="G37" s="9">
        <f xml:space="preserve"> WYNAJEM4[[#This Row],[energia]] + WYNAJEM4[[#This Row],[woda]]</f>
        <v>4.78</v>
      </c>
      <c r="H37" s="8">
        <f xml:space="preserve"> (10 * WYNAJEM4[[#This Row],[typ]] * WYNAJEM4[[#This Row],[czas wynajecia domku]])</f>
        <v>150</v>
      </c>
      <c r="I37" s="9">
        <f xml:space="preserve"> WYNAJEM4[[#This Row],[suma energia i woda]] + WYNAJEM4[[#This Row],[czynsz]]</f>
        <v>154.78</v>
      </c>
    </row>
    <row r="38" spans="1:9" x14ac:dyDescent="0.25">
      <c r="A38" s="1">
        <v>41651</v>
      </c>
      <c r="B38" s="1">
        <v>41659</v>
      </c>
      <c r="C38" s="8">
        <v>5.67</v>
      </c>
      <c r="D38" s="8">
        <v>0.15</v>
      </c>
      <c r="E38">
        <v>3</v>
      </c>
      <c r="F38" s="10">
        <f>(WYNAJEM4[[#This Row],[data_wyjazdu]]-WYNAJEM4[[#This Row],[data_przyjazdu]])</f>
        <v>8</v>
      </c>
      <c r="G38" s="9">
        <f xml:space="preserve"> WYNAJEM4[[#This Row],[energia]] + WYNAJEM4[[#This Row],[woda]]</f>
        <v>5.82</v>
      </c>
      <c r="H38" s="8">
        <f xml:space="preserve"> (10 * WYNAJEM4[[#This Row],[typ]] * WYNAJEM4[[#This Row],[czas wynajecia domku]])</f>
        <v>240</v>
      </c>
      <c r="I38" s="9">
        <f xml:space="preserve"> WYNAJEM4[[#This Row],[suma energia i woda]] + WYNAJEM4[[#This Row],[czynsz]]</f>
        <v>245.82</v>
      </c>
    </row>
    <row r="39" spans="1:9" x14ac:dyDescent="0.25">
      <c r="A39" s="1">
        <v>41652</v>
      </c>
      <c r="B39" s="1">
        <v>41654</v>
      </c>
      <c r="C39" s="8">
        <v>7.06</v>
      </c>
      <c r="D39" s="8">
        <v>0.19</v>
      </c>
      <c r="E39">
        <v>2</v>
      </c>
      <c r="F39" s="10">
        <f>(WYNAJEM4[[#This Row],[data_wyjazdu]]-WYNAJEM4[[#This Row],[data_przyjazdu]])</f>
        <v>2</v>
      </c>
      <c r="G39" s="9">
        <f xml:space="preserve"> WYNAJEM4[[#This Row],[energia]] + WYNAJEM4[[#This Row],[woda]]</f>
        <v>7.25</v>
      </c>
      <c r="H39" s="8">
        <f xml:space="preserve"> (10 * WYNAJEM4[[#This Row],[typ]] * WYNAJEM4[[#This Row],[czas wynajecia domku]])</f>
        <v>40</v>
      </c>
      <c r="I39" s="9">
        <f xml:space="preserve"> WYNAJEM4[[#This Row],[suma energia i woda]] + WYNAJEM4[[#This Row],[czynsz]]</f>
        <v>47.25</v>
      </c>
    </row>
    <row r="40" spans="1:9" x14ac:dyDescent="0.25">
      <c r="A40" s="1">
        <v>41652</v>
      </c>
      <c r="B40" s="1">
        <v>41661</v>
      </c>
      <c r="C40" s="8">
        <v>5.67</v>
      </c>
      <c r="D40" s="8">
        <v>0.15</v>
      </c>
      <c r="E40">
        <v>5</v>
      </c>
      <c r="F40" s="10">
        <f>(WYNAJEM4[[#This Row],[data_wyjazdu]]-WYNAJEM4[[#This Row],[data_przyjazdu]])</f>
        <v>9</v>
      </c>
      <c r="G40" s="9">
        <f xml:space="preserve"> WYNAJEM4[[#This Row],[energia]] + WYNAJEM4[[#This Row],[woda]]</f>
        <v>5.82</v>
      </c>
      <c r="H40" s="8">
        <f xml:space="preserve"> (10 * WYNAJEM4[[#This Row],[typ]] * WYNAJEM4[[#This Row],[czas wynajecia domku]])</f>
        <v>450</v>
      </c>
      <c r="I40" s="9">
        <f xml:space="preserve"> WYNAJEM4[[#This Row],[suma energia i woda]] + WYNAJEM4[[#This Row],[czynsz]]</f>
        <v>455.82</v>
      </c>
    </row>
    <row r="41" spans="1:9" x14ac:dyDescent="0.25">
      <c r="A41" s="1">
        <v>41652</v>
      </c>
      <c r="B41" s="1">
        <v>41671</v>
      </c>
      <c r="C41" s="8">
        <v>6.34</v>
      </c>
      <c r="D41" s="8">
        <v>0.17</v>
      </c>
      <c r="E41">
        <v>3</v>
      </c>
      <c r="F41" s="10">
        <f>(WYNAJEM4[[#This Row],[data_wyjazdu]]-WYNAJEM4[[#This Row],[data_przyjazdu]])</f>
        <v>19</v>
      </c>
      <c r="G41" s="9">
        <f xml:space="preserve"> WYNAJEM4[[#This Row],[energia]] + WYNAJEM4[[#This Row],[woda]]</f>
        <v>6.51</v>
      </c>
      <c r="H41" s="8">
        <f xml:space="preserve"> (10 * WYNAJEM4[[#This Row],[typ]] * WYNAJEM4[[#This Row],[czas wynajecia domku]])</f>
        <v>570</v>
      </c>
      <c r="I41" s="9">
        <f xml:space="preserve"> WYNAJEM4[[#This Row],[suma energia i woda]] + WYNAJEM4[[#This Row],[czynsz]]</f>
        <v>576.51</v>
      </c>
    </row>
    <row r="42" spans="1:9" x14ac:dyDescent="0.25">
      <c r="A42" s="1">
        <v>41652</v>
      </c>
      <c r="B42" s="1">
        <v>41656</v>
      </c>
      <c r="C42" s="8">
        <v>7.31</v>
      </c>
      <c r="D42" s="8">
        <v>0.19</v>
      </c>
      <c r="E42">
        <v>3</v>
      </c>
      <c r="F42" s="10">
        <f>(WYNAJEM4[[#This Row],[data_wyjazdu]]-WYNAJEM4[[#This Row],[data_przyjazdu]])</f>
        <v>4</v>
      </c>
      <c r="G42" s="9">
        <f xml:space="preserve"> WYNAJEM4[[#This Row],[energia]] + WYNAJEM4[[#This Row],[woda]]</f>
        <v>7.5</v>
      </c>
      <c r="H42" s="8">
        <f xml:space="preserve"> (10 * WYNAJEM4[[#This Row],[typ]] * WYNAJEM4[[#This Row],[czas wynajecia domku]])</f>
        <v>120</v>
      </c>
      <c r="I42" s="9">
        <f xml:space="preserve"> WYNAJEM4[[#This Row],[suma energia i woda]] + WYNAJEM4[[#This Row],[czynsz]]</f>
        <v>127.5</v>
      </c>
    </row>
    <row r="43" spans="1:9" x14ac:dyDescent="0.25">
      <c r="A43" s="1">
        <v>41652</v>
      </c>
      <c r="B43" s="1">
        <v>41668</v>
      </c>
      <c r="C43" s="8">
        <v>6.75</v>
      </c>
      <c r="D43" s="8">
        <v>0.18</v>
      </c>
      <c r="E43">
        <v>3</v>
      </c>
      <c r="F43" s="10">
        <f>(WYNAJEM4[[#This Row],[data_wyjazdu]]-WYNAJEM4[[#This Row],[data_przyjazdu]])</f>
        <v>16</v>
      </c>
      <c r="G43" s="9">
        <f xml:space="preserve"> WYNAJEM4[[#This Row],[energia]] + WYNAJEM4[[#This Row],[woda]]</f>
        <v>6.93</v>
      </c>
      <c r="H43" s="8">
        <f xml:space="preserve"> (10 * WYNAJEM4[[#This Row],[typ]] * WYNAJEM4[[#This Row],[czas wynajecia domku]])</f>
        <v>480</v>
      </c>
      <c r="I43" s="9">
        <f xml:space="preserve"> WYNAJEM4[[#This Row],[suma energia i woda]] + WYNAJEM4[[#This Row],[czynsz]]</f>
        <v>486.93</v>
      </c>
    </row>
    <row r="44" spans="1:9" x14ac:dyDescent="0.25">
      <c r="A44" s="1">
        <v>41652</v>
      </c>
      <c r="B44" s="1">
        <v>41680</v>
      </c>
      <c r="C44" s="8">
        <v>3.57</v>
      </c>
      <c r="D44" s="8">
        <v>0.09</v>
      </c>
      <c r="E44">
        <v>2</v>
      </c>
      <c r="F44" s="10">
        <f>(WYNAJEM4[[#This Row],[data_wyjazdu]]-WYNAJEM4[[#This Row],[data_przyjazdu]])</f>
        <v>28</v>
      </c>
      <c r="G44" s="9">
        <f xml:space="preserve"> WYNAJEM4[[#This Row],[energia]] + WYNAJEM4[[#This Row],[woda]]</f>
        <v>3.6599999999999997</v>
      </c>
      <c r="H44" s="8">
        <f xml:space="preserve"> (10 * WYNAJEM4[[#This Row],[typ]] * WYNAJEM4[[#This Row],[czas wynajecia domku]])</f>
        <v>560</v>
      </c>
      <c r="I44" s="9">
        <f xml:space="preserve"> WYNAJEM4[[#This Row],[suma energia i woda]] + WYNAJEM4[[#This Row],[czynsz]]</f>
        <v>563.66</v>
      </c>
    </row>
    <row r="45" spans="1:9" x14ac:dyDescent="0.25">
      <c r="A45" s="1">
        <v>41653</v>
      </c>
      <c r="B45" s="1">
        <v>41664</v>
      </c>
      <c r="C45" s="8">
        <v>8.5399999999999991</v>
      </c>
      <c r="D45" s="8">
        <v>0.22</v>
      </c>
      <c r="E45">
        <v>2</v>
      </c>
      <c r="F45" s="10">
        <f>(WYNAJEM4[[#This Row],[data_wyjazdu]]-WYNAJEM4[[#This Row],[data_przyjazdu]])</f>
        <v>11</v>
      </c>
      <c r="G45" s="9">
        <f xml:space="preserve"> WYNAJEM4[[#This Row],[energia]] + WYNAJEM4[[#This Row],[woda]]</f>
        <v>8.76</v>
      </c>
      <c r="H45" s="8">
        <f xml:space="preserve"> (10 * WYNAJEM4[[#This Row],[typ]] * WYNAJEM4[[#This Row],[czas wynajecia domku]])</f>
        <v>220</v>
      </c>
      <c r="I45" s="9">
        <f xml:space="preserve"> WYNAJEM4[[#This Row],[suma energia i woda]] + WYNAJEM4[[#This Row],[czynsz]]</f>
        <v>228.76</v>
      </c>
    </row>
    <row r="46" spans="1:9" x14ac:dyDescent="0.25">
      <c r="A46" s="1">
        <v>41653</v>
      </c>
      <c r="B46" s="1">
        <v>41655</v>
      </c>
      <c r="C46" s="8">
        <v>8.9499999999999993</v>
      </c>
      <c r="D46" s="8">
        <v>0.24</v>
      </c>
      <c r="E46">
        <v>4</v>
      </c>
      <c r="F46" s="10">
        <f>(WYNAJEM4[[#This Row],[data_wyjazdu]]-WYNAJEM4[[#This Row],[data_przyjazdu]])</f>
        <v>2</v>
      </c>
      <c r="G46" s="9">
        <f xml:space="preserve"> WYNAJEM4[[#This Row],[energia]] + WYNAJEM4[[#This Row],[woda]]</f>
        <v>9.19</v>
      </c>
      <c r="H46" s="8">
        <f xml:space="preserve"> (10 * WYNAJEM4[[#This Row],[typ]] * WYNAJEM4[[#This Row],[czas wynajecia domku]])</f>
        <v>80</v>
      </c>
      <c r="I46" s="9">
        <f xml:space="preserve"> WYNAJEM4[[#This Row],[suma energia i woda]] + WYNAJEM4[[#This Row],[czynsz]]</f>
        <v>89.19</v>
      </c>
    </row>
    <row r="47" spans="1:9" x14ac:dyDescent="0.25">
      <c r="A47" s="1">
        <v>41653</v>
      </c>
      <c r="B47" s="1">
        <v>41677</v>
      </c>
      <c r="C47" s="8">
        <v>6.34</v>
      </c>
      <c r="D47" s="8">
        <v>0.17</v>
      </c>
      <c r="E47">
        <v>6</v>
      </c>
      <c r="F47" s="10">
        <f>(WYNAJEM4[[#This Row],[data_wyjazdu]]-WYNAJEM4[[#This Row],[data_przyjazdu]])</f>
        <v>24</v>
      </c>
      <c r="G47" s="9">
        <f xml:space="preserve"> WYNAJEM4[[#This Row],[energia]] + WYNAJEM4[[#This Row],[woda]]</f>
        <v>6.51</v>
      </c>
      <c r="H47" s="8">
        <f xml:space="preserve"> (10 * WYNAJEM4[[#This Row],[typ]] * WYNAJEM4[[#This Row],[czas wynajecia domku]])</f>
        <v>1440</v>
      </c>
      <c r="I47" s="9">
        <f xml:space="preserve"> WYNAJEM4[[#This Row],[suma energia i woda]] + WYNAJEM4[[#This Row],[czynsz]]</f>
        <v>1446.51</v>
      </c>
    </row>
    <row r="48" spans="1:9" x14ac:dyDescent="0.25">
      <c r="A48" s="1">
        <v>41653</v>
      </c>
      <c r="B48" s="1">
        <v>41672</v>
      </c>
      <c r="C48" s="8">
        <v>12.23</v>
      </c>
      <c r="D48" s="8">
        <v>0.32</v>
      </c>
      <c r="E48">
        <v>3</v>
      </c>
      <c r="F48" s="10">
        <f>(WYNAJEM4[[#This Row],[data_wyjazdu]]-WYNAJEM4[[#This Row],[data_przyjazdu]])</f>
        <v>19</v>
      </c>
      <c r="G48" s="9">
        <f xml:space="preserve"> WYNAJEM4[[#This Row],[energia]] + WYNAJEM4[[#This Row],[woda]]</f>
        <v>12.55</v>
      </c>
      <c r="H48" s="8">
        <f xml:space="preserve"> (10 * WYNAJEM4[[#This Row],[typ]] * WYNAJEM4[[#This Row],[czas wynajecia domku]])</f>
        <v>570</v>
      </c>
      <c r="I48" s="9">
        <f xml:space="preserve"> WYNAJEM4[[#This Row],[suma energia i woda]] + WYNAJEM4[[#This Row],[czynsz]]</f>
        <v>582.54999999999995</v>
      </c>
    </row>
    <row r="49" spans="1:9" x14ac:dyDescent="0.25">
      <c r="A49" s="1">
        <v>41653</v>
      </c>
      <c r="B49" s="1">
        <v>41668</v>
      </c>
      <c r="C49" s="8">
        <v>8.7200000000000006</v>
      </c>
      <c r="D49" s="8">
        <v>0.23</v>
      </c>
      <c r="E49">
        <v>5</v>
      </c>
      <c r="F49" s="10">
        <f>(WYNAJEM4[[#This Row],[data_wyjazdu]]-WYNAJEM4[[#This Row],[data_przyjazdu]])</f>
        <v>15</v>
      </c>
      <c r="G49" s="9">
        <f xml:space="preserve"> WYNAJEM4[[#This Row],[energia]] + WYNAJEM4[[#This Row],[woda]]</f>
        <v>8.9500000000000011</v>
      </c>
      <c r="H49" s="8">
        <f xml:space="preserve"> (10 * WYNAJEM4[[#This Row],[typ]] * WYNAJEM4[[#This Row],[czas wynajecia domku]])</f>
        <v>750</v>
      </c>
      <c r="I49" s="9">
        <f xml:space="preserve"> WYNAJEM4[[#This Row],[suma energia i woda]] + WYNAJEM4[[#This Row],[czynsz]]</f>
        <v>758.95</v>
      </c>
    </row>
    <row r="50" spans="1:9" x14ac:dyDescent="0.25">
      <c r="A50" s="1">
        <v>41653</v>
      </c>
      <c r="B50" s="1">
        <v>41671</v>
      </c>
      <c r="C50" s="8">
        <v>16.55</v>
      </c>
      <c r="D50" s="8">
        <v>0.44</v>
      </c>
      <c r="E50">
        <v>6</v>
      </c>
      <c r="F50" s="10">
        <f>(WYNAJEM4[[#This Row],[data_wyjazdu]]-WYNAJEM4[[#This Row],[data_przyjazdu]])</f>
        <v>18</v>
      </c>
      <c r="G50" s="9">
        <f xml:space="preserve"> WYNAJEM4[[#This Row],[energia]] + WYNAJEM4[[#This Row],[woda]]</f>
        <v>16.990000000000002</v>
      </c>
      <c r="H50" s="8">
        <f xml:space="preserve"> (10 * WYNAJEM4[[#This Row],[typ]] * WYNAJEM4[[#This Row],[czas wynajecia domku]])</f>
        <v>1080</v>
      </c>
      <c r="I50" s="9">
        <f xml:space="preserve"> WYNAJEM4[[#This Row],[suma energia i woda]] + WYNAJEM4[[#This Row],[czynsz]]</f>
        <v>1096.99</v>
      </c>
    </row>
    <row r="51" spans="1:9" x14ac:dyDescent="0.25">
      <c r="A51" s="1">
        <v>41653</v>
      </c>
      <c r="B51" s="1">
        <v>41656</v>
      </c>
      <c r="C51" s="8">
        <v>7.55</v>
      </c>
      <c r="D51" s="8">
        <v>0.2</v>
      </c>
      <c r="E51">
        <v>2</v>
      </c>
      <c r="F51" s="10">
        <f>(WYNAJEM4[[#This Row],[data_wyjazdu]]-WYNAJEM4[[#This Row],[data_przyjazdu]])</f>
        <v>3</v>
      </c>
      <c r="G51" s="9">
        <f xml:space="preserve"> WYNAJEM4[[#This Row],[energia]] + WYNAJEM4[[#This Row],[woda]]</f>
        <v>7.75</v>
      </c>
      <c r="H51" s="8">
        <f xml:space="preserve"> (10 * WYNAJEM4[[#This Row],[typ]] * WYNAJEM4[[#This Row],[czas wynajecia domku]])</f>
        <v>60</v>
      </c>
      <c r="I51" s="9">
        <f xml:space="preserve"> WYNAJEM4[[#This Row],[suma energia i woda]] + WYNAJEM4[[#This Row],[czynsz]]</f>
        <v>67.75</v>
      </c>
    </row>
    <row r="52" spans="1:9" x14ac:dyDescent="0.25">
      <c r="A52" s="1">
        <v>41653</v>
      </c>
      <c r="B52" s="1">
        <v>41668</v>
      </c>
      <c r="C52" s="8">
        <v>5.78</v>
      </c>
      <c r="D52" s="8">
        <v>0.15</v>
      </c>
      <c r="E52">
        <v>2</v>
      </c>
      <c r="F52" s="10">
        <f>(WYNAJEM4[[#This Row],[data_wyjazdu]]-WYNAJEM4[[#This Row],[data_przyjazdu]])</f>
        <v>15</v>
      </c>
      <c r="G52" s="9">
        <f xml:space="preserve"> WYNAJEM4[[#This Row],[energia]] + WYNAJEM4[[#This Row],[woda]]</f>
        <v>5.9300000000000006</v>
      </c>
      <c r="H52" s="8">
        <f xml:space="preserve"> (10 * WYNAJEM4[[#This Row],[typ]] * WYNAJEM4[[#This Row],[czas wynajecia domku]])</f>
        <v>300</v>
      </c>
      <c r="I52" s="9">
        <f xml:space="preserve"> WYNAJEM4[[#This Row],[suma energia i woda]] + WYNAJEM4[[#This Row],[czynsz]]</f>
        <v>305.93</v>
      </c>
    </row>
    <row r="53" spans="1:9" x14ac:dyDescent="0.25">
      <c r="A53" s="1">
        <v>41653</v>
      </c>
      <c r="B53" s="1">
        <v>41658</v>
      </c>
      <c r="C53" s="8">
        <v>8.83</v>
      </c>
      <c r="D53" s="8">
        <v>0.23</v>
      </c>
      <c r="E53">
        <v>3</v>
      </c>
      <c r="F53" s="10">
        <f>(WYNAJEM4[[#This Row],[data_wyjazdu]]-WYNAJEM4[[#This Row],[data_przyjazdu]])</f>
        <v>5</v>
      </c>
      <c r="G53" s="9">
        <f xml:space="preserve"> WYNAJEM4[[#This Row],[energia]] + WYNAJEM4[[#This Row],[woda]]</f>
        <v>9.06</v>
      </c>
      <c r="H53" s="8">
        <f xml:space="preserve"> (10 * WYNAJEM4[[#This Row],[typ]] * WYNAJEM4[[#This Row],[czas wynajecia domku]])</f>
        <v>150</v>
      </c>
      <c r="I53" s="9">
        <f xml:space="preserve"> WYNAJEM4[[#This Row],[suma energia i woda]] + WYNAJEM4[[#This Row],[czynsz]]</f>
        <v>159.06</v>
      </c>
    </row>
    <row r="54" spans="1:9" x14ac:dyDescent="0.25">
      <c r="A54" s="1">
        <v>41653</v>
      </c>
      <c r="B54" s="1">
        <v>41655</v>
      </c>
      <c r="C54" s="8">
        <v>8.89</v>
      </c>
      <c r="D54" s="8">
        <v>0.23</v>
      </c>
      <c r="E54">
        <v>4</v>
      </c>
      <c r="F54" s="10">
        <f>(WYNAJEM4[[#This Row],[data_wyjazdu]]-WYNAJEM4[[#This Row],[data_przyjazdu]])</f>
        <v>2</v>
      </c>
      <c r="G54" s="9">
        <f xml:space="preserve"> WYNAJEM4[[#This Row],[energia]] + WYNAJEM4[[#This Row],[woda]]</f>
        <v>9.120000000000001</v>
      </c>
      <c r="H54" s="8">
        <f xml:space="preserve"> (10 * WYNAJEM4[[#This Row],[typ]] * WYNAJEM4[[#This Row],[czas wynajecia domku]])</f>
        <v>80</v>
      </c>
      <c r="I54" s="9">
        <f xml:space="preserve"> WYNAJEM4[[#This Row],[suma energia i woda]] + WYNAJEM4[[#This Row],[czynsz]]</f>
        <v>89.12</v>
      </c>
    </row>
    <row r="55" spans="1:9" x14ac:dyDescent="0.25">
      <c r="A55" s="1">
        <v>41653</v>
      </c>
      <c r="B55" s="1">
        <v>41657</v>
      </c>
      <c r="C55" s="8">
        <v>2.72</v>
      </c>
      <c r="D55" s="8">
        <v>7.0000000000000007E-2</v>
      </c>
      <c r="E55">
        <v>6</v>
      </c>
      <c r="F55" s="10">
        <f>(WYNAJEM4[[#This Row],[data_wyjazdu]]-WYNAJEM4[[#This Row],[data_przyjazdu]])</f>
        <v>4</v>
      </c>
      <c r="G55" s="9">
        <f xml:space="preserve"> WYNAJEM4[[#This Row],[energia]] + WYNAJEM4[[#This Row],[woda]]</f>
        <v>2.79</v>
      </c>
      <c r="H55" s="8">
        <f xml:space="preserve"> (10 * WYNAJEM4[[#This Row],[typ]] * WYNAJEM4[[#This Row],[czas wynajecia domku]])</f>
        <v>240</v>
      </c>
      <c r="I55" s="9">
        <f xml:space="preserve"> WYNAJEM4[[#This Row],[suma energia i woda]] + WYNAJEM4[[#This Row],[czynsz]]</f>
        <v>242.79</v>
      </c>
    </row>
    <row r="56" spans="1:9" x14ac:dyDescent="0.25">
      <c r="A56" s="1">
        <v>41653</v>
      </c>
      <c r="B56" s="1">
        <v>41675</v>
      </c>
      <c r="C56" s="8">
        <v>11.42</v>
      </c>
      <c r="D56" s="8">
        <v>0.3</v>
      </c>
      <c r="E56">
        <v>2</v>
      </c>
      <c r="F56" s="10">
        <f>(WYNAJEM4[[#This Row],[data_wyjazdu]]-WYNAJEM4[[#This Row],[data_przyjazdu]])</f>
        <v>22</v>
      </c>
      <c r="G56" s="9">
        <f xml:space="preserve"> WYNAJEM4[[#This Row],[energia]] + WYNAJEM4[[#This Row],[woda]]</f>
        <v>11.72</v>
      </c>
      <c r="H56" s="8">
        <f xml:space="preserve"> (10 * WYNAJEM4[[#This Row],[typ]] * WYNAJEM4[[#This Row],[czas wynajecia domku]])</f>
        <v>440</v>
      </c>
      <c r="I56" s="9">
        <f xml:space="preserve"> WYNAJEM4[[#This Row],[suma energia i woda]] + WYNAJEM4[[#This Row],[czynsz]]</f>
        <v>451.72</v>
      </c>
    </row>
    <row r="57" spans="1:9" x14ac:dyDescent="0.25">
      <c r="A57" s="1">
        <v>41653</v>
      </c>
      <c r="B57" s="1">
        <v>41675</v>
      </c>
      <c r="C57" s="8">
        <v>5.23</v>
      </c>
      <c r="D57" s="8">
        <v>0.14000000000000001</v>
      </c>
      <c r="E57">
        <v>2</v>
      </c>
      <c r="F57" s="10">
        <f>(WYNAJEM4[[#This Row],[data_wyjazdu]]-WYNAJEM4[[#This Row],[data_przyjazdu]])</f>
        <v>22</v>
      </c>
      <c r="G57" s="9">
        <f xml:space="preserve"> WYNAJEM4[[#This Row],[energia]] + WYNAJEM4[[#This Row],[woda]]</f>
        <v>5.37</v>
      </c>
      <c r="H57" s="8">
        <f xml:space="preserve"> (10 * WYNAJEM4[[#This Row],[typ]] * WYNAJEM4[[#This Row],[czas wynajecia domku]])</f>
        <v>440</v>
      </c>
      <c r="I57" s="9">
        <f xml:space="preserve"> WYNAJEM4[[#This Row],[suma energia i woda]] + WYNAJEM4[[#This Row],[czynsz]]</f>
        <v>445.37</v>
      </c>
    </row>
    <row r="58" spans="1:9" x14ac:dyDescent="0.25">
      <c r="A58" s="1">
        <v>41653</v>
      </c>
      <c r="B58" s="1">
        <v>41657</v>
      </c>
      <c r="C58" s="8">
        <v>6.58</v>
      </c>
      <c r="D58" s="8">
        <v>0.17</v>
      </c>
      <c r="E58">
        <v>4</v>
      </c>
      <c r="F58" s="10">
        <f>(WYNAJEM4[[#This Row],[data_wyjazdu]]-WYNAJEM4[[#This Row],[data_przyjazdu]])</f>
        <v>4</v>
      </c>
      <c r="G58" s="9">
        <f xml:space="preserve"> WYNAJEM4[[#This Row],[energia]] + WYNAJEM4[[#This Row],[woda]]</f>
        <v>6.75</v>
      </c>
      <c r="H58" s="8">
        <f xml:space="preserve"> (10 * WYNAJEM4[[#This Row],[typ]] * WYNAJEM4[[#This Row],[czas wynajecia domku]])</f>
        <v>160</v>
      </c>
      <c r="I58" s="9">
        <f xml:space="preserve"> WYNAJEM4[[#This Row],[suma energia i woda]] + WYNAJEM4[[#This Row],[czynsz]]</f>
        <v>166.75</v>
      </c>
    </row>
    <row r="59" spans="1:9" x14ac:dyDescent="0.25">
      <c r="A59" s="1">
        <v>41653</v>
      </c>
      <c r="B59" s="1">
        <v>41679</v>
      </c>
      <c r="C59" s="8">
        <v>9.74</v>
      </c>
      <c r="D59" s="8">
        <v>0.26</v>
      </c>
      <c r="E59">
        <v>4</v>
      </c>
      <c r="F59" s="10">
        <f>(WYNAJEM4[[#This Row],[data_wyjazdu]]-WYNAJEM4[[#This Row],[data_przyjazdu]])</f>
        <v>26</v>
      </c>
      <c r="G59" s="9">
        <f xml:space="preserve"> WYNAJEM4[[#This Row],[energia]] + WYNAJEM4[[#This Row],[woda]]</f>
        <v>10</v>
      </c>
      <c r="H59" s="8">
        <f xml:space="preserve"> (10 * WYNAJEM4[[#This Row],[typ]] * WYNAJEM4[[#This Row],[czas wynajecia domku]])</f>
        <v>1040</v>
      </c>
      <c r="I59" s="9">
        <f xml:space="preserve"> WYNAJEM4[[#This Row],[suma energia i woda]] + WYNAJEM4[[#This Row],[czynsz]]</f>
        <v>1050</v>
      </c>
    </row>
    <row r="60" spans="1:9" x14ac:dyDescent="0.25">
      <c r="A60" s="1">
        <v>41653</v>
      </c>
      <c r="B60" s="1">
        <v>41659</v>
      </c>
      <c r="C60" s="8">
        <v>6.75</v>
      </c>
      <c r="D60" s="8">
        <v>0.18</v>
      </c>
      <c r="E60">
        <v>6</v>
      </c>
      <c r="F60" s="10">
        <f>(WYNAJEM4[[#This Row],[data_wyjazdu]]-WYNAJEM4[[#This Row],[data_przyjazdu]])</f>
        <v>6</v>
      </c>
      <c r="G60" s="9">
        <f xml:space="preserve"> WYNAJEM4[[#This Row],[energia]] + WYNAJEM4[[#This Row],[woda]]</f>
        <v>6.93</v>
      </c>
      <c r="H60" s="8">
        <f xml:space="preserve"> (10 * WYNAJEM4[[#This Row],[typ]] * WYNAJEM4[[#This Row],[czas wynajecia domku]])</f>
        <v>360</v>
      </c>
      <c r="I60" s="9">
        <f xml:space="preserve"> WYNAJEM4[[#This Row],[suma energia i woda]] + WYNAJEM4[[#This Row],[czynsz]]</f>
        <v>366.93</v>
      </c>
    </row>
    <row r="61" spans="1:9" x14ac:dyDescent="0.25">
      <c r="A61" s="1">
        <v>41653</v>
      </c>
      <c r="B61" s="1">
        <v>41671</v>
      </c>
      <c r="C61" s="8">
        <v>16.829999999999998</v>
      </c>
      <c r="D61" s="8">
        <v>0.44</v>
      </c>
      <c r="E61">
        <v>4</v>
      </c>
      <c r="F61" s="10">
        <f>(WYNAJEM4[[#This Row],[data_wyjazdu]]-WYNAJEM4[[#This Row],[data_przyjazdu]])</f>
        <v>18</v>
      </c>
      <c r="G61" s="9">
        <f xml:space="preserve"> WYNAJEM4[[#This Row],[energia]] + WYNAJEM4[[#This Row],[woda]]</f>
        <v>17.27</v>
      </c>
      <c r="H61" s="8">
        <f xml:space="preserve"> (10 * WYNAJEM4[[#This Row],[typ]] * WYNAJEM4[[#This Row],[czas wynajecia domku]])</f>
        <v>720</v>
      </c>
      <c r="I61" s="9">
        <f xml:space="preserve"> WYNAJEM4[[#This Row],[suma energia i woda]] + WYNAJEM4[[#This Row],[czynsz]]</f>
        <v>737.27</v>
      </c>
    </row>
    <row r="62" spans="1:9" x14ac:dyDescent="0.25">
      <c r="A62" s="1">
        <v>41653</v>
      </c>
      <c r="B62" s="1">
        <v>41676</v>
      </c>
      <c r="C62" s="8">
        <v>10.79</v>
      </c>
      <c r="D62" s="8">
        <v>0.28000000000000003</v>
      </c>
      <c r="E62">
        <v>3</v>
      </c>
      <c r="F62" s="10">
        <f>(WYNAJEM4[[#This Row],[data_wyjazdu]]-WYNAJEM4[[#This Row],[data_przyjazdu]])</f>
        <v>23</v>
      </c>
      <c r="G62" s="9">
        <f xml:space="preserve"> WYNAJEM4[[#This Row],[energia]] + WYNAJEM4[[#This Row],[woda]]</f>
        <v>11.069999999999999</v>
      </c>
      <c r="H62" s="8">
        <f xml:space="preserve"> (10 * WYNAJEM4[[#This Row],[typ]] * WYNAJEM4[[#This Row],[czas wynajecia domku]])</f>
        <v>690</v>
      </c>
      <c r="I62" s="9">
        <f xml:space="preserve"> WYNAJEM4[[#This Row],[suma energia i woda]] + WYNAJEM4[[#This Row],[czynsz]]</f>
        <v>701.07</v>
      </c>
    </row>
    <row r="63" spans="1:9" x14ac:dyDescent="0.25">
      <c r="A63" s="1">
        <v>41653</v>
      </c>
      <c r="B63" s="1">
        <v>41669</v>
      </c>
      <c r="C63" s="8">
        <v>10.19</v>
      </c>
      <c r="D63" s="8">
        <v>0.27</v>
      </c>
      <c r="E63">
        <v>5</v>
      </c>
      <c r="F63" s="10">
        <f>(WYNAJEM4[[#This Row],[data_wyjazdu]]-WYNAJEM4[[#This Row],[data_przyjazdu]])</f>
        <v>16</v>
      </c>
      <c r="G63" s="9">
        <f xml:space="preserve"> WYNAJEM4[[#This Row],[energia]] + WYNAJEM4[[#This Row],[woda]]</f>
        <v>10.459999999999999</v>
      </c>
      <c r="H63" s="8">
        <f xml:space="preserve"> (10 * WYNAJEM4[[#This Row],[typ]] * WYNAJEM4[[#This Row],[czas wynajecia domku]])</f>
        <v>800</v>
      </c>
      <c r="I63" s="9">
        <f xml:space="preserve"> WYNAJEM4[[#This Row],[suma energia i woda]] + WYNAJEM4[[#This Row],[czynsz]]</f>
        <v>810.46</v>
      </c>
    </row>
    <row r="64" spans="1:9" x14ac:dyDescent="0.25">
      <c r="A64" s="1">
        <v>41653</v>
      </c>
      <c r="B64" s="1">
        <v>41678</v>
      </c>
      <c r="C64" s="8">
        <v>10.93</v>
      </c>
      <c r="D64" s="8">
        <v>0.28999999999999998</v>
      </c>
      <c r="E64">
        <v>6</v>
      </c>
      <c r="F64" s="10">
        <f>(WYNAJEM4[[#This Row],[data_wyjazdu]]-WYNAJEM4[[#This Row],[data_przyjazdu]])</f>
        <v>25</v>
      </c>
      <c r="G64" s="9">
        <f xml:space="preserve"> WYNAJEM4[[#This Row],[energia]] + WYNAJEM4[[#This Row],[woda]]</f>
        <v>11.219999999999999</v>
      </c>
      <c r="H64" s="8">
        <f xml:space="preserve"> (10 * WYNAJEM4[[#This Row],[typ]] * WYNAJEM4[[#This Row],[czas wynajecia domku]])</f>
        <v>1500</v>
      </c>
      <c r="I64" s="9">
        <f xml:space="preserve"> WYNAJEM4[[#This Row],[suma energia i woda]] + WYNAJEM4[[#This Row],[czynsz]]</f>
        <v>1511.22</v>
      </c>
    </row>
    <row r="65" spans="1:9" x14ac:dyDescent="0.25">
      <c r="A65" s="1">
        <v>41654</v>
      </c>
      <c r="B65" s="1">
        <v>41661</v>
      </c>
      <c r="C65" s="8">
        <v>9.74</v>
      </c>
      <c r="D65" s="8">
        <v>0.26</v>
      </c>
      <c r="E65">
        <v>5</v>
      </c>
      <c r="F65" s="10">
        <f>(WYNAJEM4[[#This Row],[data_wyjazdu]]-WYNAJEM4[[#This Row],[data_przyjazdu]])</f>
        <v>7</v>
      </c>
      <c r="G65" s="9">
        <f xml:space="preserve"> WYNAJEM4[[#This Row],[energia]] + WYNAJEM4[[#This Row],[woda]]</f>
        <v>10</v>
      </c>
      <c r="H65" s="8">
        <f xml:space="preserve"> (10 * WYNAJEM4[[#This Row],[typ]] * WYNAJEM4[[#This Row],[czas wynajecia domku]])</f>
        <v>350</v>
      </c>
      <c r="I65" s="9">
        <f xml:space="preserve"> WYNAJEM4[[#This Row],[suma energia i woda]] + WYNAJEM4[[#This Row],[czynsz]]</f>
        <v>360</v>
      </c>
    </row>
    <row r="66" spans="1:9" x14ac:dyDescent="0.25">
      <c r="A66" s="1">
        <v>41654</v>
      </c>
      <c r="B66" s="1">
        <v>41669</v>
      </c>
      <c r="C66" s="8">
        <v>14.31</v>
      </c>
      <c r="D66" s="8">
        <v>0.38</v>
      </c>
      <c r="E66">
        <v>6</v>
      </c>
      <c r="F66" s="10">
        <f>(WYNAJEM4[[#This Row],[data_wyjazdu]]-WYNAJEM4[[#This Row],[data_przyjazdu]])</f>
        <v>15</v>
      </c>
      <c r="G66" s="9">
        <f xml:space="preserve"> WYNAJEM4[[#This Row],[energia]] + WYNAJEM4[[#This Row],[woda]]</f>
        <v>14.690000000000001</v>
      </c>
      <c r="H66" s="8">
        <f xml:space="preserve"> (10 * WYNAJEM4[[#This Row],[typ]] * WYNAJEM4[[#This Row],[czas wynajecia domku]])</f>
        <v>900</v>
      </c>
      <c r="I66" s="9">
        <f xml:space="preserve"> WYNAJEM4[[#This Row],[suma energia i woda]] + WYNAJEM4[[#This Row],[czynsz]]</f>
        <v>914.69</v>
      </c>
    </row>
    <row r="67" spans="1:9" x14ac:dyDescent="0.25">
      <c r="A67" s="1">
        <v>41654</v>
      </c>
      <c r="B67" s="1">
        <v>41663</v>
      </c>
      <c r="C67" s="8">
        <v>7.35</v>
      </c>
      <c r="D67" s="8">
        <v>0.19</v>
      </c>
      <c r="E67">
        <v>4</v>
      </c>
      <c r="F67" s="10">
        <f>(WYNAJEM4[[#This Row],[data_wyjazdu]]-WYNAJEM4[[#This Row],[data_przyjazdu]])</f>
        <v>9</v>
      </c>
      <c r="G67" s="9">
        <f xml:space="preserve"> WYNAJEM4[[#This Row],[energia]] + WYNAJEM4[[#This Row],[woda]]</f>
        <v>7.54</v>
      </c>
      <c r="H67" s="8">
        <f xml:space="preserve"> (10 * WYNAJEM4[[#This Row],[typ]] * WYNAJEM4[[#This Row],[czas wynajecia domku]])</f>
        <v>360</v>
      </c>
      <c r="I67" s="9">
        <f xml:space="preserve"> WYNAJEM4[[#This Row],[suma energia i woda]] + WYNAJEM4[[#This Row],[czynsz]]</f>
        <v>367.54</v>
      </c>
    </row>
    <row r="68" spans="1:9" x14ac:dyDescent="0.25">
      <c r="A68" s="1">
        <v>41654</v>
      </c>
      <c r="B68" s="1">
        <v>41670</v>
      </c>
      <c r="C68" s="8">
        <v>9.74</v>
      </c>
      <c r="D68" s="8">
        <v>0.26</v>
      </c>
      <c r="E68">
        <v>5</v>
      </c>
      <c r="F68" s="10">
        <f>(WYNAJEM4[[#This Row],[data_wyjazdu]]-WYNAJEM4[[#This Row],[data_przyjazdu]])</f>
        <v>16</v>
      </c>
      <c r="G68" s="9">
        <f xml:space="preserve"> WYNAJEM4[[#This Row],[energia]] + WYNAJEM4[[#This Row],[woda]]</f>
        <v>10</v>
      </c>
      <c r="H68" s="8">
        <f xml:space="preserve"> (10 * WYNAJEM4[[#This Row],[typ]] * WYNAJEM4[[#This Row],[czas wynajecia domku]])</f>
        <v>800</v>
      </c>
      <c r="I68" s="9">
        <f xml:space="preserve"> WYNAJEM4[[#This Row],[suma energia i woda]] + WYNAJEM4[[#This Row],[czynsz]]</f>
        <v>810</v>
      </c>
    </row>
    <row r="69" spans="1:9" x14ac:dyDescent="0.25">
      <c r="A69" s="1">
        <v>41654</v>
      </c>
      <c r="B69" s="1">
        <v>41666</v>
      </c>
      <c r="C69" s="8">
        <v>14.13</v>
      </c>
      <c r="D69" s="8">
        <v>0.37</v>
      </c>
      <c r="E69">
        <v>2</v>
      </c>
      <c r="F69" s="10">
        <f>(WYNAJEM4[[#This Row],[data_wyjazdu]]-WYNAJEM4[[#This Row],[data_przyjazdu]])</f>
        <v>12</v>
      </c>
      <c r="G69" s="9">
        <f xml:space="preserve"> WYNAJEM4[[#This Row],[energia]] + WYNAJEM4[[#This Row],[woda]]</f>
        <v>14.5</v>
      </c>
      <c r="H69" s="8">
        <f xml:space="preserve"> (10 * WYNAJEM4[[#This Row],[typ]] * WYNAJEM4[[#This Row],[czas wynajecia domku]])</f>
        <v>240</v>
      </c>
      <c r="I69" s="9">
        <f xml:space="preserve"> WYNAJEM4[[#This Row],[suma energia i woda]] + WYNAJEM4[[#This Row],[czynsz]]</f>
        <v>254.5</v>
      </c>
    </row>
    <row r="70" spans="1:9" x14ac:dyDescent="0.25">
      <c r="A70" s="1">
        <v>41654</v>
      </c>
      <c r="B70" s="1">
        <v>41658</v>
      </c>
      <c r="C70" s="8">
        <v>12.01</v>
      </c>
      <c r="D70" s="8">
        <v>0.32</v>
      </c>
      <c r="E70">
        <v>3</v>
      </c>
      <c r="F70" s="10">
        <f>(WYNAJEM4[[#This Row],[data_wyjazdu]]-WYNAJEM4[[#This Row],[data_przyjazdu]])</f>
        <v>4</v>
      </c>
      <c r="G70" s="9">
        <f xml:space="preserve"> WYNAJEM4[[#This Row],[energia]] + WYNAJEM4[[#This Row],[woda]]</f>
        <v>12.33</v>
      </c>
      <c r="H70" s="8">
        <f xml:space="preserve"> (10 * WYNAJEM4[[#This Row],[typ]] * WYNAJEM4[[#This Row],[czas wynajecia domku]])</f>
        <v>120</v>
      </c>
      <c r="I70" s="9">
        <f xml:space="preserve"> WYNAJEM4[[#This Row],[suma energia i woda]] + WYNAJEM4[[#This Row],[czynsz]]</f>
        <v>132.33000000000001</v>
      </c>
    </row>
    <row r="71" spans="1:9" x14ac:dyDescent="0.25">
      <c r="A71" s="1">
        <v>41654</v>
      </c>
      <c r="B71" s="1">
        <v>41669</v>
      </c>
      <c r="C71" s="8">
        <v>13.07</v>
      </c>
      <c r="D71" s="8">
        <v>0.34</v>
      </c>
      <c r="E71">
        <v>6</v>
      </c>
      <c r="F71" s="10">
        <f>(WYNAJEM4[[#This Row],[data_wyjazdu]]-WYNAJEM4[[#This Row],[data_przyjazdu]])</f>
        <v>15</v>
      </c>
      <c r="G71" s="9">
        <f xml:space="preserve"> WYNAJEM4[[#This Row],[energia]] + WYNAJEM4[[#This Row],[woda]]</f>
        <v>13.41</v>
      </c>
      <c r="H71" s="8">
        <f xml:space="preserve"> (10 * WYNAJEM4[[#This Row],[typ]] * WYNAJEM4[[#This Row],[czas wynajecia domku]])</f>
        <v>900</v>
      </c>
      <c r="I71" s="9">
        <f xml:space="preserve"> WYNAJEM4[[#This Row],[suma energia i woda]] + WYNAJEM4[[#This Row],[czynsz]]</f>
        <v>913.41</v>
      </c>
    </row>
    <row r="72" spans="1:9" x14ac:dyDescent="0.25">
      <c r="A72" s="1">
        <v>41654</v>
      </c>
      <c r="B72" s="1">
        <v>41659</v>
      </c>
      <c r="C72" s="8">
        <v>14</v>
      </c>
      <c r="D72" s="8">
        <v>0.37</v>
      </c>
      <c r="E72">
        <v>5</v>
      </c>
      <c r="F72" s="10">
        <f>(WYNAJEM4[[#This Row],[data_wyjazdu]]-WYNAJEM4[[#This Row],[data_przyjazdu]])</f>
        <v>5</v>
      </c>
      <c r="G72" s="9">
        <f xml:space="preserve"> WYNAJEM4[[#This Row],[energia]] + WYNAJEM4[[#This Row],[woda]]</f>
        <v>14.37</v>
      </c>
      <c r="H72" s="8">
        <f xml:space="preserve"> (10 * WYNAJEM4[[#This Row],[typ]] * WYNAJEM4[[#This Row],[czas wynajecia domku]])</f>
        <v>250</v>
      </c>
      <c r="I72" s="9">
        <f xml:space="preserve"> WYNAJEM4[[#This Row],[suma energia i woda]] + WYNAJEM4[[#This Row],[czynsz]]</f>
        <v>264.37</v>
      </c>
    </row>
    <row r="73" spans="1:9" x14ac:dyDescent="0.25">
      <c r="A73" s="1">
        <v>41654</v>
      </c>
      <c r="B73" s="1">
        <v>41671</v>
      </c>
      <c r="C73" s="8">
        <v>13.02</v>
      </c>
      <c r="D73" s="8">
        <v>0.34</v>
      </c>
      <c r="E73">
        <v>2</v>
      </c>
      <c r="F73" s="10">
        <f>(WYNAJEM4[[#This Row],[data_wyjazdu]]-WYNAJEM4[[#This Row],[data_przyjazdu]])</f>
        <v>17</v>
      </c>
      <c r="G73" s="9">
        <f xml:space="preserve"> WYNAJEM4[[#This Row],[energia]] + WYNAJEM4[[#This Row],[woda]]</f>
        <v>13.36</v>
      </c>
      <c r="H73" s="8">
        <f xml:space="preserve"> (10 * WYNAJEM4[[#This Row],[typ]] * WYNAJEM4[[#This Row],[czas wynajecia domku]])</f>
        <v>340</v>
      </c>
      <c r="I73" s="9">
        <f xml:space="preserve"> WYNAJEM4[[#This Row],[suma energia i woda]] + WYNAJEM4[[#This Row],[czynsz]]</f>
        <v>353.36</v>
      </c>
    </row>
    <row r="74" spans="1:9" x14ac:dyDescent="0.25">
      <c r="A74" s="1">
        <v>41654</v>
      </c>
      <c r="B74" s="1">
        <v>41658</v>
      </c>
      <c r="C74" s="8">
        <v>6.75</v>
      </c>
      <c r="D74" s="8">
        <v>0.18</v>
      </c>
      <c r="E74">
        <v>5</v>
      </c>
      <c r="F74" s="10">
        <f>(WYNAJEM4[[#This Row],[data_wyjazdu]]-WYNAJEM4[[#This Row],[data_przyjazdu]])</f>
        <v>4</v>
      </c>
      <c r="G74" s="9">
        <f xml:space="preserve"> WYNAJEM4[[#This Row],[energia]] + WYNAJEM4[[#This Row],[woda]]</f>
        <v>6.93</v>
      </c>
      <c r="H74" s="8">
        <f xml:space="preserve"> (10 * WYNAJEM4[[#This Row],[typ]] * WYNAJEM4[[#This Row],[czas wynajecia domku]])</f>
        <v>200</v>
      </c>
      <c r="I74" s="9">
        <f xml:space="preserve"> WYNAJEM4[[#This Row],[suma energia i woda]] + WYNAJEM4[[#This Row],[czynsz]]</f>
        <v>206.93</v>
      </c>
    </row>
    <row r="75" spans="1:9" x14ac:dyDescent="0.25">
      <c r="A75" s="1">
        <v>41654</v>
      </c>
      <c r="B75" s="1">
        <v>41670</v>
      </c>
      <c r="C75" s="8">
        <v>3.88</v>
      </c>
      <c r="D75" s="8">
        <v>0.1</v>
      </c>
      <c r="E75">
        <v>2</v>
      </c>
      <c r="F75" s="10">
        <f>(WYNAJEM4[[#This Row],[data_wyjazdu]]-WYNAJEM4[[#This Row],[data_przyjazdu]])</f>
        <v>16</v>
      </c>
      <c r="G75" s="9">
        <f xml:space="preserve"> WYNAJEM4[[#This Row],[energia]] + WYNAJEM4[[#This Row],[woda]]</f>
        <v>3.98</v>
      </c>
      <c r="H75" s="8">
        <f xml:space="preserve"> (10 * WYNAJEM4[[#This Row],[typ]] * WYNAJEM4[[#This Row],[czas wynajecia domku]])</f>
        <v>320</v>
      </c>
      <c r="I75" s="9">
        <f xml:space="preserve"> WYNAJEM4[[#This Row],[suma energia i woda]] + WYNAJEM4[[#This Row],[czynsz]]</f>
        <v>323.98</v>
      </c>
    </row>
    <row r="76" spans="1:9" x14ac:dyDescent="0.25">
      <c r="A76" s="1">
        <v>41654</v>
      </c>
      <c r="B76" s="1">
        <v>41657</v>
      </c>
      <c r="C76" s="8">
        <v>4.66</v>
      </c>
      <c r="D76" s="8">
        <v>0.12</v>
      </c>
      <c r="E76">
        <v>6</v>
      </c>
      <c r="F76" s="10">
        <f>(WYNAJEM4[[#This Row],[data_wyjazdu]]-WYNAJEM4[[#This Row],[data_przyjazdu]])</f>
        <v>3</v>
      </c>
      <c r="G76" s="9">
        <f xml:space="preserve"> WYNAJEM4[[#This Row],[energia]] + WYNAJEM4[[#This Row],[woda]]</f>
        <v>4.78</v>
      </c>
      <c r="H76" s="8">
        <f xml:space="preserve"> (10 * WYNAJEM4[[#This Row],[typ]] * WYNAJEM4[[#This Row],[czas wynajecia domku]])</f>
        <v>180</v>
      </c>
      <c r="I76" s="9">
        <f xml:space="preserve"> WYNAJEM4[[#This Row],[suma energia i woda]] + WYNAJEM4[[#This Row],[czynsz]]</f>
        <v>184.78</v>
      </c>
    </row>
    <row r="77" spans="1:9" x14ac:dyDescent="0.25">
      <c r="A77" s="1">
        <v>41654</v>
      </c>
      <c r="B77" s="1">
        <v>41661</v>
      </c>
      <c r="C77" s="8">
        <v>2.29</v>
      </c>
      <c r="D77" s="8">
        <v>0.06</v>
      </c>
      <c r="E77">
        <v>4</v>
      </c>
      <c r="F77" s="10">
        <f>(WYNAJEM4[[#This Row],[data_wyjazdu]]-WYNAJEM4[[#This Row],[data_przyjazdu]])</f>
        <v>7</v>
      </c>
      <c r="G77" s="9">
        <f xml:space="preserve"> WYNAJEM4[[#This Row],[energia]] + WYNAJEM4[[#This Row],[woda]]</f>
        <v>2.35</v>
      </c>
      <c r="H77" s="8">
        <f xml:space="preserve"> (10 * WYNAJEM4[[#This Row],[typ]] * WYNAJEM4[[#This Row],[czas wynajecia domku]])</f>
        <v>280</v>
      </c>
      <c r="I77" s="9">
        <f xml:space="preserve"> WYNAJEM4[[#This Row],[suma energia i woda]] + WYNAJEM4[[#This Row],[czynsz]]</f>
        <v>282.35000000000002</v>
      </c>
    </row>
    <row r="78" spans="1:9" x14ac:dyDescent="0.25">
      <c r="A78" s="1">
        <v>41654</v>
      </c>
      <c r="B78" s="1">
        <v>41665</v>
      </c>
      <c r="C78" s="8">
        <v>7.31</v>
      </c>
      <c r="D78" s="8">
        <v>0.19</v>
      </c>
      <c r="E78">
        <v>6</v>
      </c>
      <c r="F78" s="10">
        <f>(WYNAJEM4[[#This Row],[data_wyjazdu]]-WYNAJEM4[[#This Row],[data_przyjazdu]])</f>
        <v>11</v>
      </c>
      <c r="G78" s="9">
        <f xml:space="preserve"> WYNAJEM4[[#This Row],[energia]] + WYNAJEM4[[#This Row],[woda]]</f>
        <v>7.5</v>
      </c>
      <c r="H78" s="8">
        <f xml:space="preserve"> (10 * WYNAJEM4[[#This Row],[typ]] * WYNAJEM4[[#This Row],[czas wynajecia domku]])</f>
        <v>660</v>
      </c>
      <c r="I78" s="9">
        <f xml:space="preserve"> WYNAJEM4[[#This Row],[suma energia i woda]] + WYNAJEM4[[#This Row],[czynsz]]</f>
        <v>667.5</v>
      </c>
    </row>
    <row r="79" spans="1:9" x14ac:dyDescent="0.25">
      <c r="A79" s="1">
        <v>41654</v>
      </c>
      <c r="B79" s="1">
        <v>41682</v>
      </c>
      <c r="C79" s="8">
        <v>6.23</v>
      </c>
      <c r="D79" s="8">
        <v>0.16</v>
      </c>
      <c r="E79">
        <v>6</v>
      </c>
      <c r="F79" s="10">
        <f>(WYNAJEM4[[#This Row],[data_wyjazdu]]-WYNAJEM4[[#This Row],[data_przyjazdu]])</f>
        <v>28</v>
      </c>
      <c r="G79" s="9">
        <f xml:space="preserve"> WYNAJEM4[[#This Row],[energia]] + WYNAJEM4[[#This Row],[woda]]</f>
        <v>6.3900000000000006</v>
      </c>
      <c r="H79" s="8">
        <f xml:space="preserve"> (10 * WYNAJEM4[[#This Row],[typ]] * WYNAJEM4[[#This Row],[czas wynajecia domku]])</f>
        <v>1680</v>
      </c>
      <c r="I79" s="9">
        <f xml:space="preserve"> WYNAJEM4[[#This Row],[suma energia i woda]] + WYNAJEM4[[#This Row],[czynsz]]</f>
        <v>1686.39</v>
      </c>
    </row>
    <row r="80" spans="1:9" x14ac:dyDescent="0.25">
      <c r="A80" s="1">
        <v>41654</v>
      </c>
      <c r="B80" s="1">
        <v>41663</v>
      </c>
      <c r="C80" s="8">
        <v>3.88</v>
      </c>
      <c r="D80" s="8">
        <v>0.1</v>
      </c>
      <c r="E80">
        <v>2</v>
      </c>
      <c r="F80" s="10">
        <f>(WYNAJEM4[[#This Row],[data_wyjazdu]]-WYNAJEM4[[#This Row],[data_przyjazdu]])</f>
        <v>9</v>
      </c>
      <c r="G80" s="9">
        <f xml:space="preserve"> WYNAJEM4[[#This Row],[energia]] + WYNAJEM4[[#This Row],[woda]]</f>
        <v>3.98</v>
      </c>
      <c r="H80" s="8">
        <f xml:space="preserve"> (10 * WYNAJEM4[[#This Row],[typ]] * WYNAJEM4[[#This Row],[czas wynajecia domku]])</f>
        <v>180</v>
      </c>
      <c r="I80" s="9">
        <f xml:space="preserve"> WYNAJEM4[[#This Row],[suma energia i woda]] + WYNAJEM4[[#This Row],[czynsz]]</f>
        <v>183.98</v>
      </c>
    </row>
    <row r="81" spans="1:9" x14ac:dyDescent="0.25">
      <c r="A81" s="1">
        <v>41654</v>
      </c>
      <c r="B81" s="1">
        <v>41662</v>
      </c>
      <c r="C81" s="8">
        <v>8.51</v>
      </c>
      <c r="D81" s="8">
        <v>0.22</v>
      </c>
      <c r="E81">
        <v>2</v>
      </c>
      <c r="F81" s="10">
        <f>(WYNAJEM4[[#This Row],[data_wyjazdu]]-WYNAJEM4[[#This Row],[data_przyjazdu]])</f>
        <v>8</v>
      </c>
      <c r="G81" s="9">
        <f xml:space="preserve"> WYNAJEM4[[#This Row],[energia]] + WYNAJEM4[[#This Row],[woda]]</f>
        <v>8.73</v>
      </c>
      <c r="H81" s="8">
        <f xml:space="preserve"> (10 * WYNAJEM4[[#This Row],[typ]] * WYNAJEM4[[#This Row],[czas wynajecia domku]])</f>
        <v>160</v>
      </c>
      <c r="I81" s="9">
        <f xml:space="preserve"> WYNAJEM4[[#This Row],[suma energia i woda]] + WYNAJEM4[[#This Row],[czynsz]]</f>
        <v>168.73</v>
      </c>
    </row>
    <row r="82" spans="1:9" x14ac:dyDescent="0.25">
      <c r="A82" s="1">
        <v>41654</v>
      </c>
      <c r="B82" s="1">
        <v>41657</v>
      </c>
      <c r="C82" s="8">
        <v>8.51</v>
      </c>
      <c r="D82" s="8">
        <v>0.22</v>
      </c>
      <c r="E82">
        <v>4</v>
      </c>
      <c r="F82" s="10">
        <f>(WYNAJEM4[[#This Row],[data_wyjazdu]]-WYNAJEM4[[#This Row],[data_przyjazdu]])</f>
        <v>3</v>
      </c>
      <c r="G82" s="9">
        <f xml:space="preserve"> WYNAJEM4[[#This Row],[energia]] + WYNAJEM4[[#This Row],[woda]]</f>
        <v>8.73</v>
      </c>
      <c r="H82" s="8">
        <f xml:space="preserve"> (10 * WYNAJEM4[[#This Row],[typ]] * WYNAJEM4[[#This Row],[czas wynajecia domku]])</f>
        <v>120</v>
      </c>
      <c r="I82" s="9">
        <f xml:space="preserve"> WYNAJEM4[[#This Row],[suma energia i woda]] + WYNAJEM4[[#This Row],[czynsz]]</f>
        <v>128.72999999999999</v>
      </c>
    </row>
    <row r="83" spans="1:9" x14ac:dyDescent="0.25">
      <c r="A83" s="1">
        <v>41654</v>
      </c>
      <c r="B83" s="1">
        <v>41676</v>
      </c>
      <c r="C83" s="8">
        <v>9.1300000000000008</v>
      </c>
      <c r="D83" s="8">
        <v>0.24</v>
      </c>
      <c r="E83">
        <v>2</v>
      </c>
      <c r="F83" s="10">
        <f>(WYNAJEM4[[#This Row],[data_wyjazdu]]-WYNAJEM4[[#This Row],[data_przyjazdu]])</f>
        <v>22</v>
      </c>
      <c r="G83" s="9">
        <f xml:space="preserve"> WYNAJEM4[[#This Row],[energia]] + WYNAJEM4[[#This Row],[woda]]</f>
        <v>9.370000000000001</v>
      </c>
      <c r="H83" s="8">
        <f xml:space="preserve"> (10 * WYNAJEM4[[#This Row],[typ]] * WYNAJEM4[[#This Row],[czas wynajecia domku]])</f>
        <v>440</v>
      </c>
      <c r="I83" s="9">
        <f xml:space="preserve"> WYNAJEM4[[#This Row],[suma energia i woda]] + WYNAJEM4[[#This Row],[czynsz]]</f>
        <v>449.37</v>
      </c>
    </row>
    <row r="84" spans="1:9" x14ac:dyDescent="0.25">
      <c r="A84" s="1">
        <v>41654</v>
      </c>
      <c r="B84" s="1">
        <v>41658</v>
      </c>
      <c r="C84" s="8">
        <v>3.88</v>
      </c>
      <c r="D84" s="8">
        <v>0.1</v>
      </c>
      <c r="E84">
        <v>2</v>
      </c>
      <c r="F84" s="10">
        <f>(WYNAJEM4[[#This Row],[data_wyjazdu]]-WYNAJEM4[[#This Row],[data_przyjazdu]])</f>
        <v>4</v>
      </c>
      <c r="G84" s="9">
        <f xml:space="preserve"> WYNAJEM4[[#This Row],[energia]] + WYNAJEM4[[#This Row],[woda]]</f>
        <v>3.98</v>
      </c>
      <c r="H84" s="8">
        <f xml:space="preserve"> (10 * WYNAJEM4[[#This Row],[typ]] * WYNAJEM4[[#This Row],[czas wynajecia domku]])</f>
        <v>80</v>
      </c>
      <c r="I84" s="9">
        <f xml:space="preserve"> WYNAJEM4[[#This Row],[suma energia i woda]] + WYNAJEM4[[#This Row],[czynsz]]</f>
        <v>83.98</v>
      </c>
    </row>
    <row r="85" spans="1:9" x14ac:dyDescent="0.25">
      <c r="A85" s="1">
        <v>41654</v>
      </c>
      <c r="B85" s="1">
        <v>41675</v>
      </c>
      <c r="C85" s="8">
        <v>11.42</v>
      </c>
      <c r="D85" s="8">
        <v>0.3</v>
      </c>
      <c r="E85">
        <v>2</v>
      </c>
      <c r="F85" s="10">
        <f>(WYNAJEM4[[#This Row],[data_wyjazdu]]-WYNAJEM4[[#This Row],[data_przyjazdu]])</f>
        <v>21</v>
      </c>
      <c r="G85" s="9">
        <f xml:space="preserve"> WYNAJEM4[[#This Row],[energia]] + WYNAJEM4[[#This Row],[woda]]</f>
        <v>11.72</v>
      </c>
      <c r="H85" s="8">
        <f xml:space="preserve"> (10 * WYNAJEM4[[#This Row],[typ]] * WYNAJEM4[[#This Row],[czas wynajecia domku]])</f>
        <v>420</v>
      </c>
      <c r="I85" s="9">
        <f xml:space="preserve"> WYNAJEM4[[#This Row],[suma energia i woda]] + WYNAJEM4[[#This Row],[czynsz]]</f>
        <v>431.72</v>
      </c>
    </row>
    <row r="86" spans="1:9" x14ac:dyDescent="0.25">
      <c r="A86" s="1">
        <v>41654</v>
      </c>
      <c r="B86" s="1">
        <v>41661</v>
      </c>
      <c r="C86" s="8">
        <v>16.829999999999998</v>
      </c>
      <c r="D86" s="8">
        <v>0.44</v>
      </c>
      <c r="E86">
        <v>4</v>
      </c>
      <c r="F86" s="10">
        <f>(WYNAJEM4[[#This Row],[data_wyjazdu]]-WYNAJEM4[[#This Row],[data_przyjazdu]])</f>
        <v>7</v>
      </c>
      <c r="G86" s="9">
        <f xml:space="preserve"> WYNAJEM4[[#This Row],[energia]] + WYNAJEM4[[#This Row],[woda]]</f>
        <v>17.27</v>
      </c>
      <c r="H86" s="8">
        <f xml:space="preserve"> (10 * WYNAJEM4[[#This Row],[typ]] * WYNAJEM4[[#This Row],[czas wynajecia domku]])</f>
        <v>280</v>
      </c>
      <c r="I86" s="9">
        <f xml:space="preserve"> WYNAJEM4[[#This Row],[suma energia i woda]] + WYNAJEM4[[#This Row],[czynsz]]</f>
        <v>297.27</v>
      </c>
    </row>
    <row r="87" spans="1:9" x14ac:dyDescent="0.25">
      <c r="A87" s="1">
        <v>41656</v>
      </c>
      <c r="B87" s="1">
        <v>41674</v>
      </c>
      <c r="C87" s="8">
        <v>5.67</v>
      </c>
      <c r="D87" s="8">
        <v>0.15</v>
      </c>
      <c r="E87">
        <v>2</v>
      </c>
      <c r="F87" s="10">
        <f>(WYNAJEM4[[#This Row],[data_wyjazdu]]-WYNAJEM4[[#This Row],[data_przyjazdu]])</f>
        <v>18</v>
      </c>
      <c r="G87" s="9">
        <f xml:space="preserve"> WYNAJEM4[[#This Row],[energia]] + WYNAJEM4[[#This Row],[woda]]</f>
        <v>5.82</v>
      </c>
      <c r="H87" s="8">
        <f xml:space="preserve"> (10 * WYNAJEM4[[#This Row],[typ]] * WYNAJEM4[[#This Row],[czas wynajecia domku]])</f>
        <v>360</v>
      </c>
      <c r="I87" s="9">
        <f xml:space="preserve"> WYNAJEM4[[#This Row],[suma energia i woda]] + WYNAJEM4[[#This Row],[czynsz]]</f>
        <v>365.82</v>
      </c>
    </row>
    <row r="88" spans="1:9" x14ac:dyDescent="0.25">
      <c r="A88" s="1">
        <v>41656</v>
      </c>
      <c r="B88" s="1">
        <v>41667</v>
      </c>
      <c r="C88" s="8">
        <v>5.67</v>
      </c>
      <c r="D88" s="8">
        <v>0.15</v>
      </c>
      <c r="E88">
        <v>3</v>
      </c>
      <c r="F88" s="10">
        <f>(WYNAJEM4[[#This Row],[data_wyjazdu]]-WYNAJEM4[[#This Row],[data_przyjazdu]])</f>
        <v>11</v>
      </c>
      <c r="G88" s="9">
        <f xml:space="preserve"> WYNAJEM4[[#This Row],[energia]] + WYNAJEM4[[#This Row],[woda]]</f>
        <v>5.82</v>
      </c>
      <c r="H88" s="8">
        <f xml:space="preserve"> (10 * WYNAJEM4[[#This Row],[typ]] * WYNAJEM4[[#This Row],[czas wynajecia domku]])</f>
        <v>330</v>
      </c>
      <c r="I88" s="9">
        <f xml:space="preserve"> WYNAJEM4[[#This Row],[suma energia i woda]] + WYNAJEM4[[#This Row],[czynsz]]</f>
        <v>335.82</v>
      </c>
    </row>
    <row r="89" spans="1:9" x14ac:dyDescent="0.25">
      <c r="A89" s="1">
        <v>41656</v>
      </c>
      <c r="B89" s="1">
        <v>41666</v>
      </c>
      <c r="C89" s="8">
        <v>2.0099999999999998</v>
      </c>
      <c r="D89" s="8">
        <v>0.05</v>
      </c>
      <c r="E89">
        <v>5</v>
      </c>
      <c r="F89" s="10">
        <f>(WYNAJEM4[[#This Row],[data_wyjazdu]]-WYNAJEM4[[#This Row],[data_przyjazdu]])</f>
        <v>10</v>
      </c>
      <c r="G89" s="9">
        <f xml:space="preserve"> WYNAJEM4[[#This Row],[energia]] + WYNAJEM4[[#This Row],[woda]]</f>
        <v>2.0599999999999996</v>
      </c>
      <c r="H89" s="8">
        <f xml:space="preserve"> (10 * WYNAJEM4[[#This Row],[typ]] * WYNAJEM4[[#This Row],[czas wynajecia domku]])</f>
        <v>500</v>
      </c>
      <c r="I89" s="9">
        <f xml:space="preserve"> WYNAJEM4[[#This Row],[suma energia i woda]] + WYNAJEM4[[#This Row],[czynsz]]</f>
        <v>502.06</v>
      </c>
    </row>
    <row r="90" spans="1:9" x14ac:dyDescent="0.25">
      <c r="A90" s="1">
        <v>41656</v>
      </c>
      <c r="B90" s="1">
        <v>41678</v>
      </c>
      <c r="C90" s="8">
        <v>2.0099999999999998</v>
      </c>
      <c r="D90" s="8">
        <v>0.05</v>
      </c>
      <c r="E90">
        <v>5</v>
      </c>
      <c r="F90" s="10">
        <f>(WYNAJEM4[[#This Row],[data_wyjazdu]]-WYNAJEM4[[#This Row],[data_przyjazdu]])</f>
        <v>22</v>
      </c>
      <c r="G90" s="9">
        <f xml:space="preserve"> WYNAJEM4[[#This Row],[energia]] + WYNAJEM4[[#This Row],[woda]]</f>
        <v>2.0599999999999996</v>
      </c>
      <c r="H90" s="8">
        <f xml:space="preserve"> (10 * WYNAJEM4[[#This Row],[typ]] * WYNAJEM4[[#This Row],[czas wynajecia domku]])</f>
        <v>1100</v>
      </c>
      <c r="I90" s="9">
        <f xml:space="preserve"> WYNAJEM4[[#This Row],[suma energia i woda]] + WYNAJEM4[[#This Row],[czynsz]]</f>
        <v>1102.06</v>
      </c>
    </row>
    <row r="91" spans="1:9" x14ac:dyDescent="0.25">
      <c r="A91" s="1">
        <v>41657</v>
      </c>
      <c r="B91" s="1">
        <v>41669</v>
      </c>
      <c r="C91" s="8">
        <v>6.43</v>
      </c>
      <c r="D91" s="8">
        <v>0.17</v>
      </c>
      <c r="E91">
        <v>5</v>
      </c>
      <c r="F91" s="10">
        <f>(WYNAJEM4[[#This Row],[data_wyjazdu]]-WYNAJEM4[[#This Row],[data_przyjazdu]])</f>
        <v>12</v>
      </c>
      <c r="G91" s="9">
        <f xml:space="preserve"> WYNAJEM4[[#This Row],[energia]] + WYNAJEM4[[#This Row],[woda]]</f>
        <v>6.6</v>
      </c>
      <c r="H91" s="8">
        <f xml:space="preserve"> (10 * WYNAJEM4[[#This Row],[typ]] * WYNAJEM4[[#This Row],[czas wynajecia domku]])</f>
        <v>600</v>
      </c>
      <c r="I91" s="9">
        <f xml:space="preserve"> WYNAJEM4[[#This Row],[suma energia i woda]] + WYNAJEM4[[#This Row],[czynsz]]</f>
        <v>606.6</v>
      </c>
    </row>
    <row r="92" spans="1:9" x14ac:dyDescent="0.25">
      <c r="A92" s="1">
        <v>41657</v>
      </c>
      <c r="B92" s="1">
        <v>41666</v>
      </c>
      <c r="C92" s="8">
        <v>3.88</v>
      </c>
      <c r="D92" s="8">
        <v>0.1</v>
      </c>
      <c r="E92">
        <v>5</v>
      </c>
      <c r="F92" s="10">
        <f>(WYNAJEM4[[#This Row],[data_wyjazdu]]-WYNAJEM4[[#This Row],[data_przyjazdu]])</f>
        <v>9</v>
      </c>
      <c r="G92" s="9">
        <f xml:space="preserve"> WYNAJEM4[[#This Row],[energia]] + WYNAJEM4[[#This Row],[woda]]</f>
        <v>3.98</v>
      </c>
      <c r="H92" s="8">
        <f xml:space="preserve"> (10 * WYNAJEM4[[#This Row],[typ]] * WYNAJEM4[[#This Row],[czas wynajecia domku]])</f>
        <v>450</v>
      </c>
      <c r="I92" s="9">
        <f xml:space="preserve"> WYNAJEM4[[#This Row],[suma energia i woda]] + WYNAJEM4[[#This Row],[czynsz]]</f>
        <v>453.98</v>
      </c>
    </row>
    <row r="93" spans="1:9" x14ac:dyDescent="0.25">
      <c r="A93" s="1">
        <v>41657</v>
      </c>
      <c r="B93" s="1">
        <v>41661</v>
      </c>
      <c r="C93" s="8">
        <v>8.7200000000000006</v>
      </c>
      <c r="D93" s="8">
        <v>0.23</v>
      </c>
      <c r="E93">
        <v>4</v>
      </c>
      <c r="F93" s="10">
        <f>(WYNAJEM4[[#This Row],[data_wyjazdu]]-WYNAJEM4[[#This Row],[data_przyjazdu]])</f>
        <v>4</v>
      </c>
      <c r="G93" s="9">
        <f xml:space="preserve"> WYNAJEM4[[#This Row],[energia]] + WYNAJEM4[[#This Row],[woda]]</f>
        <v>8.9500000000000011</v>
      </c>
      <c r="H93" s="8">
        <f xml:space="preserve"> (10 * WYNAJEM4[[#This Row],[typ]] * WYNAJEM4[[#This Row],[czas wynajecia domku]])</f>
        <v>160</v>
      </c>
      <c r="I93" s="9">
        <f xml:space="preserve"> WYNAJEM4[[#This Row],[suma energia i woda]] + WYNAJEM4[[#This Row],[czynsz]]</f>
        <v>168.95</v>
      </c>
    </row>
    <row r="94" spans="1:9" x14ac:dyDescent="0.25">
      <c r="A94" s="1">
        <v>41658</v>
      </c>
      <c r="B94" s="1">
        <v>41685</v>
      </c>
      <c r="C94" s="8">
        <v>6.58</v>
      </c>
      <c r="D94" s="8">
        <v>0.17</v>
      </c>
      <c r="E94">
        <v>5</v>
      </c>
      <c r="F94" s="10">
        <f>(WYNAJEM4[[#This Row],[data_wyjazdu]]-WYNAJEM4[[#This Row],[data_przyjazdu]])</f>
        <v>27</v>
      </c>
      <c r="G94" s="9">
        <f xml:space="preserve"> WYNAJEM4[[#This Row],[energia]] + WYNAJEM4[[#This Row],[woda]]</f>
        <v>6.75</v>
      </c>
      <c r="H94" s="8">
        <f xml:space="preserve"> (10 * WYNAJEM4[[#This Row],[typ]] * WYNAJEM4[[#This Row],[czas wynajecia domku]])</f>
        <v>1350</v>
      </c>
      <c r="I94" s="9">
        <f xml:space="preserve"> WYNAJEM4[[#This Row],[suma energia i woda]] + WYNAJEM4[[#This Row],[czynsz]]</f>
        <v>1356.75</v>
      </c>
    </row>
    <row r="95" spans="1:9" x14ac:dyDescent="0.25">
      <c r="A95" s="1">
        <v>41658</v>
      </c>
      <c r="B95" s="1">
        <v>41685</v>
      </c>
      <c r="C95" s="8">
        <v>6.43</v>
      </c>
      <c r="D95" s="8">
        <v>0.17</v>
      </c>
      <c r="E95">
        <v>2</v>
      </c>
      <c r="F95" s="10">
        <f>(WYNAJEM4[[#This Row],[data_wyjazdu]]-WYNAJEM4[[#This Row],[data_przyjazdu]])</f>
        <v>27</v>
      </c>
      <c r="G95" s="9">
        <f xml:space="preserve"> WYNAJEM4[[#This Row],[energia]] + WYNAJEM4[[#This Row],[woda]]</f>
        <v>6.6</v>
      </c>
      <c r="H95" s="8">
        <f xml:space="preserve"> (10 * WYNAJEM4[[#This Row],[typ]] * WYNAJEM4[[#This Row],[czas wynajecia domku]])</f>
        <v>540</v>
      </c>
      <c r="I95" s="9">
        <f xml:space="preserve"> WYNAJEM4[[#This Row],[suma energia i woda]] + WYNAJEM4[[#This Row],[czynsz]]</f>
        <v>546.6</v>
      </c>
    </row>
    <row r="96" spans="1:9" x14ac:dyDescent="0.25">
      <c r="A96" s="1">
        <v>41660</v>
      </c>
      <c r="B96" s="1">
        <v>41676</v>
      </c>
      <c r="C96" s="8">
        <v>11.44</v>
      </c>
      <c r="D96" s="8">
        <v>0.3</v>
      </c>
      <c r="E96">
        <v>3</v>
      </c>
      <c r="F96" s="10">
        <f>(WYNAJEM4[[#This Row],[data_wyjazdu]]-WYNAJEM4[[#This Row],[data_przyjazdu]])</f>
        <v>16</v>
      </c>
      <c r="G96" s="9">
        <f xml:space="preserve"> WYNAJEM4[[#This Row],[energia]] + WYNAJEM4[[#This Row],[woda]]</f>
        <v>11.74</v>
      </c>
      <c r="H96" s="8">
        <f xml:space="preserve"> (10 * WYNAJEM4[[#This Row],[typ]] * WYNAJEM4[[#This Row],[czas wynajecia domku]])</f>
        <v>480</v>
      </c>
      <c r="I96" s="9">
        <f xml:space="preserve"> WYNAJEM4[[#This Row],[suma energia i woda]] + WYNAJEM4[[#This Row],[czynsz]]</f>
        <v>491.74</v>
      </c>
    </row>
    <row r="97" spans="1:9" x14ac:dyDescent="0.25">
      <c r="A97" s="1">
        <v>41660</v>
      </c>
      <c r="B97" s="1">
        <v>41667</v>
      </c>
      <c r="C97" s="8">
        <v>10.59</v>
      </c>
      <c r="D97" s="8">
        <v>0.28000000000000003</v>
      </c>
      <c r="E97">
        <v>4</v>
      </c>
      <c r="F97" s="10">
        <f>(WYNAJEM4[[#This Row],[data_wyjazdu]]-WYNAJEM4[[#This Row],[data_przyjazdu]])</f>
        <v>7</v>
      </c>
      <c r="G97" s="9">
        <f xml:space="preserve"> WYNAJEM4[[#This Row],[energia]] + WYNAJEM4[[#This Row],[woda]]</f>
        <v>10.87</v>
      </c>
      <c r="H97" s="8">
        <f xml:space="preserve"> (10 * WYNAJEM4[[#This Row],[typ]] * WYNAJEM4[[#This Row],[czas wynajecia domku]])</f>
        <v>280</v>
      </c>
      <c r="I97" s="9">
        <f xml:space="preserve"> WYNAJEM4[[#This Row],[suma energia i woda]] + WYNAJEM4[[#This Row],[czynsz]]</f>
        <v>290.87</v>
      </c>
    </row>
    <row r="98" spans="1:9" x14ac:dyDescent="0.25">
      <c r="A98" s="1">
        <v>41660</v>
      </c>
      <c r="B98" s="1">
        <v>41687</v>
      </c>
      <c r="C98" s="8">
        <v>11.44</v>
      </c>
      <c r="D98" s="8">
        <v>0.3</v>
      </c>
      <c r="E98">
        <v>6</v>
      </c>
      <c r="F98" s="10">
        <f>(WYNAJEM4[[#This Row],[data_wyjazdu]]-WYNAJEM4[[#This Row],[data_przyjazdu]])</f>
        <v>27</v>
      </c>
      <c r="G98" s="9">
        <f xml:space="preserve"> WYNAJEM4[[#This Row],[energia]] + WYNAJEM4[[#This Row],[woda]]</f>
        <v>11.74</v>
      </c>
      <c r="H98" s="8">
        <f xml:space="preserve"> (10 * WYNAJEM4[[#This Row],[typ]] * WYNAJEM4[[#This Row],[czas wynajecia domku]])</f>
        <v>1620</v>
      </c>
      <c r="I98" s="9">
        <f xml:space="preserve"> WYNAJEM4[[#This Row],[suma energia i woda]] + WYNAJEM4[[#This Row],[czynsz]]</f>
        <v>1631.74</v>
      </c>
    </row>
    <row r="99" spans="1:9" x14ac:dyDescent="0.25">
      <c r="A99" s="1">
        <v>41660</v>
      </c>
      <c r="B99" s="1">
        <v>41686</v>
      </c>
      <c r="C99" s="8">
        <v>10.199999999999999</v>
      </c>
      <c r="D99" s="8">
        <v>0.27</v>
      </c>
      <c r="E99">
        <v>6</v>
      </c>
      <c r="F99" s="10">
        <f>(WYNAJEM4[[#This Row],[data_wyjazdu]]-WYNAJEM4[[#This Row],[data_przyjazdu]])</f>
        <v>26</v>
      </c>
      <c r="G99" s="9">
        <f xml:space="preserve"> WYNAJEM4[[#This Row],[energia]] + WYNAJEM4[[#This Row],[woda]]</f>
        <v>10.469999999999999</v>
      </c>
      <c r="H99" s="8">
        <f xml:space="preserve"> (10 * WYNAJEM4[[#This Row],[typ]] * WYNAJEM4[[#This Row],[czas wynajecia domku]])</f>
        <v>1560</v>
      </c>
      <c r="I99" s="9">
        <f xml:space="preserve"> WYNAJEM4[[#This Row],[suma energia i woda]] + WYNAJEM4[[#This Row],[czynsz]]</f>
        <v>1570.47</v>
      </c>
    </row>
    <row r="100" spans="1:9" x14ac:dyDescent="0.25">
      <c r="A100" s="1">
        <v>41660</v>
      </c>
      <c r="B100" s="1">
        <v>41684</v>
      </c>
      <c r="C100" s="8">
        <v>19.54</v>
      </c>
      <c r="D100" s="8">
        <v>0.51</v>
      </c>
      <c r="E100">
        <v>5</v>
      </c>
      <c r="F100" s="10">
        <f>(WYNAJEM4[[#This Row],[data_wyjazdu]]-WYNAJEM4[[#This Row],[data_przyjazdu]])</f>
        <v>24</v>
      </c>
      <c r="G100" s="9">
        <f xml:space="preserve"> WYNAJEM4[[#This Row],[energia]] + WYNAJEM4[[#This Row],[woda]]</f>
        <v>20.05</v>
      </c>
      <c r="H100" s="8">
        <f xml:space="preserve"> (10 * WYNAJEM4[[#This Row],[typ]] * WYNAJEM4[[#This Row],[czas wynajecia domku]])</f>
        <v>1200</v>
      </c>
      <c r="I100" s="9">
        <f xml:space="preserve"> WYNAJEM4[[#This Row],[suma energia i woda]] + WYNAJEM4[[#This Row],[czynsz]]</f>
        <v>1220.05</v>
      </c>
    </row>
    <row r="101" spans="1:9" x14ac:dyDescent="0.25">
      <c r="A101" s="1">
        <v>41660</v>
      </c>
      <c r="B101" s="1">
        <v>41674</v>
      </c>
      <c r="C101" s="8">
        <v>10.93</v>
      </c>
      <c r="D101" s="8">
        <v>0.28999999999999998</v>
      </c>
      <c r="E101">
        <v>4</v>
      </c>
      <c r="F101" s="10">
        <f>(WYNAJEM4[[#This Row],[data_wyjazdu]]-WYNAJEM4[[#This Row],[data_przyjazdu]])</f>
        <v>14</v>
      </c>
      <c r="G101" s="9">
        <f xml:space="preserve"> WYNAJEM4[[#This Row],[energia]] + WYNAJEM4[[#This Row],[woda]]</f>
        <v>11.219999999999999</v>
      </c>
      <c r="H101" s="8">
        <f xml:space="preserve"> (10 * WYNAJEM4[[#This Row],[typ]] * WYNAJEM4[[#This Row],[czas wynajecia domku]])</f>
        <v>560</v>
      </c>
      <c r="I101" s="9">
        <f xml:space="preserve"> WYNAJEM4[[#This Row],[suma energia i woda]] + WYNAJEM4[[#This Row],[czynsz]]</f>
        <v>571.22</v>
      </c>
    </row>
    <row r="102" spans="1:9" x14ac:dyDescent="0.25">
      <c r="A102" s="1">
        <v>41661</v>
      </c>
      <c r="B102" s="1">
        <v>41668</v>
      </c>
      <c r="C102" s="8">
        <v>6.43</v>
      </c>
      <c r="D102" s="8">
        <v>0.17</v>
      </c>
      <c r="E102">
        <v>5</v>
      </c>
      <c r="F102" s="10">
        <f>(WYNAJEM4[[#This Row],[data_wyjazdu]]-WYNAJEM4[[#This Row],[data_przyjazdu]])</f>
        <v>7</v>
      </c>
      <c r="G102" s="9">
        <f xml:space="preserve"> WYNAJEM4[[#This Row],[energia]] + WYNAJEM4[[#This Row],[woda]]</f>
        <v>6.6</v>
      </c>
      <c r="H102" s="8">
        <f xml:space="preserve"> (10 * WYNAJEM4[[#This Row],[typ]] * WYNAJEM4[[#This Row],[czas wynajecia domku]])</f>
        <v>350</v>
      </c>
      <c r="I102" s="9">
        <f xml:space="preserve"> WYNAJEM4[[#This Row],[suma energia i woda]] + WYNAJEM4[[#This Row],[czynsz]]</f>
        <v>356.6</v>
      </c>
    </row>
    <row r="103" spans="1:9" x14ac:dyDescent="0.25">
      <c r="A103" s="1">
        <v>41661</v>
      </c>
      <c r="B103" s="1">
        <v>41681</v>
      </c>
      <c r="C103" s="8">
        <v>5.67</v>
      </c>
      <c r="D103" s="8">
        <v>0.15</v>
      </c>
      <c r="E103">
        <v>4</v>
      </c>
      <c r="F103" s="10">
        <f>(WYNAJEM4[[#This Row],[data_wyjazdu]]-WYNAJEM4[[#This Row],[data_przyjazdu]])</f>
        <v>20</v>
      </c>
      <c r="G103" s="9">
        <f xml:space="preserve"> WYNAJEM4[[#This Row],[energia]] + WYNAJEM4[[#This Row],[woda]]</f>
        <v>5.82</v>
      </c>
      <c r="H103" s="8">
        <f xml:space="preserve"> (10 * WYNAJEM4[[#This Row],[typ]] * WYNAJEM4[[#This Row],[czas wynajecia domku]])</f>
        <v>800</v>
      </c>
      <c r="I103" s="9">
        <f xml:space="preserve"> WYNAJEM4[[#This Row],[suma energia i woda]] + WYNAJEM4[[#This Row],[czynsz]]</f>
        <v>805.82</v>
      </c>
    </row>
    <row r="104" spans="1:9" x14ac:dyDescent="0.25">
      <c r="A104" s="1">
        <v>41661</v>
      </c>
      <c r="B104" s="1">
        <v>41682</v>
      </c>
      <c r="C104" s="8">
        <v>14.13</v>
      </c>
      <c r="D104" s="8">
        <v>0.37</v>
      </c>
      <c r="E104">
        <v>5</v>
      </c>
      <c r="F104" s="10">
        <f>(WYNAJEM4[[#This Row],[data_wyjazdu]]-WYNAJEM4[[#This Row],[data_przyjazdu]])</f>
        <v>21</v>
      </c>
      <c r="G104" s="9">
        <f xml:space="preserve"> WYNAJEM4[[#This Row],[energia]] + WYNAJEM4[[#This Row],[woda]]</f>
        <v>14.5</v>
      </c>
      <c r="H104" s="8">
        <f xml:space="preserve"> (10 * WYNAJEM4[[#This Row],[typ]] * WYNAJEM4[[#This Row],[czas wynajecia domku]])</f>
        <v>1050</v>
      </c>
      <c r="I104" s="9">
        <f xml:space="preserve"> WYNAJEM4[[#This Row],[suma energia i woda]] + WYNAJEM4[[#This Row],[czynsz]]</f>
        <v>1064.5</v>
      </c>
    </row>
    <row r="105" spans="1:9" x14ac:dyDescent="0.25">
      <c r="A105" s="1">
        <v>41661</v>
      </c>
      <c r="B105" s="1">
        <v>41689</v>
      </c>
      <c r="C105" s="8">
        <v>5.47</v>
      </c>
      <c r="D105" s="8">
        <v>0.14000000000000001</v>
      </c>
      <c r="E105">
        <v>3</v>
      </c>
      <c r="F105" s="10">
        <f>(WYNAJEM4[[#This Row],[data_wyjazdu]]-WYNAJEM4[[#This Row],[data_przyjazdu]])</f>
        <v>28</v>
      </c>
      <c r="G105" s="9">
        <f xml:space="preserve"> WYNAJEM4[[#This Row],[energia]] + WYNAJEM4[[#This Row],[woda]]</f>
        <v>5.6099999999999994</v>
      </c>
      <c r="H105" s="8">
        <f xml:space="preserve"> (10 * WYNAJEM4[[#This Row],[typ]] * WYNAJEM4[[#This Row],[czas wynajecia domku]])</f>
        <v>840</v>
      </c>
      <c r="I105" s="9">
        <f xml:space="preserve"> WYNAJEM4[[#This Row],[suma energia i woda]] + WYNAJEM4[[#This Row],[czynsz]]</f>
        <v>845.61</v>
      </c>
    </row>
    <row r="106" spans="1:9" x14ac:dyDescent="0.25">
      <c r="A106" s="1">
        <v>41662</v>
      </c>
      <c r="B106" s="1">
        <v>41686</v>
      </c>
      <c r="C106" s="8">
        <v>8.39</v>
      </c>
      <c r="D106" s="8">
        <v>0.22</v>
      </c>
      <c r="E106">
        <v>2</v>
      </c>
      <c r="F106" s="10">
        <f>(WYNAJEM4[[#This Row],[data_wyjazdu]]-WYNAJEM4[[#This Row],[data_przyjazdu]])</f>
        <v>24</v>
      </c>
      <c r="G106" s="9">
        <f xml:space="preserve"> WYNAJEM4[[#This Row],[energia]] + WYNAJEM4[[#This Row],[woda]]</f>
        <v>8.6100000000000012</v>
      </c>
      <c r="H106" s="8">
        <f xml:space="preserve"> (10 * WYNAJEM4[[#This Row],[typ]] * WYNAJEM4[[#This Row],[czas wynajecia domku]])</f>
        <v>480</v>
      </c>
      <c r="I106" s="9">
        <f xml:space="preserve"> WYNAJEM4[[#This Row],[suma energia i woda]] + WYNAJEM4[[#This Row],[czynsz]]</f>
        <v>488.61</v>
      </c>
    </row>
    <row r="107" spans="1:9" x14ac:dyDescent="0.25">
      <c r="A107" s="1">
        <v>41662</v>
      </c>
      <c r="B107" s="1">
        <v>41688</v>
      </c>
      <c r="C107" s="8">
        <v>3.79</v>
      </c>
      <c r="D107" s="8">
        <v>0.1</v>
      </c>
      <c r="E107">
        <v>3</v>
      </c>
      <c r="F107" s="10">
        <f>(WYNAJEM4[[#This Row],[data_wyjazdu]]-WYNAJEM4[[#This Row],[data_przyjazdu]])</f>
        <v>26</v>
      </c>
      <c r="G107" s="9">
        <f xml:space="preserve"> WYNAJEM4[[#This Row],[energia]] + WYNAJEM4[[#This Row],[woda]]</f>
        <v>3.89</v>
      </c>
      <c r="H107" s="8">
        <f xml:space="preserve"> (10 * WYNAJEM4[[#This Row],[typ]] * WYNAJEM4[[#This Row],[czas wynajecia domku]])</f>
        <v>780</v>
      </c>
      <c r="I107" s="9">
        <f xml:space="preserve"> WYNAJEM4[[#This Row],[suma energia i woda]] + WYNAJEM4[[#This Row],[czynsz]]</f>
        <v>783.89</v>
      </c>
    </row>
    <row r="108" spans="1:9" x14ac:dyDescent="0.25">
      <c r="A108" s="1">
        <v>41662</v>
      </c>
      <c r="B108" s="1">
        <v>41664</v>
      </c>
      <c r="C108" s="8">
        <v>6.23</v>
      </c>
      <c r="D108" s="8">
        <v>0.16</v>
      </c>
      <c r="E108">
        <v>6</v>
      </c>
      <c r="F108" s="10">
        <f>(WYNAJEM4[[#This Row],[data_wyjazdu]]-WYNAJEM4[[#This Row],[data_przyjazdu]])</f>
        <v>2</v>
      </c>
      <c r="G108" s="9">
        <f xml:space="preserve"> WYNAJEM4[[#This Row],[energia]] + WYNAJEM4[[#This Row],[woda]]</f>
        <v>6.3900000000000006</v>
      </c>
      <c r="H108" s="8">
        <f xml:space="preserve"> (10 * WYNAJEM4[[#This Row],[typ]] * WYNAJEM4[[#This Row],[czas wynajecia domku]])</f>
        <v>120</v>
      </c>
      <c r="I108" s="9">
        <f xml:space="preserve"> WYNAJEM4[[#This Row],[suma energia i woda]] + WYNAJEM4[[#This Row],[czynsz]]</f>
        <v>126.39</v>
      </c>
    </row>
    <row r="109" spans="1:9" x14ac:dyDescent="0.25">
      <c r="A109" s="1">
        <v>41663</v>
      </c>
      <c r="B109" s="1">
        <v>41675</v>
      </c>
      <c r="C109" s="8">
        <v>6.34</v>
      </c>
      <c r="D109" s="8">
        <v>0.17</v>
      </c>
      <c r="E109">
        <v>6</v>
      </c>
      <c r="F109" s="10">
        <f>(WYNAJEM4[[#This Row],[data_wyjazdu]]-WYNAJEM4[[#This Row],[data_przyjazdu]])</f>
        <v>12</v>
      </c>
      <c r="G109" s="9">
        <f xml:space="preserve"> WYNAJEM4[[#This Row],[energia]] + WYNAJEM4[[#This Row],[woda]]</f>
        <v>6.51</v>
      </c>
      <c r="H109" s="8">
        <f xml:space="preserve"> (10 * WYNAJEM4[[#This Row],[typ]] * WYNAJEM4[[#This Row],[czas wynajecia domku]])</f>
        <v>720</v>
      </c>
      <c r="I109" s="9">
        <f xml:space="preserve"> WYNAJEM4[[#This Row],[suma energia i woda]] + WYNAJEM4[[#This Row],[czynsz]]</f>
        <v>726.51</v>
      </c>
    </row>
    <row r="110" spans="1:9" x14ac:dyDescent="0.25">
      <c r="A110" s="1">
        <v>41663</v>
      </c>
      <c r="B110" s="1">
        <v>41684</v>
      </c>
      <c r="C110" s="8">
        <v>3.57</v>
      </c>
      <c r="D110" s="8">
        <v>0.09</v>
      </c>
      <c r="E110">
        <v>6</v>
      </c>
      <c r="F110" s="10">
        <f>(WYNAJEM4[[#This Row],[data_wyjazdu]]-WYNAJEM4[[#This Row],[data_przyjazdu]])</f>
        <v>21</v>
      </c>
      <c r="G110" s="9">
        <f xml:space="preserve"> WYNAJEM4[[#This Row],[energia]] + WYNAJEM4[[#This Row],[woda]]</f>
        <v>3.6599999999999997</v>
      </c>
      <c r="H110" s="8">
        <f xml:space="preserve"> (10 * WYNAJEM4[[#This Row],[typ]] * WYNAJEM4[[#This Row],[czas wynajecia domku]])</f>
        <v>1260</v>
      </c>
      <c r="I110" s="9">
        <f xml:space="preserve"> WYNAJEM4[[#This Row],[suma energia i woda]] + WYNAJEM4[[#This Row],[czynsz]]</f>
        <v>1263.6600000000001</v>
      </c>
    </row>
    <row r="111" spans="1:9" x14ac:dyDescent="0.25">
      <c r="A111" s="1">
        <v>41664</v>
      </c>
      <c r="B111" s="1">
        <v>41681</v>
      </c>
      <c r="C111" s="8">
        <v>4.66</v>
      </c>
      <c r="D111" s="8">
        <v>0.12</v>
      </c>
      <c r="E111">
        <v>4</v>
      </c>
      <c r="F111" s="10">
        <f>(WYNAJEM4[[#This Row],[data_wyjazdu]]-WYNAJEM4[[#This Row],[data_przyjazdu]])</f>
        <v>17</v>
      </c>
      <c r="G111" s="9">
        <f xml:space="preserve"> WYNAJEM4[[#This Row],[energia]] + WYNAJEM4[[#This Row],[woda]]</f>
        <v>4.78</v>
      </c>
      <c r="H111" s="8">
        <f xml:space="preserve"> (10 * WYNAJEM4[[#This Row],[typ]] * WYNAJEM4[[#This Row],[czas wynajecia domku]])</f>
        <v>680</v>
      </c>
      <c r="I111" s="9">
        <f xml:space="preserve"> WYNAJEM4[[#This Row],[suma energia i woda]] + WYNAJEM4[[#This Row],[czynsz]]</f>
        <v>684.78</v>
      </c>
    </row>
    <row r="112" spans="1:9" x14ac:dyDescent="0.25">
      <c r="A112" s="1">
        <v>41665</v>
      </c>
      <c r="B112" s="1">
        <v>41692</v>
      </c>
      <c r="C112" s="8">
        <v>13.07</v>
      </c>
      <c r="D112" s="8">
        <v>0.34</v>
      </c>
      <c r="E112">
        <v>3</v>
      </c>
      <c r="F112" s="10">
        <f>(WYNAJEM4[[#This Row],[data_wyjazdu]]-WYNAJEM4[[#This Row],[data_przyjazdu]])</f>
        <v>27</v>
      </c>
      <c r="G112" s="9">
        <f xml:space="preserve"> WYNAJEM4[[#This Row],[energia]] + WYNAJEM4[[#This Row],[woda]]</f>
        <v>13.41</v>
      </c>
      <c r="H112" s="8">
        <f xml:space="preserve"> (10 * WYNAJEM4[[#This Row],[typ]] * WYNAJEM4[[#This Row],[czas wynajecia domku]])</f>
        <v>810</v>
      </c>
      <c r="I112" s="9">
        <f xml:space="preserve"> WYNAJEM4[[#This Row],[suma energia i woda]] + WYNAJEM4[[#This Row],[czynsz]]</f>
        <v>823.41</v>
      </c>
    </row>
    <row r="113" spans="1:9" x14ac:dyDescent="0.25">
      <c r="A113" s="1">
        <v>41665</v>
      </c>
      <c r="B113" s="1">
        <v>41691</v>
      </c>
      <c r="C113" s="8">
        <v>13.81</v>
      </c>
      <c r="D113" s="8">
        <v>0.36</v>
      </c>
      <c r="E113">
        <v>5</v>
      </c>
      <c r="F113" s="10">
        <f>(WYNAJEM4[[#This Row],[data_wyjazdu]]-WYNAJEM4[[#This Row],[data_przyjazdu]])</f>
        <v>26</v>
      </c>
      <c r="G113" s="9">
        <f xml:space="preserve"> WYNAJEM4[[#This Row],[energia]] + WYNAJEM4[[#This Row],[woda]]</f>
        <v>14.17</v>
      </c>
      <c r="H113" s="8">
        <f xml:space="preserve"> (10 * WYNAJEM4[[#This Row],[typ]] * WYNAJEM4[[#This Row],[czas wynajecia domku]])</f>
        <v>1300</v>
      </c>
      <c r="I113" s="9">
        <f xml:space="preserve"> WYNAJEM4[[#This Row],[suma energia i woda]] + WYNAJEM4[[#This Row],[czynsz]]</f>
        <v>1314.17</v>
      </c>
    </row>
    <row r="114" spans="1:9" x14ac:dyDescent="0.25">
      <c r="A114" s="1">
        <v>41665</v>
      </c>
      <c r="B114" s="1">
        <v>41673</v>
      </c>
      <c r="C114" s="8">
        <v>11.69</v>
      </c>
      <c r="D114" s="8">
        <v>0.31</v>
      </c>
      <c r="E114">
        <v>2</v>
      </c>
      <c r="F114" s="10">
        <f>(WYNAJEM4[[#This Row],[data_wyjazdu]]-WYNAJEM4[[#This Row],[data_przyjazdu]])</f>
        <v>8</v>
      </c>
      <c r="G114" s="9">
        <f xml:space="preserve"> WYNAJEM4[[#This Row],[energia]] + WYNAJEM4[[#This Row],[woda]]</f>
        <v>12</v>
      </c>
      <c r="H114" s="8">
        <f xml:space="preserve"> (10 * WYNAJEM4[[#This Row],[typ]] * WYNAJEM4[[#This Row],[czas wynajecia domku]])</f>
        <v>160</v>
      </c>
      <c r="I114" s="9">
        <f xml:space="preserve"> WYNAJEM4[[#This Row],[suma energia i woda]] + WYNAJEM4[[#This Row],[czynsz]]</f>
        <v>172</v>
      </c>
    </row>
    <row r="115" spans="1:9" x14ac:dyDescent="0.25">
      <c r="A115" s="1">
        <v>41665</v>
      </c>
      <c r="B115" s="1">
        <v>41683</v>
      </c>
      <c r="C115" s="8">
        <v>8.84</v>
      </c>
      <c r="D115" s="8">
        <v>0.23</v>
      </c>
      <c r="E115">
        <v>4</v>
      </c>
      <c r="F115" s="10">
        <f>(WYNAJEM4[[#This Row],[data_wyjazdu]]-WYNAJEM4[[#This Row],[data_przyjazdu]])</f>
        <v>18</v>
      </c>
      <c r="G115" s="9">
        <f xml:space="preserve"> WYNAJEM4[[#This Row],[energia]] + WYNAJEM4[[#This Row],[woda]]</f>
        <v>9.07</v>
      </c>
      <c r="H115" s="8">
        <f xml:space="preserve"> (10 * WYNAJEM4[[#This Row],[typ]] * WYNAJEM4[[#This Row],[czas wynajecia domku]])</f>
        <v>720</v>
      </c>
      <c r="I115" s="9">
        <f xml:space="preserve"> WYNAJEM4[[#This Row],[suma energia i woda]] + WYNAJEM4[[#This Row],[czynsz]]</f>
        <v>729.07</v>
      </c>
    </row>
    <row r="116" spans="1:9" x14ac:dyDescent="0.25">
      <c r="A116" s="1">
        <v>41665</v>
      </c>
      <c r="B116" s="1">
        <v>41690</v>
      </c>
      <c r="C116" s="8">
        <v>16.940000000000001</v>
      </c>
      <c r="D116" s="8">
        <v>0.45</v>
      </c>
      <c r="E116">
        <v>5</v>
      </c>
      <c r="F116" s="10">
        <f>(WYNAJEM4[[#This Row],[data_wyjazdu]]-WYNAJEM4[[#This Row],[data_przyjazdu]])</f>
        <v>25</v>
      </c>
      <c r="G116" s="9">
        <f xml:space="preserve"> WYNAJEM4[[#This Row],[energia]] + WYNAJEM4[[#This Row],[woda]]</f>
        <v>17.39</v>
      </c>
      <c r="H116" s="8">
        <f xml:space="preserve"> (10 * WYNAJEM4[[#This Row],[typ]] * WYNAJEM4[[#This Row],[czas wynajecia domku]])</f>
        <v>1250</v>
      </c>
      <c r="I116" s="9">
        <f xml:space="preserve"> WYNAJEM4[[#This Row],[suma energia i woda]] + WYNAJEM4[[#This Row],[czynsz]]</f>
        <v>1267.3900000000001</v>
      </c>
    </row>
    <row r="117" spans="1:9" x14ac:dyDescent="0.25">
      <c r="A117" s="1">
        <v>41665</v>
      </c>
      <c r="B117" s="1">
        <v>41669</v>
      </c>
      <c r="C117" s="8">
        <v>13.82</v>
      </c>
      <c r="D117" s="8">
        <v>0.36</v>
      </c>
      <c r="E117">
        <v>4</v>
      </c>
      <c r="F117" s="10">
        <f>(WYNAJEM4[[#This Row],[data_wyjazdu]]-WYNAJEM4[[#This Row],[data_przyjazdu]])</f>
        <v>4</v>
      </c>
      <c r="G117" s="9">
        <f xml:space="preserve"> WYNAJEM4[[#This Row],[energia]] + WYNAJEM4[[#This Row],[woda]]</f>
        <v>14.18</v>
      </c>
      <c r="H117" s="8">
        <f xml:space="preserve"> (10 * WYNAJEM4[[#This Row],[typ]] * WYNAJEM4[[#This Row],[czas wynajecia domku]])</f>
        <v>160</v>
      </c>
      <c r="I117" s="9">
        <f xml:space="preserve"> WYNAJEM4[[#This Row],[suma energia i woda]] + WYNAJEM4[[#This Row],[czynsz]]</f>
        <v>174.18</v>
      </c>
    </row>
    <row r="118" spans="1:9" x14ac:dyDescent="0.25">
      <c r="A118" s="1">
        <v>41665</v>
      </c>
      <c r="B118" s="1">
        <v>41689</v>
      </c>
      <c r="C118" s="8">
        <v>9.4600000000000009</v>
      </c>
      <c r="D118" s="8">
        <v>0.25</v>
      </c>
      <c r="E118">
        <v>6</v>
      </c>
      <c r="F118" s="10">
        <f>(WYNAJEM4[[#This Row],[data_wyjazdu]]-WYNAJEM4[[#This Row],[data_przyjazdu]])</f>
        <v>24</v>
      </c>
      <c r="G118" s="9">
        <f xml:space="preserve"> WYNAJEM4[[#This Row],[energia]] + WYNAJEM4[[#This Row],[woda]]</f>
        <v>9.7100000000000009</v>
      </c>
      <c r="H118" s="8">
        <f xml:space="preserve"> (10 * WYNAJEM4[[#This Row],[typ]] * WYNAJEM4[[#This Row],[czas wynajecia domku]])</f>
        <v>1440</v>
      </c>
      <c r="I118" s="9">
        <f xml:space="preserve"> WYNAJEM4[[#This Row],[suma energia i woda]] + WYNAJEM4[[#This Row],[czynsz]]</f>
        <v>1449.71</v>
      </c>
    </row>
    <row r="119" spans="1:9" x14ac:dyDescent="0.25">
      <c r="A119" s="1">
        <v>41665</v>
      </c>
      <c r="B119" s="1">
        <v>41684</v>
      </c>
      <c r="C119" s="8">
        <v>8.89</v>
      </c>
      <c r="D119" s="8">
        <v>0.23</v>
      </c>
      <c r="E119">
        <v>6</v>
      </c>
      <c r="F119" s="10">
        <f>(WYNAJEM4[[#This Row],[data_wyjazdu]]-WYNAJEM4[[#This Row],[data_przyjazdu]])</f>
        <v>19</v>
      </c>
      <c r="G119" s="9">
        <f xml:space="preserve"> WYNAJEM4[[#This Row],[energia]] + WYNAJEM4[[#This Row],[woda]]</f>
        <v>9.120000000000001</v>
      </c>
      <c r="H119" s="8">
        <f xml:space="preserve"> (10 * WYNAJEM4[[#This Row],[typ]] * WYNAJEM4[[#This Row],[czas wynajecia domku]])</f>
        <v>1140</v>
      </c>
      <c r="I119" s="9">
        <f xml:space="preserve"> WYNAJEM4[[#This Row],[suma energia i woda]] + WYNAJEM4[[#This Row],[czynsz]]</f>
        <v>1149.1199999999999</v>
      </c>
    </row>
    <row r="120" spans="1:9" x14ac:dyDescent="0.25">
      <c r="A120" s="1">
        <v>41665</v>
      </c>
      <c r="B120" s="1">
        <v>41673</v>
      </c>
      <c r="C120" s="8">
        <v>5.57</v>
      </c>
      <c r="D120" s="8">
        <v>0.15</v>
      </c>
      <c r="E120">
        <v>4</v>
      </c>
      <c r="F120" s="10">
        <f>(WYNAJEM4[[#This Row],[data_wyjazdu]]-WYNAJEM4[[#This Row],[data_przyjazdu]])</f>
        <v>8</v>
      </c>
      <c r="G120" s="9">
        <f xml:space="preserve"> WYNAJEM4[[#This Row],[energia]] + WYNAJEM4[[#This Row],[woda]]</f>
        <v>5.7200000000000006</v>
      </c>
      <c r="H120" s="8">
        <f xml:space="preserve"> (10 * WYNAJEM4[[#This Row],[typ]] * WYNAJEM4[[#This Row],[czas wynajecia domku]])</f>
        <v>320</v>
      </c>
      <c r="I120" s="9">
        <f xml:space="preserve"> WYNAJEM4[[#This Row],[suma energia i woda]] + WYNAJEM4[[#This Row],[czynsz]]</f>
        <v>325.72000000000003</v>
      </c>
    </row>
    <row r="121" spans="1:9" x14ac:dyDescent="0.25">
      <c r="A121" s="1">
        <v>41665</v>
      </c>
      <c r="B121" s="1">
        <v>41669</v>
      </c>
      <c r="C121" s="8">
        <v>7.35</v>
      </c>
      <c r="D121" s="8">
        <v>0.19</v>
      </c>
      <c r="E121">
        <v>2</v>
      </c>
      <c r="F121" s="10">
        <f>(WYNAJEM4[[#This Row],[data_wyjazdu]]-WYNAJEM4[[#This Row],[data_przyjazdu]])</f>
        <v>4</v>
      </c>
      <c r="G121" s="9">
        <f xml:space="preserve"> WYNAJEM4[[#This Row],[energia]] + WYNAJEM4[[#This Row],[woda]]</f>
        <v>7.54</v>
      </c>
      <c r="H121" s="8">
        <f xml:space="preserve"> (10 * WYNAJEM4[[#This Row],[typ]] * WYNAJEM4[[#This Row],[czas wynajecia domku]])</f>
        <v>80</v>
      </c>
      <c r="I121" s="9">
        <f xml:space="preserve"> WYNAJEM4[[#This Row],[suma energia i woda]] + WYNAJEM4[[#This Row],[czynsz]]</f>
        <v>87.54</v>
      </c>
    </row>
    <row r="122" spans="1:9" x14ac:dyDescent="0.25">
      <c r="A122" s="1">
        <v>41665</v>
      </c>
      <c r="B122" s="1">
        <v>41681</v>
      </c>
      <c r="C122" s="8">
        <v>12.23</v>
      </c>
      <c r="D122" s="8">
        <v>0.32</v>
      </c>
      <c r="E122">
        <v>4</v>
      </c>
      <c r="F122" s="10">
        <f>(WYNAJEM4[[#This Row],[data_wyjazdu]]-WYNAJEM4[[#This Row],[data_przyjazdu]])</f>
        <v>16</v>
      </c>
      <c r="G122" s="9">
        <f xml:space="preserve"> WYNAJEM4[[#This Row],[energia]] + WYNAJEM4[[#This Row],[woda]]</f>
        <v>12.55</v>
      </c>
      <c r="H122" s="8">
        <f xml:space="preserve"> (10 * WYNAJEM4[[#This Row],[typ]] * WYNAJEM4[[#This Row],[czas wynajecia domku]])</f>
        <v>640</v>
      </c>
      <c r="I122" s="9">
        <f xml:space="preserve"> WYNAJEM4[[#This Row],[suma energia i woda]] + WYNAJEM4[[#This Row],[czynsz]]</f>
        <v>652.54999999999995</v>
      </c>
    </row>
    <row r="123" spans="1:9" x14ac:dyDescent="0.25">
      <c r="A123" s="1">
        <v>41665</v>
      </c>
      <c r="B123" s="1">
        <v>41690</v>
      </c>
      <c r="C123" s="8">
        <v>5.23</v>
      </c>
      <c r="D123" s="8">
        <v>0.14000000000000001</v>
      </c>
      <c r="E123">
        <v>6</v>
      </c>
      <c r="F123" s="10">
        <f>(WYNAJEM4[[#This Row],[data_wyjazdu]]-WYNAJEM4[[#This Row],[data_przyjazdu]])</f>
        <v>25</v>
      </c>
      <c r="G123" s="9">
        <f xml:space="preserve"> WYNAJEM4[[#This Row],[energia]] + WYNAJEM4[[#This Row],[woda]]</f>
        <v>5.37</v>
      </c>
      <c r="H123" s="8">
        <f xml:space="preserve"> (10 * WYNAJEM4[[#This Row],[typ]] * WYNAJEM4[[#This Row],[czas wynajecia domku]])</f>
        <v>1500</v>
      </c>
      <c r="I123" s="9">
        <f xml:space="preserve"> WYNAJEM4[[#This Row],[suma energia i woda]] + WYNAJEM4[[#This Row],[czynsz]]</f>
        <v>1505.37</v>
      </c>
    </row>
    <row r="124" spans="1:9" x14ac:dyDescent="0.25">
      <c r="A124" s="1">
        <v>41666</v>
      </c>
      <c r="B124" s="1">
        <v>41682</v>
      </c>
      <c r="C124" s="8">
        <v>6.43</v>
      </c>
      <c r="D124" s="8">
        <v>0.17</v>
      </c>
      <c r="E124">
        <v>4</v>
      </c>
      <c r="F124" s="10">
        <f>(WYNAJEM4[[#This Row],[data_wyjazdu]]-WYNAJEM4[[#This Row],[data_przyjazdu]])</f>
        <v>16</v>
      </c>
      <c r="G124" s="9">
        <f xml:space="preserve"> WYNAJEM4[[#This Row],[energia]] + WYNAJEM4[[#This Row],[woda]]</f>
        <v>6.6</v>
      </c>
      <c r="H124" s="8">
        <f xml:space="preserve"> (10 * WYNAJEM4[[#This Row],[typ]] * WYNAJEM4[[#This Row],[czas wynajecia domku]])</f>
        <v>640</v>
      </c>
      <c r="I124" s="9">
        <f xml:space="preserve"> WYNAJEM4[[#This Row],[suma energia i woda]] + WYNAJEM4[[#This Row],[czynsz]]</f>
        <v>646.6</v>
      </c>
    </row>
    <row r="125" spans="1:9" x14ac:dyDescent="0.25">
      <c r="A125" s="1">
        <v>41666</v>
      </c>
      <c r="B125" s="1">
        <v>41668</v>
      </c>
      <c r="C125" s="8">
        <v>11.44</v>
      </c>
      <c r="D125" s="8">
        <v>0.3</v>
      </c>
      <c r="E125">
        <v>5</v>
      </c>
      <c r="F125" s="10">
        <f>(WYNAJEM4[[#This Row],[data_wyjazdu]]-WYNAJEM4[[#This Row],[data_przyjazdu]])</f>
        <v>2</v>
      </c>
      <c r="G125" s="9">
        <f xml:space="preserve"> WYNAJEM4[[#This Row],[energia]] + WYNAJEM4[[#This Row],[woda]]</f>
        <v>11.74</v>
      </c>
      <c r="H125" s="8">
        <f xml:space="preserve"> (10 * WYNAJEM4[[#This Row],[typ]] * WYNAJEM4[[#This Row],[czas wynajecia domku]])</f>
        <v>100</v>
      </c>
      <c r="I125" s="9">
        <f xml:space="preserve"> WYNAJEM4[[#This Row],[suma energia i woda]] + WYNAJEM4[[#This Row],[czynsz]]</f>
        <v>111.74</v>
      </c>
    </row>
    <row r="126" spans="1:9" x14ac:dyDescent="0.25">
      <c r="A126" s="1">
        <v>41666</v>
      </c>
      <c r="B126" s="1">
        <v>41673</v>
      </c>
      <c r="C126" s="8">
        <v>8.7200000000000006</v>
      </c>
      <c r="D126" s="8">
        <v>0.23</v>
      </c>
      <c r="E126">
        <v>5</v>
      </c>
      <c r="F126" s="10">
        <f>(WYNAJEM4[[#This Row],[data_wyjazdu]]-WYNAJEM4[[#This Row],[data_przyjazdu]])</f>
        <v>7</v>
      </c>
      <c r="G126" s="9">
        <f xml:space="preserve"> WYNAJEM4[[#This Row],[energia]] + WYNAJEM4[[#This Row],[woda]]</f>
        <v>8.9500000000000011</v>
      </c>
      <c r="H126" s="8">
        <f xml:space="preserve"> (10 * WYNAJEM4[[#This Row],[typ]] * WYNAJEM4[[#This Row],[czas wynajecia domku]])</f>
        <v>350</v>
      </c>
      <c r="I126" s="9">
        <f xml:space="preserve"> WYNAJEM4[[#This Row],[suma energia i woda]] + WYNAJEM4[[#This Row],[czynsz]]</f>
        <v>358.95</v>
      </c>
    </row>
    <row r="127" spans="1:9" x14ac:dyDescent="0.25">
      <c r="A127" s="1">
        <v>41666</v>
      </c>
      <c r="B127" s="1">
        <v>41685</v>
      </c>
      <c r="C127" s="8">
        <v>10.199999999999999</v>
      </c>
      <c r="D127" s="8">
        <v>0.27</v>
      </c>
      <c r="E127">
        <v>4</v>
      </c>
      <c r="F127" s="10">
        <f>(WYNAJEM4[[#This Row],[data_wyjazdu]]-WYNAJEM4[[#This Row],[data_przyjazdu]])</f>
        <v>19</v>
      </c>
      <c r="G127" s="9">
        <f xml:space="preserve"> WYNAJEM4[[#This Row],[energia]] + WYNAJEM4[[#This Row],[woda]]</f>
        <v>10.469999999999999</v>
      </c>
      <c r="H127" s="8">
        <f xml:space="preserve"> (10 * WYNAJEM4[[#This Row],[typ]] * WYNAJEM4[[#This Row],[czas wynajecia domku]])</f>
        <v>760</v>
      </c>
      <c r="I127" s="9">
        <f xml:space="preserve"> WYNAJEM4[[#This Row],[suma energia i woda]] + WYNAJEM4[[#This Row],[czynsz]]</f>
        <v>770.47</v>
      </c>
    </row>
    <row r="128" spans="1:9" x14ac:dyDescent="0.25">
      <c r="A128" s="1">
        <v>41666</v>
      </c>
      <c r="B128" s="1">
        <v>41668</v>
      </c>
      <c r="C128" s="8">
        <v>10.199999999999999</v>
      </c>
      <c r="D128" s="8">
        <v>0.27</v>
      </c>
      <c r="E128">
        <v>2</v>
      </c>
      <c r="F128" s="10">
        <f>(WYNAJEM4[[#This Row],[data_wyjazdu]]-WYNAJEM4[[#This Row],[data_przyjazdu]])</f>
        <v>2</v>
      </c>
      <c r="G128" s="9">
        <f xml:space="preserve"> WYNAJEM4[[#This Row],[energia]] + WYNAJEM4[[#This Row],[woda]]</f>
        <v>10.469999999999999</v>
      </c>
      <c r="H128" s="8">
        <f xml:space="preserve"> (10 * WYNAJEM4[[#This Row],[typ]] * WYNAJEM4[[#This Row],[czas wynajecia domku]])</f>
        <v>40</v>
      </c>
      <c r="I128" s="9">
        <f xml:space="preserve"> WYNAJEM4[[#This Row],[suma energia i woda]] + WYNAJEM4[[#This Row],[czynsz]]</f>
        <v>50.47</v>
      </c>
    </row>
    <row r="129" spans="1:9" x14ac:dyDescent="0.25">
      <c r="A129" s="1">
        <v>41667</v>
      </c>
      <c r="B129" s="1">
        <v>41693</v>
      </c>
      <c r="C129" s="8">
        <v>4.66</v>
      </c>
      <c r="D129" s="8">
        <v>0.12</v>
      </c>
      <c r="E129">
        <v>3</v>
      </c>
      <c r="F129" s="10">
        <f>(WYNAJEM4[[#This Row],[data_wyjazdu]]-WYNAJEM4[[#This Row],[data_przyjazdu]])</f>
        <v>26</v>
      </c>
      <c r="G129" s="9">
        <f xml:space="preserve"> WYNAJEM4[[#This Row],[energia]] + WYNAJEM4[[#This Row],[woda]]</f>
        <v>4.78</v>
      </c>
      <c r="H129" s="8">
        <f xml:space="preserve"> (10 * WYNAJEM4[[#This Row],[typ]] * WYNAJEM4[[#This Row],[czas wynajecia domku]])</f>
        <v>780</v>
      </c>
      <c r="I129" s="9">
        <f xml:space="preserve"> WYNAJEM4[[#This Row],[suma energia i woda]] + WYNAJEM4[[#This Row],[czynsz]]</f>
        <v>784.78</v>
      </c>
    </row>
    <row r="130" spans="1:9" x14ac:dyDescent="0.25">
      <c r="A130" s="1">
        <v>41667</v>
      </c>
      <c r="B130" s="1">
        <v>41675</v>
      </c>
      <c r="C130" s="8">
        <v>11.69</v>
      </c>
      <c r="D130" s="8">
        <v>0.31</v>
      </c>
      <c r="E130">
        <v>6</v>
      </c>
      <c r="F130" s="10">
        <f>(WYNAJEM4[[#This Row],[data_wyjazdu]]-WYNAJEM4[[#This Row],[data_przyjazdu]])</f>
        <v>8</v>
      </c>
      <c r="G130" s="9">
        <f xml:space="preserve"> WYNAJEM4[[#This Row],[energia]] + WYNAJEM4[[#This Row],[woda]]</f>
        <v>12</v>
      </c>
      <c r="H130" s="8">
        <f xml:space="preserve"> (10 * WYNAJEM4[[#This Row],[typ]] * WYNAJEM4[[#This Row],[czas wynajecia domku]])</f>
        <v>480</v>
      </c>
      <c r="I130" s="9">
        <f xml:space="preserve"> WYNAJEM4[[#This Row],[suma energia i woda]] + WYNAJEM4[[#This Row],[czynsz]]</f>
        <v>492</v>
      </c>
    </row>
    <row r="131" spans="1:9" x14ac:dyDescent="0.25">
      <c r="A131" s="1">
        <v>41667</v>
      </c>
      <c r="B131" s="1">
        <v>41673</v>
      </c>
      <c r="C131" s="8">
        <v>6.88</v>
      </c>
      <c r="D131" s="8">
        <v>0.18</v>
      </c>
      <c r="E131">
        <v>3</v>
      </c>
      <c r="F131" s="10">
        <f>(WYNAJEM4[[#This Row],[data_wyjazdu]]-WYNAJEM4[[#This Row],[data_przyjazdu]])</f>
        <v>6</v>
      </c>
      <c r="G131" s="9">
        <f xml:space="preserve"> WYNAJEM4[[#This Row],[energia]] + WYNAJEM4[[#This Row],[woda]]</f>
        <v>7.06</v>
      </c>
      <c r="H131" s="8">
        <f xml:space="preserve"> (10 * WYNAJEM4[[#This Row],[typ]] * WYNAJEM4[[#This Row],[czas wynajecia domku]])</f>
        <v>180</v>
      </c>
      <c r="I131" s="9">
        <f xml:space="preserve"> WYNAJEM4[[#This Row],[suma energia i woda]] + WYNAJEM4[[#This Row],[czynsz]]</f>
        <v>187.06</v>
      </c>
    </row>
    <row r="132" spans="1:9" x14ac:dyDescent="0.25">
      <c r="A132" s="1">
        <v>41672</v>
      </c>
      <c r="B132" s="1">
        <v>41683</v>
      </c>
      <c r="C132" s="8">
        <v>9.74</v>
      </c>
      <c r="D132" s="8">
        <v>0.26</v>
      </c>
      <c r="E132">
        <v>2</v>
      </c>
      <c r="F132" s="10">
        <f>(WYNAJEM4[[#This Row],[data_wyjazdu]]-WYNAJEM4[[#This Row],[data_przyjazdu]])</f>
        <v>11</v>
      </c>
      <c r="G132" s="9">
        <f xml:space="preserve"> WYNAJEM4[[#This Row],[energia]] + WYNAJEM4[[#This Row],[woda]]</f>
        <v>10</v>
      </c>
      <c r="H132" s="8">
        <f xml:space="preserve"> (10 * WYNAJEM4[[#This Row],[typ]] * WYNAJEM4[[#This Row],[czas wynajecia domku]])</f>
        <v>220</v>
      </c>
      <c r="I132" s="9">
        <f xml:space="preserve"> WYNAJEM4[[#This Row],[suma energia i woda]] + WYNAJEM4[[#This Row],[czynsz]]</f>
        <v>230</v>
      </c>
    </row>
    <row r="133" spans="1:9" x14ac:dyDescent="0.25">
      <c r="A133" s="1">
        <v>41672</v>
      </c>
      <c r="B133" s="1">
        <v>41681</v>
      </c>
      <c r="C133" s="8">
        <v>9.06</v>
      </c>
      <c r="D133" s="8">
        <v>0.24</v>
      </c>
      <c r="E133">
        <v>2</v>
      </c>
      <c r="F133" s="10">
        <f>(WYNAJEM4[[#This Row],[data_wyjazdu]]-WYNAJEM4[[#This Row],[data_przyjazdu]])</f>
        <v>9</v>
      </c>
      <c r="G133" s="9">
        <f xml:space="preserve"> WYNAJEM4[[#This Row],[energia]] + WYNAJEM4[[#This Row],[woda]]</f>
        <v>9.3000000000000007</v>
      </c>
      <c r="H133" s="8">
        <f xml:space="preserve"> (10 * WYNAJEM4[[#This Row],[typ]] * WYNAJEM4[[#This Row],[czas wynajecia domku]])</f>
        <v>180</v>
      </c>
      <c r="I133" s="9">
        <f xml:space="preserve"> WYNAJEM4[[#This Row],[suma energia i woda]] + WYNAJEM4[[#This Row],[czynsz]]</f>
        <v>189.3</v>
      </c>
    </row>
    <row r="134" spans="1:9" x14ac:dyDescent="0.25">
      <c r="A134" s="1">
        <v>41672</v>
      </c>
      <c r="B134" s="1">
        <v>41694</v>
      </c>
      <c r="C134" s="8">
        <v>14</v>
      </c>
      <c r="D134" s="8">
        <v>0.37</v>
      </c>
      <c r="E134">
        <v>2</v>
      </c>
      <c r="F134" s="10">
        <f>(WYNAJEM4[[#This Row],[data_wyjazdu]]-WYNAJEM4[[#This Row],[data_przyjazdu]])</f>
        <v>22</v>
      </c>
      <c r="G134" s="9">
        <f xml:space="preserve"> WYNAJEM4[[#This Row],[energia]] + WYNAJEM4[[#This Row],[woda]]</f>
        <v>14.37</v>
      </c>
      <c r="H134" s="8">
        <f xml:space="preserve"> (10 * WYNAJEM4[[#This Row],[typ]] * WYNAJEM4[[#This Row],[czas wynajecia domku]])</f>
        <v>440</v>
      </c>
      <c r="I134" s="9">
        <f xml:space="preserve"> WYNAJEM4[[#This Row],[suma energia i woda]] + WYNAJEM4[[#This Row],[czynsz]]</f>
        <v>454.37</v>
      </c>
    </row>
    <row r="135" spans="1:9" x14ac:dyDescent="0.25">
      <c r="A135" s="1">
        <v>41673</v>
      </c>
      <c r="B135" s="1">
        <v>41697</v>
      </c>
      <c r="C135" s="8">
        <v>10.59</v>
      </c>
      <c r="D135" s="8">
        <v>0.28000000000000003</v>
      </c>
      <c r="E135">
        <v>3</v>
      </c>
      <c r="F135" s="10">
        <f>(WYNAJEM4[[#This Row],[data_wyjazdu]]-WYNAJEM4[[#This Row],[data_przyjazdu]])</f>
        <v>24</v>
      </c>
      <c r="G135" s="9">
        <f xml:space="preserve"> WYNAJEM4[[#This Row],[energia]] + WYNAJEM4[[#This Row],[woda]]</f>
        <v>10.87</v>
      </c>
      <c r="H135" s="8">
        <f xml:space="preserve"> (10 * WYNAJEM4[[#This Row],[typ]] * WYNAJEM4[[#This Row],[czas wynajecia domku]])</f>
        <v>720</v>
      </c>
      <c r="I135" s="9">
        <f xml:space="preserve"> WYNAJEM4[[#This Row],[suma energia i woda]] + WYNAJEM4[[#This Row],[czynsz]]</f>
        <v>730.87</v>
      </c>
    </row>
    <row r="136" spans="1:9" x14ac:dyDescent="0.25">
      <c r="A136" s="1">
        <v>41673</v>
      </c>
      <c r="B136" s="1">
        <v>41676</v>
      </c>
      <c r="C136" s="8">
        <v>3.94</v>
      </c>
      <c r="D136" s="8">
        <v>0.1</v>
      </c>
      <c r="E136">
        <v>6</v>
      </c>
      <c r="F136" s="10">
        <f>(WYNAJEM4[[#This Row],[data_wyjazdu]]-WYNAJEM4[[#This Row],[data_przyjazdu]])</f>
        <v>3</v>
      </c>
      <c r="G136" s="9">
        <f xml:space="preserve"> WYNAJEM4[[#This Row],[energia]] + WYNAJEM4[[#This Row],[woda]]</f>
        <v>4.04</v>
      </c>
      <c r="H136" s="8">
        <f xml:space="preserve"> (10 * WYNAJEM4[[#This Row],[typ]] * WYNAJEM4[[#This Row],[czas wynajecia domku]])</f>
        <v>180</v>
      </c>
      <c r="I136" s="9">
        <f xml:space="preserve"> WYNAJEM4[[#This Row],[suma energia i woda]] + WYNAJEM4[[#This Row],[czynsz]]</f>
        <v>184.04</v>
      </c>
    </row>
    <row r="137" spans="1:9" x14ac:dyDescent="0.25">
      <c r="A137" s="1">
        <v>41673</v>
      </c>
      <c r="B137" s="1">
        <v>41690</v>
      </c>
      <c r="C137" s="8">
        <v>4.66</v>
      </c>
      <c r="D137" s="8">
        <v>0.12</v>
      </c>
      <c r="E137">
        <v>3</v>
      </c>
      <c r="F137" s="10">
        <f>(WYNAJEM4[[#This Row],[data_wyjazdu]]-WYNAJEM4[[#This Row],[data_przyjazdu]])</f>
        <v>17</v>
      </c>
      <c r="G137" s="9">
        <f xml:space="preserve"> WYNAJEM4[[#This Row],[energia]] + WYNAJEM4[[#This Row],[woda]]</f>
        <v>4.78</v>
      </c>
      <c r="H137" s="8">
        <f xml:space="preserve"> (10 * WYNAJEM4[[#This Row],[typ]] * WYNAJEM4[[#This Row],[czas wynajecia domku]])</f>
        <v>510</v>
      </c>
      <c r="I137" s="9">
        <f xml:space="preserve"> WYNAJEM4[[#This Row],[suma energia i woda]] + WYNAJEM4[[#This Row],[czynsz]]</f>
        <v>514.78</v>
      </c>
    </row>
    <row r="138" spans="1:9" x14ac:dyDescent="0.25">
      <c r="A138" s="1">
        <v>41673</v>
      </c>
      <c r="B138" s="1">
        <v>41701</v>
      </c>
      <c r="C138" s="8">
        <v>10.199999999999999</v>
      </c>
      <c r="D138" s="8">
        <v>0.27</v>
      </c>
      <c r="E138">
        <v>6</v>
      </c>
      <c r="F138" s="10">
        <f>(WYNAJEM4[[#This Row],[data_wyjazdu]]-WYNAJEM4[[#This Row],[data_przyjazdu]])</f>
        <v>28</v>
      </c>
      <c r="G138" s="9">
        <f xml:space="preserve"> WYNAJEM4[[#This Row],[energia]] + WYNAJEM4[[#This Row],[woda]]</f>
        <v>10.469999999999999</v>
      </c>
      <c r="H138" s="8">
        <f xml:space="preserve"> (10 * WYNAJEM4[[#This Row],[typ]] * WYNAJEM4[[#This Row],[czas wynajecia domku]])</f>
        <v>1680</v>
      </c>
      <c r="I138" s="9">
        <f xml:space="preserve"> WYNAJEM4[[#This Row],[suma energia i woda]] + WYNAJEM4[[#This Row],[czynsz]]</f>
        <v>1690.47</v>
      </c>
    </row>
    <row r="139" spans="1:9" x14ac:dyDescent="0.25">
      <c r="A139" s="1">
        <v>41677</v>
      </c>
      <c r="B139" s="1">
        <v>41682</v>
      </c>
      <c r="C139" s="8">
        <v>12.23</v>
      </c>
      <c r="D139" s="8">
        <v>0.32</v>
      </c>
      <c r="E139">
        <v>5</v>
      </c>
      <c r="F139" s="10">
        <f>(WYNAJEM4[[#This Row],[data_wyjazdu]]-WYNAJEM4[[#This Row],[data_przyjazdu]])</f>
        <v>5</v>
      </c>
      <c r="G139" s="9">
        <f xml:space="preserve"> WYNAJEM4[[#This Row],[energia]] + WYNAJEM4[[#This Row],[woda]]</f>
        <v>12.55</v>
      </c>
      <c r="H139" s="8">
        <f xml:space="preserve"> (10 * WYNAJEM4[[#This Row],[typ]] * WYNAJEM4[[#This Row],[czas wynajecia domku]])</f>
        <v>250</v>
      </c>
      <c r="I139" s="9">
        <f xml:space="preserve"> WYNAJEM4[[#This Row],[suma energia i woda]] + WYNAJEM4[[#This Row],[czynsz]]</f>
        <v>262.55</v>
      </c>
    </row>
    <row r="140" spans="1:9" x14ac:dyDescent="0.25">
      <c r="A140" s="1">
        <v>41677</v>
      </c>
      <c r="B140" s="1">
        <v>41698</v>
      </c>
      <c r="C140" s="8">
        <v>10.19</v>
      </c>
      <c r="D140" s="8">
        <v>0.27</v>
      </c>
      <c r="E140">
        <v>3</v>
      </c>
      <c r="F140" s="10">
        <f>(WYNAJEM4[[#This Row],[data_wyjazdu]]-WYNAJEM4[[#This Row],[data_przyjazdu]])</f>
        <v>21</v>
      </c>
      <c r="G140" s="9">
        <f xml:space="preserve"> WYNAJEM4[[#This Row],[energia]] + WYNAJEM4[[#This Row],[woda]]</f>
        <v>10.459999999999999</v>
      </c>
      <c r="H140" s="8">
        <f xml:space="preserve"> (10 * WYNAJEM4[[#This Row],[typ]] * WYNAJEM4[[#This Row],[czas wynajecia domku]])</f>
        <v>630</v>
      </c>
      <c r="I140" s="9">
        <f xml:space="preserve"> WYNAJEM4[[#This Row],[suma energia i woda]] + WYNAJEM4[[#This Row],[czynsz]]</f>
        <v>640.46</v>
      </c>
    </row>
    <row r="141" spans="1:9" x14ac:dyDescent="0.25">
      <c r="A141" s="1">
        <v>41677</v>
      </c>
      <c r="B141" s="1">
        <v>41701</v>
      </c>
      <c r="C141" s="8">
        <v>12.01</v>
      </c>
      <c r="D141" s="8">
        <v>0.32</v>
      </c>
      <c r="E141">
        <v>6</v>
      </c>
      <c r="F141" s="10">
        <f>(WYNAJEM4[[#This Row],[data_wyjazdu]]-WYNAJEM4[[#This Row],[data_przyjazdu]])</f>
        <v>24</v>
      </c>
      <c r="G141" s="9">
        <f xml:space="preserve"> WYNAJEM4[[#This Row],[energia]] + WYNAJEM4[[#This Row],[woda]]</f>
        <v>12.33</v>
      </c>
      <c r="H141" s="8">
        <f xml:space="preserve"> (10 * WYNAJEM4[[#This Row],[typ]] * WYNAJEM4[[#This Row],[czas wynajecia domku]])</f>
        <v>1440</v>
      </c>
      <c r="I141" s="9">
        <f xml:space="preserve"> WYNAJEM4[[#This Row],[suma energia i woda]] + WYNAJEM4[[#This Row],[czynsz]]</f>
        <v>1452.33</v>
      </c>
    </row>
    <row r="142" spans="1:9" x14ac:dyDescent="0.25">
      <c r="A142" s="1">
        <v>41677</v>
      </c>
      <c r="B142" s="1">
        <v>41681</v>
      </c>
      <c r="C142" s="8">
        <v>11.44</v>
      </c>
      <c r="D142" s="8">
        <v>0.3</v>
      </c>
      <c r="E142">
        <v>3</v>
      </c>
      <c r="F142" s="10">
        <f>(WYNAJEM4[[#This Row],[data_wyjazdu]]-WYNAJEM4[[#This Row],[data_przyjazdu]])</f>
        <v>4</v>
      </c>
      <c r="G142" s="9">
        <f xml:space="preserve"> WYNAJEM4[[#This Row],[energia]] + WYNAJEM4[[#This Row],[woda]]</f>
        <v>11.74</v>
      </c>
      <c r="H142" s="8">
        <f xml:space="preserve"> (10 * WYNAJEM4[[#This Row],[typ]] * WYNAJEM4[[#This Row],[czas wynajecia domku]])</f>
        <v>120</v>
      </c>
      <c r="I142" s="9">
        <f xml:space="preserve"> WYNAJEM4[[#This Row],[suma energia i woda]] + WYNAJEM4[[#This Row],[czynsz]]</f>
        <v>131.74</v>
      </c>
    </row>
    <row r="143" spans="1:9" x14ac:dyDescent="0.25">
      <c r="A143" s="1">
        <v>41677</v>
      </c>
      <c r="B143" s="1">
        <v>41700</v>
      </c>
      <c r="C143" s="8">
        <v>6.23</v>
      </c>
      <c r="D143" s="8">
        <v>0.16</v>
      </c>
      <c r="E143">
        <v>3</v>
      </c>
      <c r="F143" s="10">
        <f>(WYNAJEM4[[#This Row],[data_wyjazdu]]-WYNAJEM4[[#This Row],[data_przyjazdu]])</f>
        <v>23</v>
      </c>
      <c r="G143" s="9">
        <f xml:space="preserve"> WYNAJEM4[[#This Row],[energia]] + WYNAJEM4[[#This Row],[woda]]</f>
        <v>6.3900000000000006</v>
      </c>
      <c r="H143" s="8">
        <f xml:space="preserve"> (10 * WYNAJEM4[[#This Row],[typ]] * WYNAJEM4[[#This Row],[czas wynajecia domku]])</f>
        <v>690</v>
      </c>
      <c r="I143" s="9">
        <f xml:space="preserve"> WYNAJEM4[[#This Row],[suma energia i woda]] + WYNAJEM4[[#This Row],[czynsz]]</f>
        <v>696.39</v>
      </c>
    </row>
    <row r="144" spans="1:9" x14ac:dyDescent="0.25">
      <c r="A144" s="1">
        <v>41677</v>
      </c>
      <c r="B144" s="1">
        <v>41686</v>
      </c>
      <c r="C144" s="8">
        <v>12.01</v>
      </c>
      <c r="D144" s="8">
        <v>0.32</v>
      </c>
      <c r="E144">
        <v>5</v>
      </c>
      <c r="F144" s="10">
        <f>(WYNAJEM4[[#This Row],[data_wyjazdu]]-WYNAJEM4[[#This Row],[data_przyjazdu]])</f>
        <v>9</v>
      </c>
      <c r="G144" s="9">
        <f xml:space="preserve"> WYNAJEM4[[#This Row],[energia]] + WYNAJEM4[[#This Row],[woda]]</f>
        <v>12.33</v>
      </c>
      <c r="H144" s="8">
        <f xml:space="preserve"> (10 * WYNAJEM4[[#This Row],[typ]] * WYNAJEM4[[#This Row],[czas wynajecia domku]])</f>
        <v>450</v>
      </c>
      <c r="I144" s="9">
        <f xml:space="preserve"> WYNAJEM4[[#This Row],[suma energia i woda]] + WYNAJEM4[[#This Row],[czynsz]]</f>
        <v>462.33</v>
      </c>
    </row>
    <row r="145" spans="1:9" x14ac:dyDescent="0.25">
      <c r="A145" s="1">
        <v>41677</v>
      </c>
      <c r="B145" s="1">
        <v>41681</v>
      </c>
      <c r="C145" s="8">
        <v>12.23</v>
      </c>
      <c r="D145" s="8">
        <v>0.32</v>
      </c>
      <c r="E145">
        <v>5</v>
      </c>
      <c r="F145" s="10">
        <f>(WYNAJEM4[[#This Row],[data_wyjazdu]]-WYNAJEM4[[#This Row],[data_przyjazdu]])</f>
        <v>4</v>
      </c>
      <c r="G145" s="9">
        <f xml:space="preserve"> WYNAJEM4[[#This Row],[energia]] + WYNAJEM4[[#This Row],[woda]]</f>
        <v>12.55</v>
      </c>
      <c r="H145" s="8">
        <f xml:space="preserve"> (10 * WYNAJEM4[[#This Row],[typ]] * WYNAJEM4[[#This Row],[czas wynajecia domku]])</f>
        <v>200</v>
      </c>
      <c r="I145" s="9">
        <f xml:space="preserve"> WYNAJEM4[[#This Row],[suma energia i woda]] + WYNAJEM4[[#This Row],[czynsz]]</f>
        <v>212.55</v>
      </c>
    </row>
    <row r="146" spans="1:9" x14ac:dyDescent="0.25">
      <c r="A146" s="1">
        <v>41677</v>
      </c>
      <c r="B146" s="1">
        <v>41695</v>
      </c>
      <c r="C146" s="8">
        <v>12.01</v>
      </c>
      <c r="D146" s="8">
        <v>0.32</v>
      </c>
      <c r="E146">
        <v>5</v>
      </c>
      <c r="F146" s="10">
        <f>(WYNAJEM4[[#This Row],[data_wyjazdu]]-WYNAJEM4[[#This Row],[data_przyjazdu]])</f>
        <v>18</v>
      </c>
      <c r="G146" s="9">
        <f xml:space="preserve"> WYNAJEM4[[#This Row],[energia]] + WYNAJEM4[[#This Row],[woda]]</f>
        <v>12.33</v>
      </c>
      <c r="H146" s="8">
        <f xml:space="preserve"> (10 * WYNAJEM4[[#This Row],[typ]] * WYNAJEM4[[#This Row],[czas wynajecia domku]])</f>
        <v>900</v>
      </c>
      <c r="I146" s="9">
        <f xml:space="preserve"> WYNAJEM4[[#This Row],[suma energia i woda]] + WYNAJEM4[[#This Row],[czynsz]]</f>
        <v>912.33</v>
      </c>
    </row>
    <row r="147" spans="1:9" x14ac:dyDescent="0.25">
      <c r="A147" s="1">
        <v>41677</v>
      </c>
      <c r="B147" s="1">
        <v>41692</v>
      </c>
      <c r="C147" s="8">
        <v>5.67</v>
      </c>
      <c r="D147" s="8">
        <v>0.15</v>
      </c>
      <c r="E147">
        <v>4</v>
      </c>
      <c r="F147" s="10">
        <f>(WYNAJEM4[[#This Row],[data_wyjazdu]]-WYNAJEM4[[#This Row],[data_przyjazdu]])</f>
        <v>15</v>
      </c>
      <c r="G147" s="9">
        <f xml:space="preserve"> WYNAJEM4[[#This Row],[energia]] + WYNAJEM4[[#This Row],[woda]]</f>
        <v>5.82</v>
      </c>
      <c r="H147" s="8">
        <f xml:space="preserve"> (10 * WYNAJEM4[[#This Row],[typ]] * WYNAJEM4[[#This Row],[czas wynajecia domku]])</f>
        <v>600</v>
      </c>
      <c r="I147" s="9">
        <f xml:space="preserve"> WYNAJEM4[[#This Row],[suma energia i woda]] + WYNAJEM4[[#This Row],[czynsz]]</f>
        <v>605.82000000000005</v>
      </c>
    </row>
    <row r="148" spans="1:9" x14ac:dyDescent="0.25">
      <c r="A148" s="1">
        <v>41677</v>
      </c>
      <c r="B148" s="1">
        <v>41702</v>
      </c>
      <c r="C148" s="8">
        <v>6.88</v>
      </c>
      <c r="D148" s="8">
        <v>0.18</v>
      </c>
      <c r="E148">
        <v>5</v>
      </c>
      <c r="F148" s="10">
        <f>(WYNAJEM4[[#This Row],[data_wyjazdu]]-WYNAJEM4[[#This Row],[data_przyjazdu]])</f>
        <v>25</v>
      </c>
      <c r="G148" s="9">
        <f xml:space="preserve"> WYNAJEM4[[#This Row],[energia]] + WYNAJEM4[[#This Row],[woda]]</f>
        <v>7.06</v>
      </c>
      <c r="H148" s="8">
        <f xml:space="preserve"> (10 * WYNAJEM4[[#This Row],[typ]] * WYNAJEM4[[#This Row],[czas wynajecia domku]])</f>
        <v>1250</v>
      </c>
      <c r="I148" s="9">
        <f xml:space="preserve"> WYNAJEM4[[#This Row],[suma energia i woda]] + WYNAJEM4[[#This Row],[czynsz]]</f>
        <v>1257.06</v>
      </c>
    </row>
    <row r="149" spans="1:9" x14ac:dyDescent="0.25">
      <c r="A149" s="1">
        <v>41677</v>
      </c>
      <c r="B149" s="1">
        <v>41705</v>
      </c>
      <c r="C149" s="8">
        <v>2.72</v>
      </c>
      <c r="D149" s="8">
        <v>7.0000000000000007E-2</v>
      </c>
      <c r="E149">
        <v>6</v>
      </c>
      <c r="F149" s="10">
        <f>(WYNAJEM4[[#This Row],[data_wyjazdu]]-WYNAJEM4[[#This Row],[data_przyjazdu]])</f>
        <v>28</v>
      </c>
      <c r="G149" s="9">
        <f xml:space="preserve"> WYNAJEM4[[#This Row],[energia]] + WYNAJEM4[[#This Row],[woda]]</f>
        <v>2.79</v>
      </c>
      <c r="H149" s="8">
        <f xml:space="preserve"> (10 * WYNAJEM4[[#This Row],[typ]] * WYNAJEM4[[#This Row],[czas wynajecia domku]])</f>
        <v>1680</v>
      </c>
      <c r="I149" s="9">
        <f xml:space="preserve"> WYNAJEM4[[#This Row],[suma energia i woda]] + WYNAJEM4[[#This Row],[czynsz]]</f>
        <v>1682.79</v>
      </c>
    </row>
    <row r="150" spans="1:9" x14ac:dyDescent="0.25">
      <c r="A150" s="1">
        <v>41677</v>
      </c>
      <c r="B150" s="1">
        <v>41686</v>
      </c>
      <c r="C150" s="8">
        <v>9.74</v>
      </c>
      <c r="D150" s="8">
        <v>0.26</v>
      </c>
      <c r="E150">
        <v>6</v>
      </c>
      <c r="F150" s="10">
        <f>(WYNAJEM4[[#This Row],[data_wyjazdu]]-WYNAJEM4[[#This Row],[data_przyjazdu]])</f>
        <v>9</v>
      </c>
      <c r="G150" s="9">
        <f xml:space="preserve"> WYNAJEM4[[#This Row],[energia]] + WYNAJEM4[[#This Row],[woda]]</f>
        <v>10</v>
      </c>
      <c r="H150" s="8">
        <f xml:space="preserve"> (10 * WYNAJEM4[[#This Row],[typ]] * WYNAJEM4[[#This Row],[czas wynajecia domku]])</f>
        <v>540</v>
      </c>
      <c r="I150" s="9">
        <f xml:space="preserve"> WYNAJEM4[[#This Row],[suma energia i woda]] + WYNAJEM4[[#This Row],[czynsz]]</f>
        <v>550</v>
      </c>
    </row>
    <row r="151" spans="1:9" x14ac:dyDescent="0.25">
      <c r="A151" s="1">
        <v>41677</v>
      </c>
      <c r="B151" s="1">
        <v>41691</v>
      </c>
      <c r="C151" s="8">
        <v>7.31</v>
      </c>
      <c r="D151" s="8">
        <v>0.19</v>
      </c>
      <c r="E151">
        <v>3</v>
      </c>
      <c r="F151" s="10">
        <f>(WYNAJEM4[[#This Row],[data_wyjazdu]]-WYNAJEM4[[#This Row],[data_przyjazdu]])</f>
        <v>14</v>
      </c>
      <c r="G151" s="9">
        <f xml:space="preserve"> WYNAJEM4[[#This Row],[energia]] + WYNAJEM4[[#This Row],[woda]]</f>
        <v>7.5</v>
      </c>
      <c r="H151" s="8">
        <f xml:space="preserve"> (10 * WYNAJEM4[[#This Row],[typ]] * WYNAJEM4[[#This Row],[czas wynajecia domku]])</f>
        <v>420</v>
      </c>
      <c r="I151" s="9">
        <f xml:space="preserve"> WYNAJEM4[[#This Row],[suma energia i woda]] + WYNAJEM4[[#This Row],[czynsz]]</f>
        <v>427.5</v>
      </c>
    </row>
    <row r="152" spans="1:9" x14ac:dyDescent="0.25">
      <c r="A152" s="1">
        <v>41677</v>
      </c>
      <c r="B152" s="1">
        <v>41704</v>
      </c>
      <c r="C152" s="8">
        <v>8.84</v>
      </c>
      <c r="D152" s="8">
        <v>0.23</v>
      </c>
      <c r="E152">
        <v>6</v>
      </c>
      <c r="F152" s="10">
        <f>(WYNAJEM4[[#This Row],[data_wyjazdu]]-WYNAJEM4[[#This Row],[data_przyjazdu]])</f>
        <v>27</v>
      </c>
      <c r="G152" s="9">
        <f xml:space="preserve"> WYNAJEM4[[#This Row],[energia]] + WYNAJEM4[[#This Row],[woda]]</f>
        <v>9.07</v>
      </c>
      <c r="H152" s="8">
        <f xml:space="preserve"> (10 * WYNAJEM4[[#This Row],[typ]] * WYNAJEM4[[#This Row],[czas wynajecia domku]])</f>
        <v>1620</v>
      </c>
      <c r="I152" s="9">
        <f xml:space="preserve"> WYNAJEM4[[#This Row],[suma energia i woda]] + WYNAJEM4[[#This Row],[czynsz]]</f>
        <v>1629.07</v>
      </c>
    </row>
    <row r="153" spans="1:9" x14ac:dyDescent="0.25">
      <c r="A153" s="1">
        <v>41677</v>
      </c>
      <c r="B153" s="1">
        <v>41690</v>
      </c>
      <c r="C153" s="8">
        <v>13.07</v>
      </c>
      <c r="D153" s="8">
        <v>0.34</v>
      </c>
      <c r="E153">
        <v>2</v>
      </c>
      <c r="F153" s="10">
        <f>(WYNAJEM4[[#This Row],[data_wyjazdu]]-WYNAJEM4[[#This Row],[data_przyjazdu]])</f>
        <v>13</v>
      </c>
      <c r="G153" s="9">
        <f xml:space="preserve"> WYNAJEM4[[#This Row],[energia]] + WYNAJEM4[[#This Row],[woda]]</f>
        <v>13.41</v>
      </c>
      <c r="H153" s="8">
        <f xml:space="preserve"> (10 * WYNAJEM4[[#This Row],[typ]] * WYNAJEM4[[#This Row],[czas wynajecia domku]])</f>
        <v>260</v>
      </c>
      <c r="I153" s="9">
        <f xml:space="preserve"> WYNAJEM4[[#This Row],[suma energia i woda]] + WYNAJEM4[[#This Row],[czynsz]]</f>
        <v>273.41000000000003</v>
      </c>
    </row>
    <row r="154" spans="1:9" x14ac:dyDescent="0.25">
      <c r="A154" s="1">
        <v>41677</v>
      </c>
      <c r="B154" s="1">
        <v>41690</v>
      </c>
      <c r="C154" s="8">
        <v>11.42</v>
      </c>
      <c r="D154" s="8">
        <v>0.3</v>
      </c>
      <c r="E154">
        <v>6</v>
      </c>
      <c r="F154" s="10">
        <f>(WYNAJEM4[[#This Row],[data_wyjazdu]]-WYNAJEM4[[#This Row],[data_przyjazdu]])</f>
        <v>13</v>
      </c>
      <c r="G154" s="9">
        <f xml:space="preserve"> WYNAJEM4[[#This Row],[energia]] + WYNAJEM4[[#This Row],[woda]]</f>
        <v>11.72</v>
      </c>
      <c r="H154" s="8">
        <f xml:space="preserve"> (10 * WYNAJEM4[[#This Row],[typ]] * WYNAJEM4[[#This Row],[czas wynajecia domku]])</f>
        <v>780</v>
      </c>
      <c r="I154" s="9">
        <f xml:space="preserve"> WYNAJEM4[[#This Row],[suma energia i woda]] + WYNAJEM4[[#This Row],[czynsz]]</f>
        <v>791.72</v>
      </c>
    </row>
    <row r="155" spans="1:9" x14ac:dyDescent="0.25">
      <c r="A155" s="1">
        <v>41677</v>
      </c>
      <c r="B155" s="1">
        <v>41704</v>
      </c>
      <c r="C155" s="8">
        <v>3.79</v>
      </c>
      <c r="D155" s="8">
        <v>0.1</v>
      </c>
      <c r="E155">
        <v>3</v>
      </c>
      <c r="F155" s="10">
        <f>(WYNAJEM4[[#This Row],[data_wyjazdu]]-WYNAJEM4[[#This Row],[data_przyjazdu]])</f>
        <v>27</v>
      </c>
      <c r="G155" s="9">
        <f xml:space="preserve"> WYNAJEM4[[#This Row],[energia]] + WYNAJEM4[[#This Row],[woda]]</f>
        <v>3.89</v>
      </c>
      <c r="H155" s="8">
        <f xml:space="preserve"> (10 * WYNAJEM4[[#This Row],[typ]] * WYNAJEM4[[#This Row],[czas wynajecia domku]])</f>
        <v>810</v>
      </c>
      <c r="I155" s="9">
        <f xml:space="preserve"> WYNAJEM4[[#This Row],[suma energia i woda]] + WYNAJEM4[[#This Row],[czynsz]]</f>
        <v>813.89</v>
      </c>
    </row>
    <row r="156" spans="1:9" x14ac:dyDescent="0.25">
      <c r="A156" s="1">
        <v>41677</v>
      </c>
      <c r="B156" s="1">
        <v>41682</v>
      </c>
      <c r="C156" s="8">
        <v>11.42</v>
      </c>
      <c r="D156" s="8">
        <v>0.3</v>
      </c>
      <c r="E156">
        <v>6</v>
      </c>
      <c r="F156" s="10">
        <f>(WYNAJEM4[[#This Row],[data_wyjazdu]]-WYNAJEM4[[#This Row],[data_przyjazdu]])</f>
        <v>5</v>
      </c>
      <c r="G156" s="9">
        <f xml:space="preserve"> WYNAJEM4[[#This Row],[energia]] + WYNAJEM4[[#This Row],[woda]]</f>
        <v>11.72</v>
      </c>
      <c r="H156" s="8">
        <f xml:space="preserve"> (10 * WYNAJEM4[[#This Row],[typ]] * WYNAJEM4[[#This Row],[czas wynajecia domku]])</f>
        <v>300</v>
      </c>
      <c r="I156" s="9">
        <f xml:space="preserve"> WYNAJEM4[[#This Row],[suma energia i woda]] + WYNAJEM4[[#This Row],[czynsz]]</f>
        <v>311.72000000000003</v>
      </c>
    </row>
    <row r="157" spans="1:9" x14ac:dyDescent="0.25">
      <c r="A157" s="1">
        <v>41677</v>
      </c>
      <c r="B157" s="1">
        <v>41680</v>
      </c>
      <c r="C157" s="8">
        <v>8.83</v>
      </c>
      <c r="D157" s="8">
        <v>0.23</v>
      </c>
      <c r="E157">
        <v>4</v>
      </c>
      <c r="F157" s="10">
        <f>(WYNAJEM4[[#This Row],[data_wyjazdu]]-WYNAJEM4[[#This Row],[data_przyjazdu]])</f>
        <v>3</v>
      </c>
      <c r="G157" s="9">
        <f xml:space="preserve"> WYNAJEM4[[#This Row],[energia]] + WYNAJEM4[[#This Row],[woda]]</f>
        <v>9.06</v>
      </c>
      <c r="H157" s="8">
        <f xml:space="preserve"> (10 * WYNAJEM4[[#This Row],[typ]] * WYNAJEM4[[#This Row],[czas wynajecia domku]])</f>
        <v>120</v>
      </c>
      <c r="I157" s="9">
        <f xml:space="preserve"> WYNAJEM4[[#This Row],[suma energia i woda]] + WYNAJEM4[[#This Row],[czynsz]]</f>
        <v>129.06</v>
      </c>
    </row>
    <row r="158" spans="1:9" x14ac:dyDescent="0.25">
      <c r="A158" s="1">
        <v>41677</v>
      </c>
      <c r="B158" s="1">
        <v>41690</v>
      </c>
      <c r="C158" s="8">
        <v>8.51</v>
      </c>
      <c r="D158" s="8">
        <v>0.22</v>
      </c>
      <c r="E158">
        <v>5</v>
      </c>
      <c r="F158" s="10">
        <f>(WYNAJEM4[[#This Row],[data_wyjazdu]]-WYNAJEM4[[#This Row],[data_przyjazdu]])</f>
        <v>13</v>
      </c>
      <c r="G158" s="9">
        <f xml:space="preserve"> WYNAJEM4[[#This Row],[energia]] + WYNAJEM4[[#This Row],[woda]]</f>
        <v>8.73</v>
      </c>
      <c r="H158" s="8">
        <f xml:space="preserve"> (10 * WYNAJEM4[[#This Row],[typ]] * WYNAJEM4[[#This Row],[czas wynajecia domku]])</f>
        <v>650</v>
      </c>
      <c r="I158" s="9">
        <f xml:space="preserve"> WYNAJEM4[[#This Row],[suma energia i woda]] + WYNAJEM4[[#This Row],[czynsz]]</f>
        <v>658.73</v>
      </c>
    </row>
    <row r="159" spans="1:9" x14ac:dyDescent="0.25">
      <c r="A159" s="1">
        <v>41677</v>
      </c>
      <c r="B159" s="1">
        <v>41694</v>
      </c>
      <c r="C159" s="8">
        <v>7.3</v>
      </c>
      <c r="D159" s="8">
        <v>0.19</v>
      </c>
      <c r="E159">
        <v>5</v>
      </c>
      <c r="F159" s="10">
        <f>(WYNAJEM4[[#This Row],[data_wyjazdu]]-WYNAJEM4[[#This Row],[data_przyjazdu]])</f>
        <v>17</v>
      </c>
      <c r="G159" s="9">
        <f xml:space="preserve"> WYNAJEM4[[#This Row],[energia]] + WYNAJEM4[[#This Row],[woda]]</f>
        <v>7.49</v>
      </c>
      <c r="H159" s="8">
        <f xml:space="preserve"> (10 * WYNAJEM4[[#This Row],[typ]] * WYNAJEM4[[#This Row],[czas wynajecia domku]])</f>
        <v>850</v>
      </c>
      <c r="I159" s="9">
        <f xml:space="preserve"> WYNAJEM4[[#This Row],[suma energia i woda]] + WYNAJEM4[[#This Row],[czynsz]]</f>
        <v>857.49</v>
      </c>
    </row>
    <row r="160" spans="1:9" x14ac:dyDescent="0.25">
      <c r="A160" s="1">
        <v>41680</v>
      </c>
      <c r="B160" s="1">
        <v>41692</v>
      </c>
      <c r="C160" s="8">
        <v>5.67</v>
      </c>
      <c r="D160" s="8">
        <v>0.15</v>
      </c>
      <c r="E160">
        <v>4</v>
      </c>
      <c r="F160" s="10">
        <f>(WYNAJEM4[[#This Row],[data_wyjazdu]]-WYNAJEM4[[#This Row],[data_przyjazdu]])</f>
        <v>12</v>
      </c>
      <c r="G160" s="9">
        <f xml:space="preserve"> WYNAJEM4[[#This Row],[energia]] + WYNAJEM4[[#This Row],[woda]]</f>
        <v>5.82</v>
      </c>
      <c r="H160" s="8">
        <f xml:space="preserve"> (10 * WYNAJEM4[[#This Row],[typ]] * WYNAJEM4[[#This Row],[czas wynajecia domku]])</f>
        <v>480</v>
      </c>
      <c r="I160" s="9">
        <f xml:space="preserve"> WYNAJEM4[[#This Row],[suma energia i woda]] + WYNAJEM4[[#This Row],[czynsz]]</f>
        <v>485.82</v>
      </c>
    </row>
    <row r="161" spans="1:9" x14ac:dyDescent="0.25">
      <c r="A161" s="1">
        <v>41680</v>
      </c>
      <c r="B161" s="1">
        <v>41690</v>
      </c>
      <c r="C161" s="8">
        <v>6.58</v>
      </c>
      <c r="D161" s="8">
        <v>0.17</v>
      </c>
      <c r="E161">
        <v>3</v>
      </c>
      <c r="F161" s="10">
        <f>(WYNAJEM4[[#This Row],[data_wyjazdu]]-WYNAJEM4[[#This Row],[data_przyjazdu]])</f>
        <v>10</v>
      </c>
      <c r="G161" s="9">
        <f xml:space="preserve"> WYNAJEM4[[#This Row],[energia]] + WYNAJEM4[[#This Row],[woda]]</f>
        <v>6.75</v>
      </c>
      <c r="H161" s="8">
        <f xml:space="preserve"> (10 * WYNAJEM4[[#This Row],[typ]] * WYNAJEM4[[#This Row],[czas wynajecia domku]])</f>
        <v>300</v>
      </c>
      <c r="I161" s="9">
        <f xml:space="preserve"> WYNAJEM4[[#This Row],[suma energia i woda]] + WYNAJEM4[[#This Row],[czynsz]]</f>
        <v>306.75</v>
      </c>
    </row>
    <row r="162" spans="1:9" x14ac:dyDescent="0.25">
      <c r="A162" s="1">
        <v>41680</v>
      </c>
      <c r="B162" s="1">
        <v>41699</v>
      </c>
      <c r="C162" s="8">
        <v>4.25</v>
      </c>
      <c r="D162" s="8">
        <v>0.11</v>
      </c>
      <c r="E162">
        <v>3</v>
      </c>
      <c r="F162" s="10">
        <f>(WYNAJEM4[[#This Row],[data_wyjazdu]]-WYNAJEM4[[#This Row],[data_przyjazdu]])</f>
        <v>19</v>
      </c>
      <c r="G162" s="9">
        <f xml:space="preserve"> WYNAJEM4[[#This Row],[energia]] + WYNAJEM4[[#This Row],[woda]]</f>
        <v>4.3600000000000003</v>
      </c>
      <c r="H162" s="8">
        <f xml:space="preserve"> (10 * WYNAJEM4[[#This Row],[typ]] * WYNAJEM4[[#This Row],[czas wynajecia domku]])</f>
        <v>570</v>
      </c>
      <c r="I162" s="9">
        <f xml:space="preserve"> WYNAJEM4[[#This Row],[suma energia i woda]] + WYNAJEM4[[#This Row],[czynsz]]</f>
        <v>574.36</v>
      </c>
    </row>
    <row r="163" spans="1:9" x14ac:dyDescent="0.25">
      <c r="A163" s="1">
        <v>41682</v>
      </c>
      <c r="B163" s="1">
        <v>41694</v>
      </c>
      <c r="C163" s="8">
        <v>6.58</v>
      </c>
      <c r="D163" s="8">
        <v>0.17</v>
      </c>
      <c r="E163">
        <v>6</v>
      </c>
      <c r="F163" s="10">
        <f>(WYNAJEM4[[#This Row],[data_wyjazdu]]-WYNAJEM4[[#This Row],[data_przyjazdu]])</f>
        <v>12</v>
      </c>
      <c r="G163" s="9">
        <f xml:space="preserve"> WYNAJEM4[[#This Row],[energia]] + WYNAJEM4[[#This Row],[woda]]</f>
        <v>6.75</v>
      </c>
      <c r="H163" s="8">
        <f xml:space="preserve"> (10 * WYNAJEM4[[#This Row],[typ]] * WYNAJEM4[[#This Row],[czas wynajecia domku]])</f>
        <v>720</v>
      </c>
      <c r="I163" s="9">
        <f xml:space="preserve"> WYNAJEM4[[#This Row],[suma energia i woda]] + WYNAJEM4[[#This Row],[czynsz]]</f>
        <v>726.75</v>
      </c>
    </row>
    <row r="164" spans="1:9" x14ac:dyDescent="0.25">
      <c r="A164" s="1">
        <v>41684</v>
      </c>
      <c r="B164" s="1">
        <v>41704</v>
      </c>
      <c r="C164" s="8">
        <v>5.78</v>
      </c>
      <c r="D164" s="8">
        <v>0.15</v>
      </c>
      <c r="E164">
        <v>2</v>
      </c>
      <c r="F164" s="10">
        <f>(WYNAJEM4[[#This Row],[data_wyjazdu]]-WYNAJEM4[[#This Row],[data_przyjazdu]])</f>
        <v>20</v>
      </c>
      <c r="G164" s="9">
        <f xml:space="preserve"> WYNAJEM4[[#This Row],[energia]] + WYNAJEM4[[#This Row],[woda]]</f>
        <v>5.9300000000000006</v>
      </c>
      <c r="H164" s="8">
        <f xml:space="preserve"> (10 * WYNAJEM4[[#This Row],[typ]] * WYNAJEM4[[#This Row],[czas wynajecia domku]])</f>
        <v>400</v>
      </c>
      <c r="I164" s="9">
        <f xml:space="preserve"> WYNAJEM4[[#This Row],[suma energia i woda]] + WYNAJEM4[[#This Row],[czynsz]]</f>
        <v>405.93</v>
      </c>
    </row>
    <row r="165" spans="1:9" x14ac:dyDescent="0.25">
      <c r="A165" s="1">
        <v>41684</v>
      </c>
      <c r="B165" s="1">
        <v>41693</v>
      </c>
      <c r="C165" s="8">
        <v>10.199999999999999</v>
      </c>
      <c r="D165" s="8">
        <v>0.27</v>
      </c>
      <c r="E165">
        <v>5</v>
      </c>
      <c r="F165" s="10">
        <f>(WYNAJEM4[[#This Row],[data_wyjazdu]]-WYNAJEM4[[#This Row],[data_przyjazdu]])</f>
        <v>9</v>
      </c>
      <c r="G165" s="9">
        <f xml:space="preserve"> WYNAJEM4[[#This Row],[energia]] + WYNAJEM4[[#This Row],[woda]]</f>
        <v>10.469999999999999</v>
      </c>
      <c r="H165" s="8">
        <f xml:space="preserve"> (10 * WYNAJEM4[[#This Row],[typ]] * WYNAJEM4[[#This Row],[czas wynajecia domku]])</f>
        <v>450</v>
      </c>
      <c r="I165" s="9">
        <f xml:space="preserve"> WYNAJEM4[[#This Row],[suma energia i woda]] + WYNAJEM4[[#This Row],[czynsz]]</f>
        <v>460.47</v>
      </c>
    </row>
    <row r="166" spans="1:9" x14ac:dyDescent="0.25">
      <c r="A166" s="1">
        <v>41684</v>
      </c>
      <c r="B166" s="1">
        <v>41692</v>
      </c>
      <c r="C166" s="8">
        <v>2.72</v>
      </c>
      <c r="D166" s="8">
        <v>7.0000000000000007E-2</v>
      </c>
      <c r="E166">
        <v>6</v>
      </c>
      <c r="F166" s="10">
        <f>(WYNAJEM4[[#This Row],[data_wyjazdu]]-WYNAJEM4[[#This Row],[data_przyjazdu]])</f>
        <v>8</v>
      </c>
      <c r="G166" s="9">
        <f xml:space="preserve"> WYNAJEM4[[#This Row],[energia]] + WYNAJEM4[[#This Row],[woda]]</f>
        <v>2.79</v>
      </c>
      <c r="H166" s="8">
        <f xml:space="preserve"> (10 * WYNAJEM4[[#This Row],[typ]] * WYNAJEM4[[#This Row],[czas wynajecia domku]])</f>
        <v>480</v>
      </c>
      <c r="I166" s="9">
        <f xml:space="preserve"> WYNAJEM4[[#This Row],[suma energia i woda]] + WYNAJEM4[[#This Row],[czynsz]]</f>
        <v>482.79</v>
      </c>
    </row>
    <row r="167" spans="1:9" x14ac:dyDescent="0.25">
      <c r="A167" s="1">
        <v>41684</v>
      </c>
      <c r="B167" s="1">
        <v>41707</v>
      </c>
      <c r="C167" s="8">
        <v>11.44</v>
      </c>
      <c r="D167" s="8">
        <v>0.3</v>
      </c>
      <c r="E167">
        <v>6</v>
      </c>
      <c r="F167" s="10">
        <f>(WYNAJEM4[[#This Row],[data_wyjazdu]]-WYNAJEM4[[#This Row],[data_przyjazdu]])</f>
        <v>23</v>
      </c>
      <c r="G167" s="9">
        <f xml:space="preserve"> WYNAJEM4[[#This Row],[energia]] + WYNAJEM4[[#This Row],[woda]]</f>
        <v>11.74</v>
      </c>
      <c r="H167" s="8">
        <f xml:space="preserve"> (10 * WYNAJEM4[[#This Row],[typ]] * WYNAJEM4[[#This Row],[czas wynajecia domku]])</f>
        <v>1380</v>
      </c>
      <c r="I167" s="9">
        <f xml:space="preserve"> WYNAJEM4[[#This Row],[suma energia i woda]] + WYNAJEM4[[#This Row],[czynsz]]</f>
        <v>1391.74</v>
      </c>
    </row>
    <row r="168" spans="1:9" x14ac:dyDescent="0.25">
      <c r="A168" s="1">
        <v>41684</v>
      </c>
      <c r="B168" s="1">
        <v>41712</v>
      </c>
      <c r="C168" s="8">
        <v>13.07</v>
      </c>
      <c r="D168" s="8">
        <v>0.34</v>
      </c>
      <c r="E168">
        <v>6</v>
      </c>
      <c r="F168" s="10">
        <f>(WYNAJEM4[[#This Row],[data_wyjazdu]]-WYNAJEM4[[#This Row],[data_przyjazdu]])</f>
        <v>28</v>
      </c>
      <c r="G168" s="9">
        <f xml:space="preserve"> WYNAJEM4[[#This Row],[energia]] + WYNAJEM4[[#This Row],[woda]]</f>
        <v>13.41</v>
      </c>
      <c r="H168" s="8">
        <f xml:space="preserve"> (10 * WYNAJEM4[[#This Row],[typ]] * WYNAJEM4[[#This Row],[czas wynajecia domku]])</f>
        <v>1680</v>
      </c>
      <c r="I168" s="9">
        <f xml:space="preserve"> WYNAJEM4[[#This Row],[suma energia i woda]] + WYNAJEM4[[#This Row],[czynsz]]</f>
        <v>1693.41</v>
      </c>
    </row>
    <row r="169" spans="1:9" x14ac:dyDescent="0.25">
      <c r="A169" s="1">
        <v>41684</v>
      </c>
      <c r="B169" s="1">
        <v>41712</v>
      </c>
      <c r="C169" s="8">
        <v>7.35</v>
      </c>
      <c r="D169" s="8">
        <v>0.19</v>
      </c>
      <c r="E169">
        <v>4</v>
      </c>
      <c r="F169" s="10">
        <f>(WYNAJEM4[[#This Row],[data_wyjazdu]]-WYNAJEM4[[#This Row],[data_przyjazdu]])</f>
        <v>28</v>
      </c>
      <c r="G169" s="9">
        <f xml:space="preserve"> WYNAJEM4[[#This Row],[energia]] + WYNAJEM4[[#This Row],[woda]]</f>
        <v>7.54</v>
      </c>
      <c r="H169" s="8">
        <f xml:space="preserve"> (10 * WYNAJEM4[[#This Row],[typ]] * WYNAJEM4[[#This Row],[czas wynajecia domku]])</f>
        <v>1120</v>
      </c>
      <c r="I169" s="9">
        <f xml:space="preserve"> WYNAJEM4[[#This Row],[suma energia i woda]] + WYNAJEM4[[#This Row],[czynsz]]</f>
        <v>1127.54</v>
      </c>
    </row>
    <row r="170" spans="1:9" x14ac:dyDescent="0.25">
      <c r="A170" s="1">
        <v>41685</v>
      </c>
      <c r="B170" s="1">
        <v>41712</v>
      </c>
      <c r="C170" s="8">
        <v>6.88</v>
      </c>
      <c r="D170" s="8">
        <v>0.18</v>
      </c>
      <c r="E170">
        <v>3</v>
      </c>
      <c r="F170" s="10">
        <f>(WYNAJEM4[[#This Row],[data_wyjazdu]]-WYNAJEM4[[#This Row],[data_przyjazdu]])</f>
        <v>27</v>
      </c>
      <c r="G170" s="9">
        <f xml:space="preserve"> WYNAJEM4[[#This Row],[energia]] + WYNAJEM4[[#This Row],[woda]]</f>
        <v>7.06</v>
      </c>
      <c r="H170" s="8">
        <f xml:space="preserve"> (10 * WYNAJEM4[[#This Row],[typ]] * WYNAJEM4[[#This Row],[czas wynajecia domku]])</f>
        <v>810</v>
      </c>
      <c r="I170" s="9">
        <f xml:space="preserve"> WYNAJEM4[[#This Row],[suma energia i woda]] + WYNAJEM4[[#This Row],[czynsz]]</f>
        <v>817.06</v>
      </c>
    </row>
    <row r="171" spans="1:9" x14ac:dyDescent="0.25">
      <c r="A171" s="1">
        <v>41685</v>
      </c>
      <c r="B171" s="1">
        <v>41708</v>
      </c>
      <c r="C171" s="8">
        <v>9.06</v>
      </c>
      <c r="D171" s="8">
        <v>0.24</v>
      </c>
      <c r="E171">
        <v>2</v>
      </c>
      <c r="F171" s="10">
        <f>(WYNAJEM4[[#This Row],[data_wyjazdu]]-WYNAJEM4[[#This Row],[data_przyjazdu]])</f>
        <v>23</v>
      </c>
      <c r="G171" s="9">
        <f xml:space="preserve"> WYNAJEM4[[#This Row],[energia]] + WYNAJEM4[[#This Row],[woda]]</f>
        <v>9.3000000000000007</v>
      </c>
      <c r="H171" s="8">
        <f xml:space="preserve"> (10 * WYNAJEM4[[#This Row],[typ]] * WYNAJEM4[[#This Row],[czas wynajecia domku]])</f>
        <v>460</v>
      </c>
      <c r="I171" s="9">
        <f xml:space="preserve"> WYNAJEM4[[#This Row],[suma energia i woda]] + WYNAJEM4[[#This Row],[czynsz]]</f>
        <v>469.3</v>
      </c>
    </row>
    <row r="172" spans="1:9" x14ac:dyDescent="0.25">
      <c r="A172" s="1">
        <v>41689</v>
      </c>
      <c r="B172" s="1">
        <v>41708</v>
      </c>
      <c r="C172" s="8">
        <v>16.55</v>
      </c>
      <c r="D172" s="8">
        <v>0.44</v>
      </c>
      <c r="E172">
        <v>2</v>
      </c>
      <c r="F172" s="10">
        <f>(WYNAJEM4[[#This Row],[data_wyjazdu]]-WYNAJEM4[[#This Row],[data_przyjazdu]])</f>
        <v>19</v>
      </c>
      <c r="G172" s="9">
        <f xml:space="preserve"> WYNAJEM4[[#This Row],[energia]] + WYNAJEM4[[#This Row],[woda]]</f>
        <v>16.990000000000002</v>
      </c>
      <c r="H172" s="8">
        <f xml:space="preserve"> (10 * WYNAJEM4[[#This Row],[typ]] * WYNAJEM4[[#This Row],[czas wynajecia domku]])</f>
        <v>380</v>
      </c>
      <c r="I172" s="9">
        <f xml:space="preserve"> WYNAJEM4[[#This Row],[suma energia i woda]] + WYNAJEM4[[#This Row],[czynsz]]</f>
        <v>396.99</v>
      </c>
    </row>
    <row r="173" spans="1:9" x14ac:dyDescent="0.25">
      <c r="A173" s="1">
        <v>41689</v>
      </c>
      <c r="B173" s="1">
        <v>41708</v>
      </c>
      <c r="C173" s="8">
        <v>8.83</v>
      </c>
      <c r="D173" s="8">
        <v>0.23</v>
      </c>
      <c r="E173">
        <v>3</v>
      </c>
      <c r="F173" s="10">
        <f>(WYNAJEM4[[#This Row],[data_wyjazdu]]-WYNAJEM4[[#This Row],[data_przyjazdu]])</f>
        <v>19</v>
      </c>
      <c r="G173" s="9">
        <f xml:space="preserve"> WYNAJEM4[[#This Row],[energia]] + WYNAJEM4[[#This Row],[woda]]</f>
        <v>9.06</v>
      </c>
      <c r="H173" s="8">
        <f xml:space="preserve"> (10 * WYNAJEM4[[#This Row],[typ]] * WYNAJEM4[[#This Row],[czas wynajecia domku]])</f>
        <v>570</v>
      </c>
      <c r="I173" s="9">
        <f xml:space="preserve"> WYNAJEM4[[#This Row],[suma energia i woda]] + WYNAJEM4[[#This Row],[czynsz]]</f>
        <v>579.05999999999995</v>
      </c>
    </row>
    <row r="174" spans="1:9" x14ac:dyDescent="0.25">
      <c r="A174" s="1">
        <v>41689</v>
      </c>
      <c r="B174" s="1">
        <v>41696</v>
      </c>
      <c r="C174" s="8">
        <v>7.31</v>
      </c>
      <c r="D174" s="8">
        <v>0.19</v>
      </c>
      <c r="E174">
        <v>2</v>
      </c>
      <c r="F174" s="10">
        <f>(WYNAJEM4[[#This Row],[data_wyjazdu]]-WYNAJEM4[[#This Row],[data_przyjazdu]])</f>
        <v>7</v>
      </c>
      <c r="G174" s="9">
        <f xml:space="preserve"> WYNAJEM4[[#This Row],[energia]] + WYNAJEM4[[#This Row],[woda]]</f>
        <v>7.5</v>
      </c>
      <c r="H174" s="8">
        <f xml:space="preserve"> (10 * WYNAJEM4[[#This Row],[typ]] * WYNAJEM4[[#This Row],[czas wynajecia domku]])</f>
        <v>140</v>
      </c>
      <c r="I174" s="9">
        <f xml:space="preserve"> WYNAJEM4[[#This Row],[suma energia i woda]] + WYNAJEM4[[#This Row],[czynsz]]</f>
        <v>147.5</v>
      </c>
    </row>
    <row r="175" spans="1:9" x14ac:dyDescent="0.25">
      <c r="A175" s="1">
        <v>41689</v>
      </c>
      <c r="B175" s="1">
        <v>41715</v>
      </c>
      <c r="C175" s="8">
        <v>14.31</v>
      </c>
      <c r="D175" s="8">
        <v>0.38</v>
      </c>
      <c r="E175">
        <v>5</v>
      </c>
      <c r="F175" s="10">
        <f>(WYNAJEM4[[#This Row],[data_wyjazdu]]-WYNAJEM4[[#This Row],[data_przyjazdu]])</f>
        <v>26</v>
      </c>
      <c r="G175" s="9">
        <f xml:space="preserve"> WYNAJEM4[[#This Row],[energia]] + WYNAJEM4[[#This Row],[woda]]</f>
        <v>14.690000000000001</v>
      </c>
      <c r="H175" s="8">
        <f xml:space="preserve"> (10 * WYNAJEM4[[#This Row],[typ]] * WYNAJEM4[[#This Row],[czas wynajecia domku]])</f>
        <v>1300</v>
      </c>
      <c r="I175" s="9">
        <f xml:space="preserve"> WYNAJEM4[[#This Row],[suma energia i woda]] + WYNAJEM4[[#This Row],[czynsz]]</f>
        <v>1314.69</v>
      </c>
    </row>
    <row r="176" spans="1:9" x14ac:dyDescent="0.25">
      <c r="A176" s="1">
        <v>41689</v>
      </c>
      <c r="B176" s="1">
        <v>41691</v>
      </c>
      <c r="C176" s="8">
        <v>11.42</v>
      </c>
      <c r="D176" s="8">
        <v>0.3</v>
      </c>
      <c r="E176">
        <v>5</v>
      </c>
      <c r="F176" s="10">
        <f>(WYNAJEM4[[#This Row],[data_wyjazdu]]-WYNAJEM4[[#This Row],[data_przyjazdu]])</f>
        <v>2</v>
      </c>
      <c r="G176" s="9">
        <f xml:space="preserve"> WYNAJEM4[[#This Row],[energia]] + WYNAJEM4[[#This Row],[woda]]</f>
        <v>11.72</v>
      </c>
      <c r="H176" s="8">
        <f xml:space="preserve"> (10 * WYNAJEM4[[#This Row],[typ]] * WYNAJEM4[[#This Row],[czas wynajecia domku]])</f>
        <v>100</v>
      </c>
      <c r="I176" s="9">
        <f xml:space="preserve"> WYNAJEM4[[#This Row],[suma energia i woda]] + WYNAJEM4[[#This Row],[czynsz]]</f>
        <v>111.72</v>
      </c>
    </row>
    <row r="177" spans="1:9" x14ac:dyDescent="0.25">
      <c r="A177" s="1">
        <v>41689</v>
      </c>
      <c r="B177" s="1">
        <v>41700</v>
      </c>
      <c r="C177" s="8">
        <v>8.5399999999999991</v>
      </c>
      <c r="D177" s="8">
        <v>0.22</v>
      </c>
      <c r="E177">
        <v>3</v>
      </c>
      <c r="F177" s="10">
        <f>(WYNAJEM4[[#This Row],[data_wyjazdu]]-WYNAJEM4[[#This Row],[data_przyjazdu]])</f>
        <v>11</v>
      </c>
      <c r="G177" s="9">
        <f xml:space="preserve"> WYNAJEM4[[#This Row],[energia]] + WYNAJEM4[[#This Row],[woda]]</f>
        <v>8.76</v>
      </c>
      <c r="H177" s="8">
        <f xml:space="preserve"> (10 * WYNAJEM4[[#This Row],[typ]] * WYNAJEM4[[#This Row],[czas wynajecia domku]])</f>
        <v>330</v>
      </c>
      <c r="I177" s="9">
        <f xml:space="preserve"> WYNAJEM4[[#This Row],[suma energia i woda]] + WYNAJEM4[[#This Row],[czynsz]]</f>
        <v>338.76</v>
      </c>
    </row>
    <row r="178" spans="1:9" x14ac:dyDescent="0.25">
      <c r="A178" s="1">
        <v>41689</v>
      </c>
      <c r="B178" s="1">
        <v>41717</v>
      </c>
      <c r="C178" s="8">
        <v>5.57</v>
      </c>
      <c r="D178" s="8">
        <v>0.15</v>
      </c>
      <c r="E178">
        <v>4</v>
      </c>
      <c r="F178" s="10">
        <f>(WYNAJEM4[[#This Row],[data_wyjazdu]]-WYNAJEM4[[#This Row],[data_przyjazdu]])</f>
        <v>28</v>
      </c>
      <c r="G178" s="9">
        <f xml:space="preserve"> WYNAJEM4[[#This Row],[energia]] + WYNAJEM4[[#This Row],[woda]]</f>
        <v>5.7200000000000006</v>
      </c>
      <c r="H178" s="8">
        <f xml:space="preserve"> (10 * WYNAJEM4[[#This Row],[typ]] * WYNAJEM4[[#This Row],[czas wynajecia domku]])</f>
        <v>1120</v>
      </c>
      <c r="I178" s="9">
        <f xml:space="preserve"> WYNAJEM4[[#This Row],[suma energia i woda]] + WYNAJEM4[[#This Row],[czynsz]]</f>
        <v>1125.72</v>
      </c>
    </row>
    <row r="179" spans="1:9" x14ac:dyDescent="0.25">
      <c r="A179" s="1">
        <v>41689</v>
      </c>
      <c r="B179" s="1">
        <v>41717</v>
      </c>
      <c r="C179" s="8">
        <v>7.55</v>
      </c>
      <c r="D179" s="8">
        <v>0.2</v>
      </c>
      <c r="E179">
        <v>4</v>
      </c>
      <c r="F179" s="10">
        <f>(WYNAJEM4[[#This Row],[data_wyjazdu]]-WYNAJEM4[[#This Row],[data_przyjazdu]])</f>
        <v>28</v>
      </c>
      <c r="G179" s="9">
        <f xml:space="preserve"> WYNAJEM4[[#This Row],[energia]] + WYNAJEM4[[#This Row],[woda]]</f>
        <v>7.75</v>
      </c>
      <c r="H179" s="8">
        <f xml:space="preserve"> (10 * WYNAJEM4[[#This Row],[typ]] * WYNAJEM4[[#This Row],[czas wynajecia domku]])</f>
        <v>1120</v>
      </c>
      <c r="I179" s="9">
        <f xml:space="preserve"> WYNAJEM4[[#This Row],[suma energia i woda]] + WYNAJEM4[[#This Row],[czynsz]]</f>
        <v>1127.75</v>
      </c>
    </row>
    <row r="180" spans="1:9" x14ac:dyDescent="0.25">
      <c r="A180" s="1">
        <v>41689</v>
      </c>
      <c r="B180" s="1">
        <v>41707</v>
      </c>
      <c r="C180" s="8">
        <v>10.79</v>
      </c>
      <c r="D180" s="8">
        <v>0.28000000000000003</v>
      </c>
      <c r="E180">
        <v>6</v>
      </c>
      <c r="F180" s="10">
        <f>(WYNAJEM4[[#This Row],[data_wyjazdu]]-WYNAJEM4[[#This Row],[data_przyjazdu]])</f>
        <v>18</v>
      </c>
      <c r="G180" s="9">
        <f xml:space="preserve"> WYNAJEM4[[#This Row],[energia]] + WYNAJEM4[[#This Row],[woda]]</f>
        <v>11.069999999999999</v>
      </c>
      <c r="H180" s="8">
        <f xml:space="preserve"> (10 * WYNAJEM4[[#This Row],[typ]] * WYNAJEM4[[#This Row],[czas wynajecia domku]])</f>
        <v>1080</v>
      </c>
      <c r="I180" s="9">
        <f xml:space="preserve"> WYNAJEM4[[#This Row],[suma energia i woda]] + WYNAJEM4[[#This Row],[czynsz]]</f>
        <v>1091.07</v>
      </c>
    </row>
    <row r="181" spans="1:9" x14ac:dyDescent="0.25">
      <c r="A181" s="1">
        <v>41689</v>
      </c>
      <c r="B181" s="1">
        <v>41706</v>
      </c>
      <c r="C181" s="8">
        <v>8.39</v>
      </c>
      <c r="D181" s="8">
        <v>0.22</v>
      </c>
      <c r="E181">
        <v>2</v>
      </c>
      <c r="F181" s="10">
        <f>(WYNAJEM4[[#This Row],[data_wyjazdu]]-WYNAJEM4[[#This Row],[data_przyjazdu]])</f>
        <v>17</v>
      </c>
      <c r="G181" s="9">
        <f xml:space="preserve"> WYNAJEM4[[#This Row],[energia]] + WYNAJEM4[[#This Row],[woda]]</f>
        <v>8.6100000000000012</v>
      </c>
      <c r="H181" s="8">
        <f xml:space="preserve"> (10 * WYNAJEM4[[#This Row],[typ]] * WYNAJEM4[[#This Row],[czas wynajecia domku]])</f>
        <v>340</v>
      </c>
      <c r="I181" s="9">
        <f xml:space="preserve"> WYNAJEM4[[#This Row],[suma energia i woda]] + WYNAJEM4[[#This Row],[czynsz]]</f>
        <v>348.61</v>
      </c>
    </row>
    <row r="182" spans="1:9" x14ac:dyDescent="0.25">
      <c r="A182" s="1">
        <v>41689</v>
      </c>
      <c r="B182" s="1">
        <v>41711</v>
      </c>
      <c r="C182" s="8">
        <v>9.06</v>
      </c>
      <c r="D182" s="8">
        <v>0.24</v>
      </c>
      <c r="E182">
        <v>6</v>
      </c>
      <c r="F182" s="10">
        <f>(WYNAJEM4[[#This Row],[data_wyjazdu]]-WYNAJEM4[[#This Row],[data_przyjazdu]])</f>
        <v>22</v>
      </c>
      <c r="G182" s="9">
        <f xml:space="preserve"> WYNAJEM4[[#This Row],[energia]] + WYNAJEM4[[#This Row],[woda]]</f>
        <v>9.3000000000000007</v>
      </c>
      <c r="H182" s="8">
        <f xml:space="preserve"> (10 * WYNAJEM4[[#This Row],[typ]] * WYNAJEM4[[#This Row],[czas wynajecia domku]])</f>
        <v>1320</v>
      </c>
      <c r="I182" s="9">
        <f xml:space="preserve"> WYNAJEM4[[#This Row],[suma energia i woda]] + WYNAJEM4[[#This Row],[czynsz]]</f>
        <v>1329.3</v>
      </c>
    </row>
    <row r="183" spans="1:9" x14ac:dyDescent="0.25">
      <c r="A183" s="1">
        <v>41689</v>
      </c>
      <c r="B183" s="1">
        <v>41700</v>
      </c>
      <c r="C183" s="8">
        <v>16.940000000000001</v>
      </c>
      <c r="D183" s="8">
        <v>0.45</v>
      </c>
      <c r="E183">
        <v>3</v>
      </c>
      <c r="F183" s="10">
        <f>(WYNAJEM4[[#This Row],[data_wyjazdu]]-WYNAJEM4[[#This Row],[data_przyjazdu]])</f>
        <v>11</v>
      </c>
      <c r="G183" s="9">
        <f xml:space="preserve"> WYNAJEM4[[#This Row],[energia]] + WYNAJEM4[[#This Row],[woda]]</f>
        <v>17.39</v>
      </c>
      <c r="H183" s="8">
        <f xml:space="preserve"> (10 * WYNAJEM4[[#This Row],[typ]] * WYNAJEM4[[#This Row],[czas wynajecia domku]])</f>
        <v>330</v>
      </c>
      <c r="I183" s="9">
        <f xml:space="preserve"> WYNAJEM4[[#This Row],[suma energia i woda]] + WYNAJEM4[[#This Row],[czynsz]]</f>
        <v>347.39</v>
      </c>
    </row>
    <row r="184" spans="1:9" x14ac:dyDescent="0.25">
      <c r="A184" s="1">
        <v>41689</v>
      </c>
      <c r="B184" s="1">
        <v>41708</v>
      </c>
      <c r="C184" s="8">
        <v>11.37</v>
      </c>
      <c r="D184" s="8">
        <v>0.3</v>
      </c>
      <c r="E184">
        <v>4</v>
      </c>
      <c r="F184" s="10">
        <f>(WYNAJEM4[[#This Row],[data_wyjazdu]]-WYNAJEM4[[#This Row],[data_przyjazdu]])</f>
        <v>19</v>
      </c>
      <c r="G184" s="9">
        <f xml:space="preserve"> WYNAJEM4[[#This Row],[energia]] + WYNAJEM4[[#This Row],[woda]]</f>
        <v>11.67</v>
      </c>
      <c r="H184" s="8">
        <f xml:space="preserve"> (10 * WYNAJEM4[[#This Row],[typ]] * WYNAJEM4[[#This Row],[czas wynajecia domku]])</f>
        <v>760</v>
      </c>
      <c r="I184" s="9">
        <f xml:space="preserve"> WYNAJEM4[[#This Row],[suma energia i woda]] + WYNAJEM4[[#This Row],[czynsz]]</f>
        <v>771.67</v>
      </c>
    </row>
    <row r="185" spans="1:9" x14ac:dyDescent="0.25">
      <c r="A185" s="1">
        <v>41689</v>
      </c>
      <c r="B185" s="1">
        <v>41699</v>
      </c>
      <c r="C185" s="8">
        <v>4.25</v>
      </c>
      <c r="D185" s="8">
        <v>0.11</v>
      </c>
      <c r="E185">
        <v>5</v>
      </c>
      <c r="F185" s="10">
        <f>(WYNAJEM4[[#This Row],[data_wyjazdu]]-WYNAJEM4[[#This Row],[data_przyjazdu]])</f>
        <v>10</v>
      </c>
      <c r="G185" s="9">
        <f xml:space="preserve"> WYNAJEM4[[#This Row],[energia]] + WYNAJEM4[[#This Row],[woda]]</f>
        <v>4.3600000000000003</v>
      </c>
      <c r="H185" s="8">
        <f xml:space="preserve"> (10 * WYNAJEM4[[#This Row],[typ]] * WYNAJEM4[[#This Row],[czas wynajecia domku]])</f>
        <v>500</v>
      </c>
      <c r="I185" s="9">
        <f xml:space="preserve"> WYNAJEM4[[#This Row],[suma energia i woda]] + WYNAJEM4[[#This Row],[czynsz]]</f>
        <v>504.36</v>
      </c>
    </row>
    <row r="186" spans="1:9" x14ac:dyDescent="0.25">
      <c r="A186" s="1">
        <v>41689</v>
      </c>
      <c r="B186" s="1">
        <v>41710</v>
      </c>
      <c r="C186" s="8">
        <v>11.42</v>
      </c>
      <c r="D186" s="8">
        <v>0.3</v>
      </c>
      <c r="E186">
        <v>4</v>
      </c>
      <c r="F186" s="10">
        <f>(WYNAJEM4[[#This Row],[data_wyjazdu]]-WYNAJEM4[[#This Row],[data_przyjazdu]])</f>
        <v>21</v>
      </c>
      <c r="G186" s="9">
        <f xml:space="preserve"> WYNAJEM4[[#This Row],[energia]] + WYNAJEM4[[#This Row],[woda]]</f>
        <v>11.72</v>
      </c>
      <c r="H186" s="8">
        <f xml:space="preserve"> (10 * WYNAJEM4[[#This Row],[typ]] * WYNAJEM4[[#This Row],[czas wynajecia domku]])</f>
        <v>840</v>
      </c>
      <c r="I186" s="9">
        <f xml:space="preserve"> WYNAJEM4[[#This Row],[suma energia i woda]] + WYNAJEM4[[#This Row],[czynsz]]</f>
        <v>851.72</v>
      </c>
    </row>
    <row r="187" spans="1:9" x14ac:dyDescent="0.25">
      <c r="A187" s="1">
        <v>41689</v>
      </c>
      <c r="B187" s="1">
        <v>41711</v>
      </c>
      <c r="C187" s="8">
        <v>3.79</v>
      </c>
      <c r="D187" s="8">
        <v>0.1</v>
      </c>
      <c r="E187">
        <v>3</v>
      </c>
      <c r="F187" s="10">
        <f>(WYNAJEM4[[#This Row],[data_wyjazdu]]-WYNAJEM4[[#This Row],[data_przyjazdu]])</f>
        <v>22</v>
      </c>
      <c r="G187" s="9">
        <f xml:space="preserve"> WYNAJEM4[[#This Row],[energia]] + WYNAJEM4[[#This Row],[woda]]</f>
        <v>3.89</v>
      </c>
      <c r="H187" s="8">
        <f xml:space="preserve"> (10 * WYNAJEM4[[#This Row],[typ]] * WYNAJEM4[[#This Row],[czas wynajecia domku]])</f>
        <v>660</v>
      </c>
      <c r="I187" s="9">
        <f xml:space="preserve"> WYNAJEM4[[#This Row],[suma energia i woda]] + WYNAJEM4[[#This Row],[czynsz]]</f>
        <v>663.89</v>
      </c>
    </row>
    <row r="188" spans="1:9" x14ac:dyDescent="0.25">
      <c r="A188" s="1">
        <v>41689</v>
      </c>
      <c r="B188" s="1">
        <v>41712</v>
      </c>
      <c r="C188" s="8">
        <v>10.59</v>
      </c>
      <c r="D188" s="8">
        <v>0.28000000000000003</v>
      </c>
      <c r="E188">
        <v>4</v>
      </c>
      <c r="F188" s="10">
        <f>(WYNAJEM4[[#This Row],[data_wyjazdu]]-WYNAJEM4[[#This Row],[data_przyjazdu]])</f>
        <v>23</v>
      </c>
      <c r="G188" s="9">
        <f xml:space="preserve"> WYNAJEM4[[#This Row],[energia]] + WYNAJEM4[[#This Row],[woda]]</f>
        <v>10.87</v>
      </c>
      <c r="H188" s="8">
        <f xml:space="preserve"> (10 * WYNAJEM4[[#This Row],[typ]] * WYNAJEM4[[#This Row],[czas wynajecia domku]])</f>
        <v>920</v>
      </c>
      <c r="I188" s="9">
        <f xml:space="preserve"> WYNAJEM4[[#This Row],[suma energia i woda]] + WYNAJEM4[[#This Row],[czynsz]]</f>
        <v>930.87</v>
      </c>
    </row>
    <row r="189" spans="1:9" x14ac:dyDescent="0.25">
      <c r="A189" s="1">
        <v>41689</v>
      </c>
      <c r="B189" s="1">
        <v>41705</v>
      </c>
      <c r="C189" s="8">
        <v>8.9499999999999993</v>
      </c>
      <c r="D189" s="8">
        <v>0.24</v>
      </c>
      <c r="E189">
        <v>2</v>
      </c>
      <c r="F189" s="10">
        <f>(WYNAJEM4[[#This Row],[data_wyjazdu]]-WYNAJEM4[[#This Row],[data_przyjazdu]])</f>
        <v>16</v>
      </c>
      <c r="G189" s="9">
        <f xml:space="preserve"> WYNAJEM4[[#This Row],[energia]] + WYNAJEM4[[#This Row],[woda]]</f>
        <v>9.19</v>
      </c>
      <c r="H189" s="8">
        <f xml:space="preserve"> (10 * WYNAJEM4[[#This Row],[typ]] * WYNAJEM4[[#This Row],[czas wynajecia domku]])</f>
        <v>320</v>
      </c>
      <c r="I189" s="9">
        <f xml:space="preserve"> WYNAJEM4[[#This Row],[suma energia i woda]] + WYNAJEM4[[#This Row],[czynsz]]</f>
        <v>329.19</v>
      </c>
    </row>
    <row r="190" spans="1:9" x14ac:dyDescent="0.25">
      <c r="A190" s="1">
        <v>41689</v>
      </c>
      <c r="B190" s="1">
        <v>41693</v>
      </c>
      <c r="C190" s="8">
        <v>4.66</v>
      </c>
      <c r="D190" s="8">
        <v>0.12</v>
      </c>
      <c r="E190">
        <v>5</v>
      </c>
      <c r="F190" s="10">
        <f>(WYNAJEM4[[#This Row],[data_wyjazdu]]-WYNAJEM4[[#This Row],[data_przyjazdu]])</f>
        <v>4</v>
      </c>
      <c r="G190" s="9">
        <f xml:space="preserve"> WYNAJEM4[[#This Row],[energia]] + WYNAJEM4[[#This Row],[woda]]</f>
        <v>4.78</v>
      </c>
      <c r="H190" s="8">
        <f xml:space="preserve"> (10 * WYNAJEM4[[#This Row],[typ]] * WYNAJEM4[[#This Row],[czas wynajecia domku]])</f>
        <v>200</v>
      </c>
      <c r="I190" s="9">
        <f xml:space="preserve"> WYNAJEM4[[#This Row],[suma energia i woda]] + WYNAJEM4[[#This Row],[czynsz]]</f>
        <v>204.78</v>
      </c>
    </row>
    <row r="191" spans="1:9" x14ac:dyDescent="0.25">
      <c r="A191" s="1">
        <v>41689</v>
      </c>
      <c r="B191" s="1">
        <v>41707</v>
      </c>
      <c r="C191" s="8">
        <v>6.88</v>
      </c>
      <c r="D191" s="8">
        <v>0.18</v>
      </c>
      <c r="E191">
        <v>5</v>
      </c>
      <c r="F191" s="10">
        <f>(WYNAJEM4[[#This Row],[data_wyjazdu]]-WYNAJEM4[[#This Row],[data_przyjazdu]])</f>
        <v>18</v>
      </c>
      <c r="G191" s="9">
        <f xml:space="preserve"> WYNAJEM4[[#This Row],[energia]] + WYNAJEM4[[#This Row],[woda]]</f>
        <v>7.06</v>
      </c>
      <c r="H191" s="8">
        <f xml:space="preserve"> (10 * WYNAJEM4[[#This Row],[typ]] * WYNAJEM4[[#This Row],[czas wynajecia domku]])</f>
        <v>900</v>
      </c>
      <c r="I191" s="9">
        <f xml:space="preserve"> WYNAJEM4[[#This Row],[suma energia i woda]] + WYNAJEM4[[#This Row],[czynsz]]</f>
        <v>907.06</v>
      </c>
    </row>
    <row r="192" spans="1:9" x14ac:dyDescent="0.25">
      <c r="A192" s="1">
        <v>41692</v>
      </c>
      <c r="B192" s="1">
        <v>41706</v>
      </c>
      <c r="C192" s="8">
        <v>8.7200000000000006</v>
      </c>
      <c r="D192" s="8">
        <v>0.23</v>
      </c>
      <c r="E192">
        <v>4</v>
      </c>
      <c r="F192" s="10">
        <f>(WYNAJEM4[[#This Row],[data_wyjazdu]]-WYNAJEM4[[#This Row],[data_przyjazdu]])</f>
        <v>14</v>
      </c>
      <c r="G192" s="9">
        <f xml:space="preserve"> WYNAJEM4[[#This Row],[energia]] + WYNAJEM4[[#This Row],[woda]]</f>
        <v>8.9500000000000011</v>
      </c>
      <c r="H192" s="8">
        <f xml:space="preserve"> (10 * WYNAJEM4[[#This Row],[typ]] * WYNAJEM4[[#This Row],[czas wynajecia domku]])</f>
        <v>560</v>
      </c>
      <c r="I192" s="9">
        <f xml:space="preserve"> WYNAJEM4[[#This Row],[suma energia i woda]] + WYNAJEM4[[#This Row],[czynsz]]</f>
        <v>568.95000000000005</v>
      </c>
    </row>
    <row r="193" spans="1:9" x14ac:dyDescent="0.25">
      <c r="A193" s="1">
        <v>41696</v>
      </c>
      <c r="B193" s="1">
        <v>41698</v>
      </c>
      <c r="C193" s="8">
        <v>12.23</v>
      </c>
      <c r="D193" s="8">
        <v>0.32</v>
      </c>
      <c r="E193">
        <v>2</v>
      </c>
      <c r="F193" s="10">
        <f>(WYNAJEM4[[#This Row],[data_wyjazdu]]-WYNAJEM4[[#This Row],[data_przyjazdu]])</f>
        <v>2</v>
      </c>
      <c r="G193" s="9">
        <f xml:space="preserve"> WYNAJEM4[[#This Row],[energia]] + WYNAJEM4[[#This Row],[woda]]</f>
        <v>12.55</v>
      </c>
      <c r="H193" s="8">
        <f xml:space="preserve"> (10 * WYNAJEM4[[#This Row],[typ]] * WYNAJEM4[[#This Row],[czas wynajecia domku]])</f>
        <v>40</v>
      </c>
      <c r="I193" s="9">
        <f xml:space="preserve"> WYNAJEM4[[#This Row],[suma energia i woda]] + WYNAJEM4[[#This Row],[czynsz]]</f>
        <v>52.55</v>
      </c>
    </row>
    <row r="194" spans="1:9" x14ac:dyDescent="0.25">
      <c r="A194" s="1">
        <v>41696</v>
      </c>
      <c r="B194" s="1">
        <v>41708</v>
      </c>
      <c r="C194" s="8">
        <v>10.199999999999999</v>
      </c>
      <c r="D194" s="8">
        <v>0.27</v>
      </c>
      <c r="E194">
        <v>4</v>
      </c>
      <c r="F194" s="10">
        <f>(WYNAJEM4[[#This Row],[data_wyjazdu]]-WYNAJEM4[[#This Row],[data_przyjazdu]])</f>
        <v>12</v>
      </c>
      <c r="G194" s="9">
        <f xml:space="preserve"> WYNAJEM4[[#This Row],[energia]] + WYNAJEM4[[#This Row],[woda]]</f>
        <v>10.469999999999999</v>
      </c>
      <c r="H194" s="8">
        <f xml:space="preserve"> (10 * WYNAJEM4[[#This Row],[typ]] * WYNAJEM4[[#This Row],[czas wynajecia domku]])</f>
        <v>480</v>
      </c>
      <c r="I194" s="9">
        <f xml:space="preserve"> WYNAJEM4[[#This Row],[suma energia i woda]] + WYNAJEM4[[#This Row],[czynsz]]</f>
        <v>490.47</v>
      </c>
    </row>
    <row r="195" spans="1:9" x14ac:dyDescent="0.25">
      <c r="A195" s="1">
        <v>41696</v>
      </c>
      <c r="B195" s="1">
        <v>41703</v>
      </c>
      <c r="C195" s="8">
        <v>7.06</v>
      </c>
      <c r="D195" s="8">
        <v>0.19</v>
      </c>
      <c r="E195">
        <v>5</v>
      </c>
      <c r="F195" s="10">
        <f>(WYNAJEM4[[#This Row],[data_wyjazdu]]-WYNAJEM4[[#This Row],[data_przyjazdu]])</f>
        <v>7</v>
      </c>
      <c r="G195" s="9">
        <f xml:space="preserve"> WYNAJEM4[[#This Row],[energia]] + WYNAJEM4[[#This Row],[woda]]</f>
        <v>7.25</v>
      </c>
      <c r="H195" s="8">
        <f xml:space="preserve"> (10 * WYNAJEM4[[#This Row],[typ]] * WYNAJEM4[[#This Row],[czas wynajecia domku]])</f>
        <v>350</v>
      </c>
      <c r="I195" s="9">
        <f xml:space="preserve"> WYNAJEM4[[#This Row],[suma energia i woda]] + WYNAJEM4[[#This Row],[czynsz]]</f>
        <v>357.25</v>
      </c>
    </row>
    <row r="196" spans="1:9" x14ac:dyDescent="0.25">
      <c r="A196" s="1">
        <v>41696</v>
      </c>
      <c r="B196" s="1">
        <v>41716</v>
      </c>
      <c r="C196" s="8">
        <v>5.64</v>
      </c>
      <c r="D196" s="8">
        <v>0.15</v>
      </c>
      <c r="E196">
        <v>6</v>
      </c>
      <c r="F196" s="10">
        <f>(WYNAJEM4[[#This Row],[data_wyjazdu]]-WYNAJEM4[[#This Row],[data_przyjazdu]])</f>
        <v>20</v>
      </c>
      <c r="G196" s="9">
        <f xml:space="preserve"> WYNAJEM4[[#This Row],[energia]] + WYNAJEM4[[#This Row],[woda]]</f>
        <v>5.79</v>
      </c>
      <c r="H196" s="8">
        <f xml:space="preserve"> (10 * WYNAJEM4[[#This Row],[typ]] * WYNAJEM4[[#This Row],[czas wynajecia domku]])</f>
        <v>1200</v>
      </c>
      <c r="I196" s="9">
        <f xml:space="preserve"> WYNAJEM4[[#This Row],[suma energia i woda]] + WYNAJEM4[[#This Row],[czynsz]]</f>
        <v>1205.79</v>
      </c>
    </row>
    <row r="197" spans="1:9" x14ac:dyDescent="0.25">
      <c r="A197" s="1">
        <v>41696</v>
      </c>
      <c r="B197" s="1">
        <v>41721</v>
      </c>
      <c r="C197" s="8">
        <v>9.06</v>
      </c>
      <c r="D197" s="8">
        <v>0.24</v>
      </c>
      <c r="E197">
        <v>4</v>
      </c>
      <c r="F197" s="10">
        <f>(WYNAJEM4[[#This Row],[data_wyjazdu]]-WYNAJEM4[[#This Row],[data_przyjazdu]])</f>
        <v>25</v>
      </c>
      <c r="G197" s="9">
        <f xml:space="preserve"> WYNAJEM4[[#This Row],[energia]] + WYNAJEM4[[#This Row],[woda]]</f>
        <v>9.3000000000000007</v>
      </c>
      <c r="H197" s="8">
        <f xml:space="preserve"> (10 * WYNAJEM4[[#This Row],[typ]] * WYNAJEM4[[#This Row],[czas wynajecia domku]])</f>
        <v>1000</v>
      </c>
      <c r="I197" s="9">
        <f xml:space="preserve"> WYNAJEM4[[#This Row],[suma energia i woda]] + WYNAJEM4[[#This Row],[czynsz]]</f>
        <v>1009.3</v>
      </c>
    </row>
    <row r="198" spans="1:9" x14ac:dyDescent="0.25">
      <c r="A198" s="1">
        <v>41696</v>
      </c>
      <c r="B198" s="1">
        <v>41717</v>
      </c>
      <c r="C198" s="8">
        <v>6.23</v>
      </c>
      <c r="D198" s="8">
        <v>0.16</v>
      </c>
      <c r="E198">
        <v>2</v>
      </c>
      <c r="F198" s="10">
        <f>(WYNAJEM4[[#This Row],[data_wyjazdu]]-WYNAJEM4[[#This Row],[data_przyjazdu]])</f>
        <v>21</v>
      </c>
      <c r="G198" s="9">
        <f xml:space="preserve"> WYNAJEM4[[#This Row],[energia]] + WYNAJEM4[[#This Row],[woda]]</f>
        <v>6.3900000000000006</v>
      </c>
      <c r="H198" s="8">
        <f xml:space="preserve"> (10 * WYNAJEM4[[#This Row],[typ]] * WYNAJEM4[[#This Row],[czas wynajecia domku]])</f>
        <v>420</v>
      </c>
      <c r="I198" s="9">
        <f xml:space="preserve"> WYNAJEM4[[#This Row],[suma energia i woda]] + WYNAJEM4[[#This Row],[czynsz]]</f>
        <v>426.39</v>
      </c>
    </row>
    <row r="199" spans="1:9" x14ac:dyDescent="0.25">
      <c r="A199" s="1">
        <v>41698</v>
      </c>
      <c r="B199" s="1">
        <v>41721</v>
      </c>
      <c r="C199" s="8">
        <v>3.57</v>
      </c>
      <c r="D199" s="8">
        <v>0.09</v>
      </c>
      <c r="E199">
        <v>4</v>
      </c>
      <c r="F199" s="10">
        <f>(WYNAJEM4[[#This Row],[data_wyjazdu]]-WYNAJEM4[[#This Row],[data_przyjazdu]])</f>
        <v>23</v>
      </c>
      <c r="G199" s="9">
        <f xml:space="preserve"> WYNAJEM4[[#This Row],[energia]] + WYNAJEM4[[#This Row],[woda]]</f>
        <v>3.6599999999999997</v>
      </c>
      <c r="H199" s="8">
        <f xml:space="preserve"> (10 * WYNAJEM4[[#This Row],[typ]] * WYNAJEM4[[#This Row],[czas wynajecia domku]])</f>
        <v>920</v>
      </c>
      <c r="I199" s="9">
        <f xml:space="preserve"> WYNAJEM4[[#This Row],[suma energia i woda]] + WYNAJEM4[[#This Row],[czynsz]]</f>
        <v>923.66</v>
      </c>
    </row>
    <row r="200" spans="1:9" x14ac:dyDescent="0.25">
      <c r="A200" s="1">
        <v>41701</v>
      </c>
      <c r="B200" s="1">
        <v>41714</v>
      </c>
      <c r="C200" s="8">
        <v>8.89</v>
      </c>
      <c r="D200" s="8">
        <v>0.23</v>
      </c>
      <c r="E200">
        <v>3</v>
      </c>
      <c r="F200" s="10">
        <f>(WYNAJEM4[[#This Row],[data_wyjazdu]]-WYNAJEM4[[#This Row],[data_przyjazdu]])</f>
        <v>13</v>
      </c>
      <c r="G200" s="9">
        <f xml:space="preserve"> WYNAJEM4[[#This Row],[energia]] + WYNAJEM4[[#This Row],[woda]]</f>
        <v>9.120000000000001</v>
      </c>
      <c r="H200" s="8">
        <f xml:space="preserve"> (10 * WYNAJEM4[[#This Row],[typ]] * WYNAJEM4[[#This Row],[czas wynajecia domku]])</f>
        <v>390</v>
      </c>
      <c r="I200" s="9">
        <f xml:space="preserve"> WYNAJEM4[[#This Row],[suma energia i woda]] + WYNAJEM4[[#This Row],[czynsz]]</f>
        <v>399.12</v>
      </c>
    </row>
    <row r="201" spans="1:9" x14ac:dyDescent="0.25">
      <c r="A201" s="1">
        <v>41701</v>
      </c>
      <c r="B201" s="1">
        <v>41726</v>
      </c>
      <c r="C201" s="8">
        <v>6.34</v>
      </c>
      <c r="D201" s="8">
        <v>0.17</v>
      </c>
      <c r="E201">
        <v>5</v>
      </c>
      <c r="F201" s="10">
        <f>(WYNAJEM4[[#This Row],[data_wyjazdu]]-WYNAJEM4[[#This Row],[data_przyjazdu]])</f>
        <v>25</v>
      </c>
      <c r="G201" s="9">
        <f xml:space="preserve"> WYNAJEM4[[#This Row],[energia]] + WYNAJEM4[[#This Row],[woda]]</f>
        <v>6.51</v>
      </c>
      <c r="H201" s="8">
        <f xml:space="preserve"> (10 * WYNAJEM4[[#This Row],[typ]] * WYNAJEM4[[#This Row],[czas wynajecia domku]])</f>
        <v>1250</v>
      </c>
      <c r="I201" s="9">
        <f xml:space="preserve"> WYNAJEM4[[#This Row],[suma energia i woda]] + WYNAJEM4[[#This Row],[czynsz]]</f>
        <v>1256.51</v>
      </c>
    </row>
    <row r="202" spans="1:9" x14ac:dyDescent="0.25">
      <c r="A202" s="1">
        <v>41701</v>
      </c>
      <c r="B202" s="1">
        <v>41717</v>
      </c>
      <c r="C202" s="8">
        <v>11.69</v>
      </c>
      <c r="D202" s="8">
        <v>0.31</v>
      </c>
      <c r="E202">
        <v>6</v>
      </c>
      <c r="F202" s="10">
        <f>(WYNAJEM4[[#This Row],[data_wyjazdu]]-WYNAJEM4[[#This Row],[data_przyjazdu]])</f>
        <v>16</v>
      </c>
      <c r="G202" s="9">
        <f xml:space="preserve"> WYNAJEM4[[#This Row],[energia]] + WYNAJEM4[[#This Row],[woda]]</f>
        <v>12</v>
      </c>
      <c r="H202" s="8">
        <f xml:space="preserve"> (10 * WYNAJEM4[[#This Row],[typ]] * WYNAJEM4[[#This Row],[czas wynajecia domku]])</f>
        <v>960</v>
      </c>
      <c r="I202" s="9">
        <f xml:space="preserve"> WYNAJEM4[[#This Row],[suma energia i woda]] + WYNAJEM4[[#This Row],[czynsz]]</f>
        <v>972</v>
      </c>
    </row>
    <row r="203" spans="1:9" x14ac:dyDescent="0.25">
      <c r="A203" s="1">
        <v>41701</v>
      </c>
      <c r="B203" s="1">
        <v>41712</v>
      </c>
      <c r="C203" s="8">
        <v>3.79</v>
      </c>
      <c r="D203" s="8">
        <v>0.1</v>
      </c>
      <c r="E203">
        <v>4</v>
      </c>
      <c r="F203" s="10">
        <f>(WYNAJEM4[[#This Row],[data_wyjazdu]]-WYNAJEM4[[#This Row],[data_przyjazdu]])</f>
        <v>11</v>
      </c>
      <c r="G203" s="9">
        <f xml:space="preserve"> WYNAJEM4[[#This Row],[energia]] + WYNAJEM4[[#This Row],[woda]]</f>
        <v>3.89</v>
      </c>
      <c r="H203" s="8">
        <f xml:space="preserve"> (10 * WYNAJEM4[[#This Row],[typ]] * WYNAJEM4[[#This Row],[czas wynajecia domku]])</f>
        <v>440</v>
      </c>
      <c r="I203" s="9">
        <f xml:space="preserve"> WYNAJEM4[[#This Row],[suma energia i woda]] + WYNAJEM4[[#This Row],[czynsz]]</f>
        <v>443.89</v>
      </c>
    </row>
    <row r="204" spans="1:9" x14ac:dyDescent="0.25">
      <c r="A204" s="1">
        <v>41701</v>
      </c>
      <c r="B204" s="1">
        <v>41726</v>
      </c>
      <c r="C204" s="8">
        <v>9.1300000000000008</v>
      </c>
      <c r="D204" s="8">
        <v>0.24</v>
      </c>
      <c r="E204">
        <v>2</v>
      </c>
      <c r="F204" s="10">
        <f>(WYNAJEM4[[#This Row],[data_wyjazdu]]-WYNAJEM4[[#This Row],[data_przyjazdu]])</f>
        <v>25</v>
      </c>
      <c r="G204" s="9">
        <f xml:space="preserve"> WYNAJEM4[[#This Row],[energia]] + WYNAJEM4[[#This Row],[woda]]</f>
        <v>9.370000000000001</v>
      </c>
      <c r="H204" s="8">
        <f xml:space="preserve"> (10 * WYNAJEM4[[#This Row],[typ]] * WYNAJEM4[[#This Row],[czas wynajecia domku]])</f>
        <v>500</v>
      </c>
      <c r="I204" s="9">
        <f xml:space="preserve"> WYNAJEM4[[#This Row],[suma energia i woda]] + WYNAJEM4[[#This Row],[czynsz]]</f>
        <v>509.37</v>
      </c>
    </row>
    <row r="205" spans="1:9" x14ac:dyDescent="0.25">
      <c r="A205" s="1">
        <v>41701</v>
      </c>
      <c r="B205" s="1">
        <v>41722</v>
      </c>
      <c r="C205" s="8">
        <v>5.78</v>
      </c>
      <c r="D205" s="8">
        <v>0.15</v>
      </c>
      <c r="E205">
        <v>6</v>
      </c>
      <c r="F205" s="10">
        <f>(WYNAJEM4[[#This Row],[data_wyjazdu]]-WYNAJEM4[[#This Row],[data_przyjazdu]])</f>
        <v>21</v>
      </c>
      <c r="G205" s="9">
        <f xml:space="preserve"> WYNAJEM4[[#This Row],[energia]] + WYNAJEM4[[#This Row],[woda]]</f>
        <v>5.9300000000000006</v>
      </c>
      <c r="H205" s="8">
        <f xml:space="preserve"> (10 * WYNAJEM4[[#This Row],[typ]] * WYNAJEM4[[#This Row],[czas wynajecia domku]])</f>
        <v>1260</v>
      </c>
      <c r="I205" s="9">
        <f xml:space="preserve"> WYNAJEM4[[#This Row],[suma energia i woda]] + WYNAJEM4[[#This Row],[czynsz]]</f>
        <v>1265.93</v>
      </c>
    </row>
    <row r="206" spans="1:9" x14ac:dyDescent="0.25">
      <c r="A206" s="1">
        <v>41701</v>
      </c>
      <c r="B206" s="1">
        <v>41719</v>
      </c>
      <c r="C206" s="8">
        <v>7.06</v>
      </c>
      <c r="D206" s="8">
        <v>0.19</v>
      </c>
      <c r="E206">
        <v>6</v>
      </c>
      <c r="F206" s="10">
        <f>(WYNAJEM4[[#This Row],[data_wyjazdu]]-WYNAJEM4[[#This Row],[data_przyjazdu]])</f>
        <v>18</v>
      </c>
      <c r="G206" s="9">
        <f xml:space="preserve"> WYNAJEM4[[#This Row],[energia]] + WYNAJEM4[[#This Row],[woda]]</f>
        <v>7.25</v>
      </c>
      <c r="H206" s="8">
        <f xml:space="preserve"> (10 * WYNAJEM4[[#This Row],[typ]] * WYNAJEM4[[#This Row],[czas wynajecia domku]])</f>
        <v>1080</v>
      </c>
      <c r="I206" s="9">
        <f xml:space="preserve"> WYNAJEM4[[#This Row],[suma energia i woda]] + WYNAJEM4[[#This Row],[czynsz]]</f>
        <v>1087.25</v>
      </c>
    </row>
    <row r="207" spans="1:9" x14ac:dyDescent="0.25">
      <c r="A207" s="1">
        <v>41701</v>
      </c>
      <c r="B207" s="1">
        <v>41712</v>
      </c>
      <c r="C207" s="8">
        <v>7.31</v>
      </c>
      <c r="D207" s="8">
        <v>0.19</v>
      </c>
      <c r="E207">
        <v>4</v>
      </c>
      <c r="F207" s="10">
        <f>(WYNAJEM4[[#This Row],[data_wyjazdu]]-WYNAJEM4[[#This Row],[data_przyjazdu]])</f>
        <v>11</v>
      </c>
      <c r="G207" s="9">
        <f xml:space="preserve"> WYNAJEM4[[#This Row],[energia]] + WYNAJEM4[[#This Row],[woda]]</f>
        <v>7.5</v>
      </c>
      <c r="H207" s="8">
        <f xml:space="preserve"> (10 * WYNAJEM4[[#This Row],[typ]] * WYNAJEM4[[#This Row],[czas wynajecia domku]])</f>
        <v>440</v>
      </c>
      <c r="I207" s="9">
        <f xml:space="preserve"> WYNAJEM4[[#This Row],[suma energia i woda]] + WYNAJEM4[[#This Row],[czynsz]]</f>
        <v>447.5</v>
      </c>
    </row>
    <row r="208" spans="1:9" x14ac:dyDescent="0.25">
      <c r="A208" s="1">
        <v>41701</v>
      </c>
      <c r="B208" s="1">
        <v>41711</v>
      </c>
      <c r="C208" s="8">
        <v>8.9499999999999993</v>
      </c>
      <c r="D208" s="8">
        <v>0.24</v>
      </c>
      <c r="E208">
        <v>4</v>
      </c>
      <c r="F208" s="10">
        <f>(WYNAJEM4[[#This Row],[data_wyjazdu]]-WYNAJEM4[[#This Row],[data_przyjazdu]])</f>
        <v>10</v>
      </c>
      <c r="G208" s="9">
        <f xml:space="preserve"> WYNAJEM4[[#This Row],[energia]] + WYNAJEM4[[#This Row],[woda]]</f>
        <v>9.19</v>
      </c>
      <c r="H208" s="8">
        <f xml:space="preserve"> (10 * WYNAJEM4[[#This Row],[typ]] * WYNAJEM4[[#This Row],[czas wynajecia domku]])</f>
        <v>400</v>
      </c>
      <c r="I208" s="9">
        <f xml:space="preserve"> WYNAJEM4[[#This Row],[suma energia i woda]] + WYNAJEM4[[#This Row],[czynsz]]</f>
        <v>409.19</v>
      </c>
    </row>
    <row r="209" spans="1:9" x14ac:dyDescent="0.25">
      <c r="A209" s="1">
        <v>41701</v>
      </c>
      <c r="B209" s="1">
        <v>41719</v>
      </c>
      <c r="C209" s="8">
        <v>2.0099999999999998</v>
      </c>
      <c r="D209" s="8">
        <v>0.05</v>
      </c>
      <c r="E209">
        <v>5</v>
      </c>
      <c r="F209" s="10">
        <f>(WYNAJEM4[[#This Row],[data_wyjazdu]]-WYNAJEM4[[#This Row],[data_przyjazdu]])</f>
        <v>18</v>
      </c>
      <c r="G209" s="9">
        <f xml:space="preserve"> WYNAJEM4[[#This Row],[energia]] + WYNAJEM4[[#This Row],[woda]]</f>
        <v>2.0599999999999996</v>
      </c>
      <c r="H209" s="8">
        <f xml:space="preserve"> (10 * WYNAJEM4[[#This Row],[typ]] * WYNAJEM4[[#This Row],[czas wynajecia domku]])</f>
        <v>900</v>
      </c>
      <c r="I209" s="9">
        <f xml:space="preserve"> WYNAJEM4[[#This Row],[suma energia i woda]] + WYNAJEM4[[#This Row],[czynsz]]</f>
        <v>902.06</v>
      </c>
    </row>
    <row r="210" spans="1:9" x14ac:dyDescent="0.25">
      <c r="A210" s="1">
        <v>41701</v>
      </c>
      <c r="B210" s="1">
        <v>41705</v>
      </c>
      <c r="C210" s="8">
        <v>19.54</v>
      </c>
      <c r="D210" s="8">
        <v>0.51</v>
      </c>
      <c r="E210">
        <v>3</v>
      </c>
      <c r="F210" s="10">
        <f>(WYNAJEM4[[#This Row],[data_wyjazdu]]-WYNAJEM4[[#This Row],[data_przyjazdu]])</f>
        <v>4</v>
      </c>
      <c r="G210" s="9">
        <f xml:space="preserve"> WYNAJEM4[[#This Row],[energia]] + WYNAJEM4[[#This Row],[woda]]</f>
        <v>20.05</v>
      </c>
      <c r="H210" s="8">
        <f xml:space="preserve"> (10 * WYNAJEM4[[#This Row],[typ]] * WYNAJEM4[[#This Row],[czas wynajecia domku]])</f>
        <v>120</v>
      </c>
      <c r="I210" s="9">
        <f xml:space="preserve"> WYNAJEM4[[#This Row],[suma energia i woda]] + WYNAJEM4[[#This Row],[czynsz]]</f>
        <v>140.05000000000001</v>
      </c>
    </row>
    <row r="211" spans="1:9" x14ac:dyDescent="0.25">
      <c r="A211" s="1">
        <v>41701</v>
      </c>
      <c r="B211" s="1">
        <v>41718</v>
      </c>
      <c r="C211" s="8">
        <v>13.02</v>
      </c>
      <c r="D211" s="8">
        <v>0.34</v>
      </c>
      <c r="E211">
        <v>5</v>
      </c>
      <c r="F211" s="10">
        <f>(WYNAJEM4[[#This Row],[data_wyjazdu]]-WYNAJEM4[[#This Row],[data_przyjazdu]])</f>
        <v>17</v>
      </c>
      <c r="G211" s="9">
        <f xml:space="preserve"> WYNAJEM4[[#This Row],[energia]] + WYNAJEM4[[#This Row],[woda]]</f>
        <v>13.36</v>
      </c>
      <c r="H211" s="8">
        <f xml:space="preserve"> (10 * WYNAJEM4[[#This Row],[typ]] * WYNAJEM4[[#This Row],[czas wynajecia domku]])</f>
        <v>850</v>
      </c>
      <c r="I211" s="9">
        <f xml:space="preserve"> WYNAJEM4[[#This Row],[suma energia i woda]] + WYNAJEM4[[#This Row],[czynsz]]</f>
        <v>863.36</v>
      </c>
    </row>
    <row r="212" spans="1:9" x14ac:dyDescent="0.25">
      <c r="A212" s="1">
        <v>41701</v>
      </c>
      <c r="B212" s="1">
        <v>41720</v>
      </c>
      <c r="C212" s="8">
        <v>11.69</v>
      </c>
      <c r="D212" s="8">
        <v>0.31</v>
      </c>
      <c r="E212">
        <v>6</v>
      </c>
      <c r="F212" s="10">
        <f>(WYNAJEM4[[#This Row],[data_wyjazdu]]-WYNAJEM4[[#This Row],[data_przyjazdu]])</f>
        <v>19</v>
      </c>
      <c r="G212" s="9">
        <f xml:space="preserve"> WYNAJEM4[[#This Row],[energia]] + WYNAJEM4[[#This Row],[woda]]</f>
        <v>12</v>
      </c>
      <c r="H212" s="8">
        <f xml:space="preserve"> (10 * WYNAJEM4[[#This Row],[typ]] * WYNAJEM4[[#This Row],[czas wynajecia domku]])</f>
        <v>1140</v>
      </c>
      <c r="I212" s="9">
        <f xml:space="preserve"> WYNAJEM4[[#This Row],[suma energia i woda]] + WYNAJEM4[[#This Row],[czynsz]]</f>
        <v>1152</v>
      </c>
    </row>
    <row r="213" spans="1:9" x14ac:dyDescent="0.25">
      <c r="A213" s="1">
        <v>41701</v>
      </c>
      <c r="B213" s="1">
        <v>41729</v>
      </c>
      <c r="C213" s="8">
        <v>13.02</v>
      </c>
      <c r="D213" s="8">
        <v>0.34</v>
      </c>
      <c r="E213">
        <v>2</v>
      </c>
      <c r="F213" s="10">
        <f>(WYNAJEM4[[#This Row],[data_wyjazdu]]-WYNAJEM4[[#This Row],[data_przyjazdu]])</f>
        <v>28</v>
      </c>
      <c r="G213" s="9">
        <f xml:space="preserve"> WYNAJEM4[[#This Row],[energia]] + WYNAJEM4[[#This Row],[woda]]</f>
        <v>13.36</v>
      </c>
      <c r="H213" s="8">
        <f xml:space="preserve"> (10 * WYNAJEM4[[#This Row],[typ]] * WYNAJEM4[[#This Row],[czas wynajecia domku]])</f>
        <v>560</v>
      </c>
      <c r="I213" s="9">
        <f xml:space="preserve"> WYNAJEM4[[#This Row],[suma energia i woda]] + WYNAJEM4[[#This Row],[czynsz]]</f>
        <v>573.36</v>
      </c>
    </row>
    <row r="214" spans="1:9" x14ac:dyDescent="0.25">
      <c r="A214" s="1">
        <v>41701</v>
      </c>
      <c r="B214" s="1">
        <v>41713</v>
      </c>
      <c r="C214" s="8">
        <v>3.57</v>
      </c>
      <c r="D214" s="8">
        <v>0.09</v>
      </c>
      <c r="E214">
        <v>3</v>
      </c>
      <c r="F214" s="10">
        <f>(WYNAJEM4[[#This Row],[data_wyjazdu]]-WYNAJEM4[[#This Row],[data_przyjazdu]])</f>
        <v>12</v>
      </c>
      <c r="G214" s="9">
        <f xml:space="preserve"> WYNAJEM4[[#This Row],[energia]] + WYNAJEM4[[#This Row],[woda]]</f>
        <v>3.6599999999999997</v>
      </c>
      <c r="H214" s="8">
        <f xml:space="preserve"> (10 * WYNAJEM4[[#This Row],[typ]] * WYNAJEM4[[#This Row],[czas wynajecia domku]])</f>
        <v>360</v>
      </c>
      <c r="I214" s="9">
        <f xml:space="preserve"> WYNAJEM4[[#This Row],[suma energia i woda]] + WYNAJEM4[[#This Row],[czynsz]]</f>
        <v>363.66</v>
      </c>
    </row>
    <row r="215" spans="1:9" x14ac:dyDescent="0.25">
      <c r="A215" s="1">
        <v>41701</v>
      </c>
      <c r="B215" s="1">
        <v>41708</v>
      </c>
      <c r="C215" s="8">
        <v>7.06</v>
      </c>
      <c r="D215" s="8">
        <v>0.19</v>
      </c>
      <c r="E215">
        <v>3</v>
      </c>
      <c r="F215" s="10">
        <f>(WYNAJEM4[[#This Row],[data_wyjazdu]]-WYNAJEM4[[#This Row],[data_przyjazdu]])</f>
        <v>7</v>
      </c>
      <c r="G215" s="9">
        <f xml:space="preserve"> WYNAJEM4[[#This Row],[energia]] + WYNAJEM4[[#This Row],[woda]]</f>
        <v>7.25</v>
      </c>
      <c r="H215" s="8">
        <f xml:space="preserve"> (10 * WYNAJEM4[[#This Row],[typ]] * WYNAJEM4[[#This Row],[czas wynajecia domku]])</f>
        <v>210</v>
      </c>
      <c r="I215" s="9">
        <f xml:space="preserve"> WYNAJEM4[[#This Row],[suma energia i woda]] + WYNAJEM4[[#This Row],[czynsz]]</f>
        <v>217.25</v>
      </c>
    </row>
    <row r="216" spans="1:9" x14ac:dyDescent="0.25">
      <c r="A216" s="1">
        <v>41704</v>
      </c>
      <c r="B216" s="1">
        <v>41717</v>
      </c>
      <c r="C216" s="8">
        <v>6.34</v>
      </c>
      <c r="D216" s="8">
        <v>0.17</v>
      </c>
      <c r="E216">
        <v>3</v>
      </c>
      <c r="F216" s="10">
        <f>(WYNAJEM4[[#This Row],[data_wyjazdu]]-WYNAJEM4[[#This Row],[data_przyjazdu]])</f>
        <v>13</v>
      </c>
      <c r="G216" s="9">
        <f xml:space="preserve"> WYNAJEM4[[#This Row],[energia]] + WYNAJEM4[[#This Row],[woda]]</f>
        <v>6.51</v>
      </c>
      <c r="H216" s="8">
        <f xml:space="preserve"> (10 * WYNAJEM4[[#This Row],[typ]] * WYNAJEM4[[#This Row],[czas wynajecia domku]])</f>
        <v>390</v>
      </c>
      <c r="I216" s="9">
        <f xml:space="preserve"> WYNAJEM4[[#This Row],[suma energia i woda]] + WYNAJEM4[[#This Row],[czynsz]]</f>
        <v>396.51</v>
      </c>
    </row>
    <row r="217" spans="1:9" x14ac:dyDescent="0.25">
      <c r="A217" s="1">
        <v>41704</v>
      </c>
      <c r="B217" s="1">
        <v>41718</v>
      </c>
      <c r="C217" s="8">
        <v>2.72</v>
      </c>
      <c r="D217" s="8">
        <v>7.0000000000000007E-2</v>
      </c>
      <c r="E217">
        <v>2</v>
      </c>
      <c r="F217" s="10">
        <f>(WYNAJEM4[[#This Row],[data_wyjazdu]]-WYNAJEM4[[#This Row],[data_przyjazdu]])</f>
        <v>14</v>
      </c>
      <c r="G217" s="9">
        <f xml:space="preserve"> WYNAJEM4[[#This Row],[energia]] + WYNAJEM4[[#This Row],[woda]]</f>
        <v>2.79</v>
      </c>
      <c r="H217" s="8">
        <f xml:space="preserve"> (10 * WYNAJEM4[[#This Row],[typ]] * WYNAJEM4[[#This Row],[czas wynajecia domku]])</f>
        <v>280</v>
      </c>
      <c r="I217" s="9">
        <f xml:space="preserve"> WYNAJEM4[[#This Row],[suma energia i woda]] + WYNAJEM4[[#This Row],[czynsz]]</f>
        <v>282.79000000000002</v>
      </c>
    </row>
    <row r="218" spans="1:9" x14ac:dyDescent="0.25">
      <c r="A218" s="1">
        <v>41705</v>
      </c>
      <c r="B218" s="1">
        <v>41710</v>
      </c>
      <c r="C218" s="8">
        <v>3.73</v>
      </c>
      <c r="D218" s="8">
        <v>0.1</v>
      </c>
      <c r="E218">
        <v>5</v>
      </c>
      <c r="F218" s="10">
        <f>(WYNAJEM4[[#This Row],[data_wyjazdu]]-WYNAJEM4[[#This Row],[data_przyjazdu]])</f>
        <v>5</v>
      </c>
      <c r="G218" s="9">
        <f xml:space="preserve"> WYNAJEM4[[#This Row],[energia]] + WYNAJEM4[[#This Row],[woda]]</f>
        <v>3.83</v>
      </c>
      <c r="H218" s="8">
        <f xml:space="preserve"> (10 * WYNAJEM4[[#This Row],[typ]] * WYNAJEM4[[#This Row],[czas wynajecia domku]])</f>
        <v>250</v>
      </c>
      <c r="I218" s="9">
        <f xml:space="preserve"> WYNAJEM4[[#This Row],[suma energia i woda]] + WYNAJEM4[[#This Row],[czynsz]]</f>
        <v>253.83</v>
      </c>
    </row>
    <row r="219" spans="1:9" x14ac:dyDescent="0.25">
      <c r="A219" s="1">
        <v>41707</v>
      </c>
      <c r="B219" s="1">
        <v>41719</v>
      </c>
      <c r="C219" s="8">
        <v>10.59</v>
      </c>
      <c r="D219" s="8">
        <v>0.28000000000000003</v>
      </c>
      <c r="E219">
        <v>6</v>
      </c>
      <c r="F219" s="10">
        <f>(WYNAJEM4[[#This Row],[data_wyjazdu]]-WYNAJEM4[[#This Row],[data_przyjazdu]])</f>
        <v>12</v>
      </c>
      <c r="G219" s="9">
        <f xml:space="preserve"> WYNAJEM4[[#This Row],[energia]] + WYNAJEM4[[#This Row],[woda]]</f>
        <v>10.87</v>
      </c>
      <c r="H219" s="8">
        <f xml:space="preserve"> (10 * WYNAJEM4[[#This Row],[typ]] * WYNAJEM4[[#This Row],[czas wynajecia domku]])</f>
        <v>720</v>
      </c>
      <c r="I219" s="9">
        <f xml:space="preserve"> WYNAJEM4[[#This Row],[suma energia i woda]] + WYNAJEM4[[#This Row],[czynsz]]</f>
        <v>730.87</v>
      </c>
    </row>
    <row r="220" spans="1:9" x14ac:dyDescent="0.25">
      <c r="A220" s="1">
        <v>41708</v>
      </c>
      <c r="B220" s="1">
        <v>41733</v>
      </c>
      <c r="C220" s="8">
        <v>3.73</v>
      </c>
      <c r="D220" s="8">
        <v>0.1</v>
      </c>
      <c r="E220">
        <v>5</v>
      </c>
      <c r="F220" s="10">
        <f>(WYNAJEM4[[#This Row],[data_wyjazdu]]-WYNAJEM4[[#This Row],[data_przyjazdu]])</f>
        <v>25</v>
      </c>
      <c r="G220" s="9">
        <f xml:space="preserve"> WYNAJEM4[[#This Row],[energia]] + WYNAJEM4[[#This Row],[woda]]</f>
        <v>3.83</v>
      </c>
      <c r="H220" s="8">
        <f xml:space="preserve"> (10 * WYNAJEM4[[#This Row],[typ]] * WYNAJEM4[[#This Row],[czas wynajecia domku]])</f>
        <v>1250</v>
      </c>
      <c r="I220" s="9">
        <f xml:space="preserve"> WYNAJEM4[[#This Row],[suma energia i woda]] + WYNAJEM4[[#This Row],[czynsz]]</f>
        <v>1253.83</v>
      </c>
    </row>
    <row r="221" spans="1:9" x14ac:dyDescent="0.25">
      <c r="A221" s="1">
        <v>41708</v>
      </c>
      <c r="B221" s="1">
        <v>41720</v>
      </c>
      <c r="C221" s="8">
        <v>5.78</v>
      </c>
      <c r="D221" s="8">
        <v>0.15</v>
      </c>
      <c r="E221">
        <v>2</v>
      </c>
      <c r="F221" s="10">
        <f>(WYNAJEM4[[#This Row],[data_wyjazdu]]-WYNAJEM4[[#This Row],[data_przyjazdu]])</f>
        <v>12</v>
      </c>
      <c r="G221" s="9">
        <f xml:space="preserve"> WYNAJEM4[[#This Row],[energia]] + WYNAJEM4[[#This Row],[woda]]</f>
        <v>5.9300000000000006</v>
      </c>
      <c r="H221" s="8">
        <f xml:space="preserve"> (10 * WYNAJEM4[[#This Row],[typ]] * WYNAJEM4[[#This Row],[czas wynajecia domku]])</f>
        <v>240</v>
      </c>
      <c r="I221" s="9">
        <f xml:space="preserve"> WYNAJEM4[[#This Row],[suma energia i woda]] + WYNAJEM4[[#This Row],[czynsz]]</f>
        <v>245.93</v>
      </c>
    </row>
    <row r="222" spans="1:9" x14ac:dyDescent="0.25">
      <c r="A222" s="1">
        <v>41708</v>
      </c>
      <c r="B222" s="1">
        <v>41720</v>
      </c>
      <c r="C222" s="8">
        <v>10.79</v>
      </c>
      <c r="D222" s="8">
        <v>0.28000000000000003</v>
      </c>
      <c r="E222">
        <v>2</v>
      </c>
      <c r="F222" s="10">
        <f>(WYNAJEM4[[#This Row],[data_wyjazdu]]-WYNAJEM4[[#This Row],[data_przyjazdu]])</f>
        <v>12</v>
      </c>
      <c r="G222" s="9">
        <f xml:space="preserve"> WYNAJEM4[[#This Row],[energia]] + WYNAJEM4[[#This Row],[woda]]</f>
        <v>11.069999999999999</v>
      </c>
      <c r="H222" s="8">
        <f xml:space="preserve"> (10 * WYNAJEM4[[#This Row],[typ]] * WYNAJEM4[[#This Row],[czas wynajecia domku]])</f>
        <v>240</v>
      </c>
      <c r="I222" s="9">
        <f xml:space="preserve"> WYNAJEM4[[#This Row],[suma energia i woda]] + WYNAJEM4[[#This Row],[czynsz]]</f>
        <v>251.07</v>
      </c>
    </row>
    <row r="223" spans="1:9" x14ac:dyDescent="0.25">
      <c r="A223" s="1">
        <v>41708</v>
      </c>
      <c r="B223" s="1">
        <v>41726</v>
      </c>
      <c r="C223" s="8">
        <v>5.47</v>
      </c>
      <c r="D223" s="8">
        <v>0.14000000000000001</v>
      </c>
      <c r="E223">
        <v>4</v>
      </c>
      <c r="F223" s="10">
        <f>(WYNAJEM4[[#This Row],[data_wyjazdu]]-WYNAJEM4[[#This Row],[data_przyjazdu]])</f>
        <v>18</v>
      </c>
      <c r="G223" s="9">
        <f xml:space="preserve"> WYNAJEM4[[#This Row],[energia]] + WYNAJEM4[[#This Row],[woda]]</f>
        <v>5.6099999999999994</v>
      </c>
      <c r="H223" s="8">
        <f xml:space="preserve"> (10 * WYNAJEM4[[#This Row],[typ]] * WYNAJEM4[[#This Row],[czas wynajecia domku]])</f>
        <v>720</v>
      </c>
      <c r="I223" s="9">
        <f xml:space="preserve"> WYNAJEM4[[#This Row],[suma energia i woda]] + WYNAJEM4[[#This Row],[czynsz]]</f>
        <v>725.61</v>
      </c>
    </row>
    <row r="224" spans="1:9" x14ac:dyDescent="0.25">
      <c r="A224" s="1">
        <v>41708</v>
      </c>
      <c r="B224" s="1">
        <v>41720</v>
      </c>
      <c r="C224" s="8">
        <v>5.57</v>
      </c>
      <c r="D224" s="8">
        <v>0.15</v>
      </c>
      <c r="E224">
        <v>2</v>
      </c>
      <c r="F224" s="10">
        <f>(WYNAJEM4[[#This Row],[data_wyjazdu]]-WYNAJEM4[[#This Row],[data_przyjazdu]])</f>
        <v>12</v>
      </c>
      <c r="G224" s="9">
        <f xml:space="preserve"> WYNAJEM4[[#This Row],[energia]] + WYNAJEM4[[#This Row],[woda]]</f>
        <v>5.7200000000000006</v>
      </c>
      <c r="H224" s="8">
        <f xml:space="preserve"> (10 * WYNAJEM4[[#This Row],[typ]] * WYNAJEM4[[#This Row],[czas wynajecia domku]])</f>
        <v>240</v>
      </c>
      <c r="I224" s="9">
        <f xml:space="preserve"> WYNAJEM4[[#This Row],[suma energia i woda]] + WYNAJEM4[[#This Row],[czynsz]]</f>
        <v>245.72</v>
      </c>
    </row>
    <row r="225" spans="1:9" x14ac:dyDescent="0.25">
      <c r="A225" s="1">
        <v>41709</v>
      </c>
      <c r="B225" s="1">
        <v>41736</v>
      </c>
      <c r="C225" s="8">
        <v>4.66</v>
      </c>
      <c r="D225" s="8">
        <v>0.12</v>
      </c>
      <c r="E225">
        <v>5</v>
      </c>
      <c r="F225" s="10">
        <f>(WYNAJEM4[[#This Row],[data_wyjazdu]]-WYNAJEM4[[#This Row],[data_przyjazdu]])</f>
        <v>27</v>
      </c>
      <c r="G225" s="9">
        <f xml:space="preserve"> WYNAJEM4[[#This Row],[energia]] + WYNAJEM4[[#This Row],[woda]]</f>
        <v>4.78</v>
      </c>
      <c r="H225" s="8">
        <f xml:space="preserve"> (10 * WYNAJEM4[[#This Row],[typ]] * WYNAJEM4[[#This Row],[czas wynajecia domku]])</f>
        <v>1350</v>
      </c>
      <c r="I225" s="9">
        <f xml:space="preserve"> WYNAJEM4[[#This Row],[suma energia i woda]] + WYNAJEM4[[#This Row],[czynsz]]</f>
        <v>1354.78</v>
      </c>
    </row>
    <row r="226" spans="1:9" x14ac:dyDescent="0.25">
      <c r="A226" s="1">
        <v>41709</v>
      </c>
      <c r="B226" s="1">
        <v>41731</v>
      </c>
      <c r="C226" s="8">
        <v>8.9499999999999993</v>
      </c>
      <c r="D226" s="8">
        <v>0.24</v>
      </c>
      <c r="E226">
        <v>4</v>
      </c>
      <c r="F226" s="10">
        <f>(WYNAJEM4[[#This Row],[data_wyjazdu]]-WYNAJEM4[[#This Row],[data_przyjazdu]])</f>
        <v>22</v>
      </c>
      <c r="G226" s="9">
        <f xml:space="preserve"> WYNAJEM4[[#This Row],[energia]] + WYNAJEM4[[#This Row],[woda]]</f>
        <v>9.19</v>
      </c>
      <c r="H226" s="8">
        <f xml:space="preserve"> (10 * WYNAJEM4[[#This Row],[typ]] * WYNAJEM4[[#This Row],[czas wynajecia domku]])</f>
        <v>880</v>
      </c>
      <c r="I226" s="9">
        <f xml:space="preserve"> WYNAJEM4[[#This Row],[suma energia i woda]] + WYNAJEM4[[#This Row],[czynsz]]</f>
        <v>889.19</v>
      </c>
    </row>
    <row r="227" spans="1:9" x14ac:dyDescent="0.25">
      <c r="A227" s="1">
        <v>41710</v>
      </c>
      <c r="B227" s="1">
        <v>41719</v>
      </c>
      <c r="C227" s="8">
        <v>3.94</v>
      </c>
      <c r="D227" s="8">
        <v>0.1</v>
      </c>
      <c r="E227">
        <v>3</v>
      </c>
      <c r="F227" s="10">
        <f>(WYNAJEM4[[#This Row],[data_wyjazdu]]-WYNAJEM4[[#This Row],[data_przyjazdu]])</f>
        <v>9</v>
      </c>
      <c r="G227" s="9">
        <f xml:space="preserve"> WYNAJEM4[[#This Row],[energia]] + WYNAJEM4[[#This Row],[woda]]</f>
        <v>4.04</v>
      </c>
      <c r="H227" s="8">
        <f xml:space="preserve"> (10 * WYNAJEM4[[#This Row],[typ]] * WYNAJEM4[[#This Row],[czas wynajecia domku]])</f>
        <v>270</v>
      </c>
      <c r="I227" s="9">
        <f xml:space="preserve"> WYNAJEM4[[#This Row],[suma energia i woda]] + WYNAJEM4[[#This Row],[czynsz]]</f>
        <v>274.04000000000002</v>
      </c>
    </row>
    <row r="228" spans="1:9" x14ac:dyDescent="0.25">
      <c r="A228" s="1">
        <v>41713</v>
      </c>
      <c r="B228" s="1">
        <v>41724</v>
      </c>
      <c r="C228" s="8">
        <v>5.78</v>
      </c>
      <c r="D228" s="8">
        <v>0.15</v>
      </c>
      <c r="E228">
        <v>6</v>
      </c>
      <c r="F228" s="10">
        <f>(WYNAJEM4[[#This Row],[data_wyjazdu]]-WYNAJEM4[[#This Row],[data_przyjazdu]])</f>
        <v>11</v>
      </c>
      <c r="G228" s="9">
        <f xml:space="preserve"> WYNAJEM4[[#This Row],[energia]] + WYNAJEM4[[#This Row],[woda]]</f>
        <v>5.9300000000000006</v>
      </c>
      <c r="H228" s="8">
        <f xml:space="preserve"> (10 * WYNAJEM4[[#This Row],[typ]] * WYNAJEM4[[#This Row],[czas wynajecia domku]])</f>
        <v>660</v>
      </c>
      <c r="I228" s="9">
        <f xml:space="preserve"> WYNAJEM4[[#This Row],[suma energia i woda]] + WYNAJEM4[[#This Row],[czynsz]]</f>
        <v>665.93</v>
      </c>
    </row>
    <row r="229" spans="1:9" x14ac:dyDescent="0.25">
      <c r="A229" s="1">
        <v>41713</v>
      </c>
      <c r="B229" s="1">
        <v>41735</v>
      </c>
      <c r="C229" s="8">
        <v>13.81</v>
      </c>
      <c r="D229" s="8">
        <v>0.36</v>
      </c>
      <c r="E229">
        <v>2</v>
      </c>
      <c r="F229" s="10">
        <f>(WYNAJEM4[[#This Row],[data_wyjazdu]]-WYNAJEM4[[#This Row],[data_przyjazdu]])</f>
        <v>22</v>
      </c>
      <c r="G229" s="9">
        <f xml:space="preserve"> WYNAJEM4[[#This Row],[energia]] + WYNAJEM4[[#This Row],[woda]]</f>
        <v>14.17</v>
      </c>
      <c r="H229" s="8">
        <f xml:space="preserve"> (10 * WYNAJEM4[[#This Row],[typ]] * WYNAJEM4[[#This Row],[czas wynajecia domku]])</f>
        <v>440</v>
      </c>
      <c r="I229" s="9">
        <f xml:space="preserve"> WYNAJEM4[[#This Row],[suma energia i woda]] + WYNAJEM4[[#This Row],[czynsz]]</f>
        <v>454.17</v>
      </c>
    </row>
    <row r="230" spans="1:9" x14ac:dyDescent="0.25">
      <c r="A230" s="1">
        <v>41713</v>
      </c>
      <c r="B230" s="1">
        <v>41739</v>
      </c>
      <c r="C230" s="8">
        <v>5.23</v>
      </c>
      <c r="D230" s="8">
        <v>0.14000000000000001</v>
      </c>
      <c r="E230">
        <v>6</v>
      </c>
      <c r="F230" s="10">
        <f>(WYNAJEM4[[#This Row],[data_wyjazdu]]-WYNAJEM4[[#This Row],[data_przyjazdu]])</f>
        <v>26</v>
      </c>
      <c r="G230" s="9">
        <f xml:space="preserve"> WYNAJEM4[[#This Row],[energia]] + WYNAJEM4[[#This Row],[woda]]</f>
        <v>5.37</v>
      </c>
      <c r="H230" s="8">
        <f xml:space="preserve"> (10 * WYNAJEM4[[#This Row],[typ]] * WYNAJEM4[[#This Row],[czas wynajecia domku]])</f>
        <v>1560</v>
      </c>
      <c r="I230" s="9">
        <f xml:space="preserve"> WYNAJEM4[[#This Row],[suma energia i woda]] + WYNAJEM4[[#This Row],[czynsz]]</f>
        <v>1565.37</v>
      </c>
    </row>
    <row r="231" spans="1:9" x14ac:dyDescent="0.25">
      <c r="A231" s="1">
        <v>41713</v>
      </c>
      <c r="B231" s="1">
        <v>41728</v>
      </c>
      <c r="C231" s="8">
        <v>10.93</v>
      </c>
      <c r="D231" s="8">
        <v>0.28999999999999998</v>
      </c>
      <c r="E231">
        <v>6</v>
      </c>
      <c r="F231" s="10">
        <f>(WYNAJEM4[[#This Row],[data_wyjazdu]]-WYNAJEM4[[#This Row],[data_przyjazdu]])</f>
        <v>15</v>
      </c>
      <c r="G231" s="9">
        <f xml:space="preserve"> WYNAJEM4[[#This Row],[energia]] + WYNAJEM4[[#This Row],[woda]]</f>
        <v>11.219999999999999</v>
      </c>
      <c r="H231" s="8">
        <f xml:space="preserve"> (10 * WYNAJEM4[[#This Row],[typ]] * WYNAJEM4[[#This Row],[czas wynajecia domku]])</f>
        <v>900</v>
      </c>
      <c r="I231" s="9">
        <f xml:space="preserve"> WYNAJEM4[[#This Row],[suma energia i woda]] + WYNAJEM4[[#This Row],[czynsz]]</f>
        <v>911.22</v>
      </c>
    </row>
    <row r="232" spans="1:9" x14ac:dyDescent="0.25">
      <c r="A232" s="1">
        <v>41713</v>
      </c>
      <c r="B232" s="1">
        <v>41731</v>
      </c>
      <c r="C232" s="8">
        <v>8.9499999999999993</v>
      </c>
      <c r="D232" s="8">
        <v>0.24</v>
      </c>
      <c r="E232">
        <v>4</v>
      </c>
      <c r="F232" s="10">
        <f>(WYNAJEM4[[#This Row],[data_wyjazdu]]-WYNAJEM4[[#This Row],[data_przyjazdu]])</f>
        <v>18</v>
      </c>
      <c r="G232" s="9">
        <f xml:space="preserve"> WYNAJEM4[[#This Row],[energia]] + WYNAJEM4[[#This Row],[woda]]</f>
        <v>9.19</v>
      </c>
      <c r="H232" s="8">
        <f xml:space="preserve"> (10 * WYNAJEM4[[#This Row],[typ]] * WYNAJEM4[[#This Row],[czas wynajecia domku]])</f>
        <v>720</v>
      </c>
      <c r="I232" s="9">
        <f xml:space="preserve"> WYNAJEM4[[#This Row],[suma energia i woda]] + WYNAJEM4[[#This Row],[czynsz]]</f>
        <v>729.19</v>
      </c>
    </row>
    <row r="233" spans="1:9" x14ac:dyDescent="0.25">
      <c r="A233" s="1">
        <v>41713</v>
      </c>
      <c r="B233" s="1">
        <v>41731</v>
      </c>
      <c r="C233" s="8">
        <v>16.829999999999998</v>
      </c>
      <c r="D233" s="8">
        <v>0.44</v>
      </c>
      <c r="E233">
        <v>3</v>
      </c>
      <c r="F233" s="10">
        <f>(WYNAJEM4[[#This Row],[data_wyjazdu]]-WYNAJEM4[[#This Row],[data_przyjazdu]])</f>
        <v>18</v>
      </c>
      <c r="G233" s="9">
        <f xml:space="preserve"> WYNAJEM4[[#This Row],[energia]] + WYNAJEM4[[#This Row],[woda]]</f>
        <v>17.27</v>
      </c>
      <c r="H233" s="8">
        <f xml:space="preserve"> (10 * WYNAJEM4[[#This Row],[typ]] * WYNAJEM4[[#This Row],[czas wynajecia domku]])</f>
        <v>540</v>
      </c>
      <c r="I233" s="9">
        <f xml:space="preserve"> WYNAJEM4[[#This Row],[suma energia i woda]] + WYNAJEM4[[#This Row],[czynsz]]</f>
        <v>557.27</v>
      </c>
    </row>
    <row r="234" spans="1:9" x14ac:dyDescent="0.25">
      <c r="A234" s="1">
        <v>41713</v>
      </c>
      <c r="B234" s="1">
        <v>41718</v>
      </c>
      <c r="C234" s="8">
        <v>14</v>
      </c>
      <c r="D234" s="8">
        <v>0.37</v>
      </c>
      <c r="E234">
        <v>2</v>
      </c>
      <c r="F234" s="10">
        <f>(WYNAJEM4[[#This Row],[data_wyjazdu]]-WYNAJEM4[[#This Row],[data_przyjazdu]])</f>
        <v>5</v>
      </c>
      <c r="G234" s="9">
        <f xml:space="preserve"> WYNAJEM4[[#This Row],[energia]] + WYNAJEM4[[#This Row],[woda]]</f>
        <v>14.37</v>
      </c>
      <c r="H234" s="8">
        <f xml:space="preserve"> (10 * WYNAJEM4[[#This Row],[typ]] * WYNAJEM4[[#This Row],[czas wynajecia domku]])</f>
        <v>100</v>
      </c>
      <c r="I234" s="9">
        <f xml:space="preserve"> WYNAJEM4[[#This Row],[suma energia i woda]] + WYNAJEM4[[#This Row],[czynsz]]</f>
        <v>114.37</v>
      </c>
    </row>
    <row r="235" spans="1:9" x14ac:dyDescent="0.25">
      <c r="A235" s="1">
        <v>41713</v>
      </c>
      <c r="B235" s="1">
        <v>41735</v>
      </c>
      <c r="C235" s="8">
        <v>5.23</v>
      </c>
      <c r="D235" s="8">
        <v>0.14000000000000001</v>
      </c>
      <c r="E235">
        <v>6</v>
      </c>
      <c r="F235" s="10">
        <f>(WYNAJEM4[[#This Row],[data_wyjazdu]]-WYNAJEM4[[#This Row],[data_przyjazdu]])</f>
        <v>22</v>
      </c>
      <c r="G235" s="9">
        <f xml:space="preserve"> WYNAJEM4[[#This Row],[energia]] + WYNAJEM4[[#This Row],[woda]]</f>
        <v>5.37</v>
      </c>
      <c r="H235" s="8">
        <f xml:space="preserve"> (10 * WYNAJEM4[[#This Row],[typ]] * WYNAJEM4[[#This Row],[czas wynajecia domku]])</f>
        <v>1320</v>
      </c>
      <c r="I235" s="9">
        <f xml:space="preserve"> WYNAJEM4[[#This Row],[suma energia i woda]] + WYNAJEM4[[#This Row],[czynsz]]</f>
        <v>1325.37</v>
      </c>
    </row>
    <row r="236" spans="1:9" x14ac:dyDescent="0.25">
      <c r="A236" s="1">
        <v>41713</v>
      </c>
      <c r="B236" s="1">
        <v>41724</v>
      </c>
      <c r="C236" s="8">
        <v>16.55</v>
      </c>
      <c r="D236" s="8">
        <v>0.44</v>
      </c>
      <c r="E236">
        <v>6</v>
      </c>
      <c r="F236" s="10">
        <f>(WYNAJEM4[[#This Row],[data_wyjazdu]]-WYNAJEM4[[#This Row],[data_przyjazdu]])</f>
        <v>11</v>
      </c>
      <c r="G236" s="9">
        <f xml:space="preserve"> WYNAJEM4[[#This Row],[energia]] + WYNAJEM4[[#This Row],[woda]]</f>
        <v>16.990000000000002</v>
      </c>
      <c r="H236" s="8">
        <f xml:space="preserve"> (10 * WYNAJEM4[[#This Row],[typ]] * WYNAJEM4[[#This Row],[czas wynajecia domku]])</f>
        <v>660</v>
      </c>
      <c r="I236" s="9">
        <f xml:space="preserve"> WYNAJEM4[[#This Row],[suma energia i woda]] + WYNAJEM4[[#This Row],[czynsz]]</f>
        <v>676.99</v>
      </c>
    </row>
    <row r="237" spans="1:9" x14ac:dyDescent="0.25">
      <c r="A237" s="1">
        <v>41713</v>
      </c>
      <c r="B237" s="1">
        <v>41724</v>
      </c>
      <c r="C237" s="8">
        <v>12.23</v>
      </c>
      <c r="D237" s="8">
        <v>0.32</v>
      </c>
      <c r="E237">
        <v>3</v>
      </c>
      <c r="F237" s="10">
        <f>(WYNAJEM4[[#This Row],[data_wyjazdu]]-WYNAJEM4[[#This Row],[data_przyjazdu]])</f>
        <v>11</v>
      </c>
      <c r="G237" s="9">
        <f xml:space="preserve"> WYNAJEM4[[#This Row],[energia]] + WYNAJEM4[[#This Row],[woda]]</f>
        <v>12.55</v>
      </c>
      <c r="H237" s="8">
        <f xml:space="preserve"> (10 * WYNAJEM4[[#This Row],[typ]] * WYNAJEM4[[#This Row],[czas wynajecia domku]])</f>
        <v>330</v>
      </c>
      <c r="I237" s="9">
        <f xml:space="preserve"> WYNAJEM4[[#This Row],[suma energia i woda]] + WYNAJEM4[[#This Row],[czynsz]]</f>
        <v>342.55</v>
      </c>
    </row>
    <row r="238" spans="1:9" x14ac:dyDescent="0.25">
      <c r="A238" s="1">
        <v>41713</v>
      </c>
      <c r="B238" s="1">
        <v>41720</v>
      </c>
      <c r="C238" s="8">
        <v>8.39</v>
      </c>
      <c r="D238" s="8">
        <v>0.22</v>
      </c>
      <c r="E238">
        <v>2</v>
      </c>
      <c r="F238" s="10">
        <f>(WYNAJEM4[[#This Row],[data_wyjazdu]]-WYNAJEM4[[#This Row],[data_przyjazdu]])</f>
        <v>7</v>
      </c>
      <c r="G238" s="9">
        <f xml:space="preserve"> WYNAJEM4[[#This Row],[energia]] + WYNAJEM4[[#This Row],[woda]]</f>
        <v>8.6100000000000012</v>
      </c>
      <c r="H238" s="8">
        <f xml:space="preserve"> (10 * WYNAJEM4[[#This Row],[typ]] * WYNAJEM4[[#This Row],[czas wynajecia domku]])</f>
        <v>140</v>
      </c>
      <c r="I238" s="9">
        <f xml:space="preserve"> WYNAJEM4[[#This Row],[suma energia i woda]] + WYNAJEM4[[#This Row],[czynsz]]</f>
        <v>148.61000000000001</v>
      </c>
    </row>
    <row r="239" spans="1:9" x14ac:dyDescent="0.25">
      <c r="A239" s="1">
        <v>41713</v>
      </c>
      <c r="B239" s="1">
        <v>41721</v>
      </c>
      <c r="C239" s="8">
        <v>5.67</v>
      </c>
      <c r="D239" s="8">
        <v>0.15</v>
      </c>
      <c r="E239">
        <v>5</v>
      </c>
      <c r="F239" s="10">
        <f>(WYNAJEM4[[#This Row],[data_wyjazdu]]-WYNAJEM4[[#This Row],[data_przyjazdu]])</f>
        <v>8</v>
      </c>
      <c r="G239" s="9">
        <f xml:space="preserve"> WYNAJEM4[[#This Row],[energia]] + WYNAJEM4[[#This Row],[woda]]</f>
        <v>5.82</v>
      </c>
      <c r="H239" s="8">
        <f xml:space="preserve"> (10 * WYNAJEM4[[#This Row],[typ]] * WYNAJEM4[[#This Row],[czas wynajecia domku]])</f>
        <v>400</v>
      </c>
      <c r="I239" s="9">
        <f xml:space="preserve"> WYNAJEM4[[#This Row],[suma energia i woda]] + WYNAJEM4[[#This Row],[czynsz]]</f>
        <v>405.82</v>
      </c>
    </row>
    <row r="240" spans="1:9" x14ac:dyDescent="0.25">
      <c r="A240" s="1">
        <v>41713</v>
      </c>
      <c r="B240" s="1">
        <v>41719</v>
      </c>
      <c r="C240" s="8">
        <v>14.13</v>
      </c>
      <c r="D240" s="8">
        <v>0.37</v>
      </c>
      <c r="E240">
        <v>4</v>
      </c>
      <c r="F240" s="10">
        <f>(WYNAJEM4[[#This Row],[data_wyjazdu]]-WYNAJEM4[[#This Row],[data_przyjazdu]])</f>
        <v>6</v>
      </c>
      <c r="G240" s="9">
        <f xml:space="preserve"> WYNAJEM4[[#This Row],[energia]] + WYNAJEM4[[#This Row],[woda]]</f>
        <v>14.5</v>
      </c>
      <c r="H240" s="8">
        <f xml:space="preserve"> (10 * WYNAJEM4[[#This Row],[typ]] * WYNAJEM4[[#This Row],[czas wynajecia domku]])</f>
        <v>240</v>
      </c>
      <c r="I240" s="9">
        <f xml:space="preserve"> WYNAJEM4[[#This Row],[suma energia i woda]] + WYNAJEM4[[#This Row],[czynsz]]</f>
        <v>254.5</v>
      </c>
    </row>
    <row r="241" spans="1:9" x14ac:dyDescent="0.25">
      <c r="A241" s="1">
        <v>41713</v>
      </c>
      <c r="B241" s="1">
        <v>41723</v>
      </c>
      <c r="C241" s="8">
        <v>11.69</v>
      </c>
      <c r="D241" s="8">
        <v>0.31</v>
      </c>
      <c r="E241">
        <v>4</v>
      </c>
      <c r="F241" s="10">
        <f>(WYNAJEM4[[#This Row],[data_wyjazdu]]-WYNAJEM4[[#This Row],[data_przyjazdu]])</f>
        <v>10</v>
      </c>
      <c r="G241" s="9">
        <f xml:space="preserve"> WYNAJEM4[[#This Row],[energia]] + WYNAJEM4[[#This Row],[woda]]</f>
        <v>12</v>
      </c>
      <c r="H241" s="8">
        <f xml:space="preserve"> (10 * WYNAJEM4[[#This Row],[typ]] * WYNAJEM4[[#This Row],[czas wynajecia domku]])</f>
        <v>400</v>
      </c>
      <c r="I241" s="9">
        <f xml:space="preserve"> WYNAJEM4[[#This Row],[suma energia i woda]] + WYNAJEM4[[#This Row],[czynsz]]</f>
        <v>412</v>
      </c>
    </row>
    <row r="242" spans="1:9" x14ac:dyDescent="0.25">
      <c r="A242" s="1">
        <v>41713</v>
      </c>
      <c r="B242" s="1">
        <v>41728</v>
      </c>
      <c r="C242" s="8">
        <v>16.940000000000001</v>
      </c>
      <c r="D242" s="8">
        <v>0.45</v>
      </c>
      <c r="E242">
        <v>2</v>
      </c>
      <c r="F242" s="10">
        <f>(WYNAJEM4[[#This Row],[data_wyjazdu]]-WYNAJEM4[[#This Row],[data_przyjazdu]])</f>
        <v>15</v>
      </c>
      <c r="G242" s="9">
        <f xml:space="preserve"> WYNAJEM4[[#This Row],[energia]] + WYNAJEM4[[#This Row],[woda]]</f>
        <v>17.39</v>
      </c>
      <c r="H242" s="8">
        <f xml:space="preserve"> (10 * WYNAJEM4[[#This Row],[typ]] * WYNAJEM4[[#This Row],[czas wynajecia domku]])</f>
        <v>300</v>
      </c>
      <c r="I242" s="9">
        <f xml:space="preserve"> WYNAJEM4[[#This Row],[suma energia i woda]] + WYNAJEM4[[#This Row],[czynsz]]</f>
        <v>317.39</v>
      </c>
    </row>
    <row r="243" spans="1:9" x14ac:dyDescent="0.25">
      <c r="A243" s="1">
        <v>41713</v>
      </c>
      <c r="B243" s="1">
        <v>41733</v>
      </c>
      <c r="C243" s="8">
        <v>14</v>
      </c>
      <c r="D243" s="8">
        <v>0.37</v>
      </c>
      <c r="E243">
        <v>4</v>
      </c>
      <c r="F243" s="10">
        <f>(WYNAJEM4[[#This Row],[data_wyjazdu]]-WYNAJEM4[[#This Row],[data_przyjazdu]])</f>
        <v>20</v>
      </c>
      <c r="G243" s="9">
        <f xml:space="preserve"> WYNAJEM4[[#This Row],[energia]] + WYNAJEM4[[#This Row],[woda]]</f>
        <v>14.37</v>
      </c>
      <c r="H243" s="8">
        <f xml:space="preserve"> (10 * WYNAJEM4[[#This Row],[typ]] * WYNAJEM4[[#This Row],[czas wynajecia domku]])</f>
        <v>800</v>
      </c>
      <c r="I243" s="9">
        <f xml:space="preserve"> WYNAJEM4[[#This Row],[suma energia i woda]] + WYNAJEM4[[#This Row],[czynsz]]</f>
        <v>814.37</v>
      </c>
    </row>
    <row r="244" spans="1:9" x14ac:dyDescent="0.25">
      <c r="A244" s="1">
        <v>41715</v>
      </c>
      <c r="B244" s="1">
        <v>41743</v>
      </c>
      <c r="C244" s="8">
        <v>8.84</v>
      </c>
      <c r="D244" s="8">
        <v>0.23</v>
      </c>
      <c r="E244">
        <v>2</v>
      </c>
      <c r="F244" s="10">
        <f>(WYNAJEM4[[#This Row],[data_wyjazdu]]-WYNAJEM4[[#This Row],[data_przyjazdu]])</f>
        <v>28</v>
      </c>
      <c r="G244" s="9">
        <f xml:space="preserve"> WYNAJEM4[[#This Row],[energia]] + WYNAJEM4[[#This Row],[woda]]</f>
        <v>9.07</v>
      </c>
      <c r="H244" s="8">
        <f xml:space="preserve"> (10 * WYNAJEM4[[#This Row],[typ]] * WYNAJEM4[[#This Row],[czas wynajecia domku]])</f>
        <v>560</v>
      </c>
      <c r="I244" s="9">
        <f xml:space="preserve"> WYNAJEM4[[#This Row],[suma energia i woda]] + WYNAJEM4[[#This Row],[czynsz]]</f>
        <v>569.07000000000005</v>
      </c>
    </row>
    <row r="245" spans="1:9" x14ac:dyDescent="0.25">
      <c r="A245" s="1">
        <v>41715</v>
      </c>
      <c r="B245" s="1">
        <v>41734</v>
      </c>
      <c r="C245" s="8">
        <v>6.75</v>
      </c>
      <c r="D245" s="8">
        <v>0.18</v>
      </c>
      <c r="E245">
        <v>4</v>
      </c>
      <c r="F245" s="10">
        <f>(WYNAJEM4[[#This Row],[data_wyjazdu]]-WYNAJEM4[[#This Row],[data_przyjazdu]])</f>
        <v>19</v>
      </c>
      <c r="G245" s="9">
        <f xml:space="preserve"> WYNAJEM4[[#This Row],[energia]] + WYNAJEM4[[#This Row],[woda]]</f>
        <v>6.93</v>
      </c>
      <c r="H245" s="8">
        <f xml:space="preserve"> (10 * WYNAJEM4[[#This Row],[typ]] * WYNAJEM4[[#This Row],[czas wynajecia domku]])</f>
        <v>760</v>
      </c>
      <c r="I245" s="9">
        <f xml:space="preserve"> WYNAJEM4[[#This Row],[suma energia i woda]] + WYNAJEM4[[#This Row],[czynsz]]</f>
        <v>766.93</v>
      </c>
    </row>
    <row r="246" spans="1:9" x14ac:dyDescent="0.25">
      <c r="A246" s="1">
        <v>41715</v>
      </c>
      <c r="B246" s="1">
        <v>41728</v>
      </c>
      <c r="C246" s="8">
        <v>6.23</v>
      </c>
      <c r="D246" s="8">
        <v>0.16</v>
      </c>
      <c r="E246">
        <v>5</v>
      </c>
      <c r="F246" s="10">
        <f>(WYNAJEM4[[#This Row],[data_wyjazdu]]-WYNAJEM4[[#This Row],[data_przyjazdu]])</f>
        <v>13</v>
      </c>
      <c r="G246" s="9">
        <f xml:space="preserve"> WYNAJEM4[[#This Row],[energia]] + WYNAJEM4[[#This Row],[woda]]</f>
        <v>6.3900000000000006</v>
      </c>
      <c r="H246" s="8">
        <f xml:space="preserve"> (10 * WYNAJEM4[[#This Row],[typ]] * WYNAJEM4[[#This Row],[czas wynajecia domku]])</f>
        <v>650</v>
      </c>
      <c r="I246" s="9">
        <f xml:space="preserve"> WYNAJEM4[[#This Row],[suma energia i woda]] + WYNAJEM4[[#This Row],[czynsz]]</f>
        <v>656.39</v>
      </c>
    </row>
    <row r="247" spans="1:9" x14ac:dyDescent="0.25">
      <c r="A247" s="1">
        <v>41715</v>
      </c>
      <c r="B247" s="1">
        <v>41741</v>
      </c>
      <c r="C247" s="8">
        <v>8.7200000000000006</v>
      </c>
      <c r="D247" s="8">
        <v>0.23</v>
      </c>
      <c r="E247">
        <v>6</v>
      </c>
      <c r="F247" s="10">
        <f>(WYNAJEM4[[#This Row],[data_wyjazdu]]-WYNAJEM4[[#This Row],[data_przyjazdu]])</f>
        <v>26</v>
      </c>
      <c r="G247" s="9">
        <f xml:space="preserve"> WYNAJEM4[[#This Row],[energia]] + WYNAJEM4[[#This Row],[woda]]</f>
        <v>8.9500000000000011</v>
      </c>
      <c r="H247" s="8">
        <f xml:space="preserve"> (10 * WYNAJEM4[[#This Row],[typ]] * WYNAJEM4[[#This Row],[czas wynajecia domku]])</f>
        <v>1560</v>
      </c>
      <c r="I247" s="9">
        <f xml:space="preserve"> WYNAJEM4[[#This Row],[suma energia i woda]] + WYNAJEM4[[#This Row],[czynsz]]</f>
        <v>1568.95</v>
      </c>
    </row>
    <row r="248" spans="1:9" x14ac:dyDescent="0.25">
      <c r="A248" s="1">
        <v>41716</v>
      </c>
      <c r="B248" s="1">
        <v>41719</v>
      </c>
      <c r="C248" s="8">
        <v>6.34</v>
      </c>
      <c r="D248" s="8">
        <v>0.17</v>
      </c>
      <c r="E248">
        <v>5</v>
      </c>
      <c r="F248" s="10">
        <f>(WYNAJEM4[[#This Row],[data_wyjazdu]]-WYNAJEM4[[#This Row],[data_przyjazdu]])</f>
        <v>3</v>
      </c>
      <c r="G248" s="9">
        <f xml:space="preserve"> WYNAJEM4[[#This Row],[energia]] + WYNAJEM4[[#This Row],[woda]]</f>
        <v>6.51</v>
      </c>
      <c r="H248" s="8">
        <f xml:space="preserve"> (10 * WYNAJEM4[[#This Row],[typ]] * WYNAJEM4[[#This Row],[czas wynajecia domku]])</f>
        <v>150</v>
      </c>
      <c r="I248" s="9">
        <f xml:space="preserve"> WYNAJEM4[[#This Row],[suma energia i woda]] + WYNAJEM4[[#This Row],[czynsz]]</f>
        <v>156.51</v>
      </c>
    </row>
    <row r="249" spans="1:9" x14ac:dyDescent="0.25">
      <c r="A249" s="1">
        <v>41716</v>
      </c>
      <c r="B249" s="1">
        <v>41734</v>
      </c>
      <c r="C249" s="8">
        <v>2.29</v>
      </c>
      <c r="D249" s="8">
        <v>0.06</v>
      </c>
      <c r="E249">
        <v>4</v>
      </c>
      <c r="F249" s="10">
        <f>(WYNAJEM4[[#This Row],[data_wyjazdu]]-WYNAJEM4[[#This Row],[data_przyjazdu]])</f>
        <v>18</v>
      </c>
      <c r="G249" s="9">
        <f xml:space="preserve"> WYNAJEM4[[#This Row],[energia]] + WYNAJEM4[[#This Row],[woda]]</f>
        <v>2.35</v>
      </c>
      <c r="H249" s="8">
        <f xml:space="preserve"> (10 * WYNAJEM4[[#This Row],[typ]] * WYNAJEM4[[#This Row],[czas wynajecia domku]])</f>
        <v>720</v>
      </c>
      <c r="I249" s="9">
        <f xml:space="preserve"> WYNAJEM4[[#This Row],[suma energia i woda]] + WYNAJEM4[[#This Row],[czynsz]]</f>
        <v>722.35</v>
      </c>
    </row>
    <row r="250" spans="1:9" x14ac:dyDescent="0.25">
      <c r="A250" s="1">
        <v>41716</v>
      </c>
      <c r="B250" s="1">
        <v>41734</v>
      </c>
      <c r="C250" s="8">
        <v>4.25</v>
      </c>
      <c r="D250" s="8">
        <v>0.11</v>
      </c>
      <c r="E250">
        <v>4</v>
      </c>
      <c r="F250" s="10">
        <f>(WYNAJEM4[[#This Row],[data_wyjazdu]]-WYNAJEM4[[#This Row],[data_przyjazdu]])</f>
        <v>18</v>
      </c>
      <c r="G250" s="9">
        <f xml:space="preserve"> WYNAJEM4[[#This Row],[energia]] + WYNAJEM4[[#This Row],[woda]]</f>
        <v>4.3600000000000003</v>
      </c>
      <c r="H250" s="8">
        <f xml:space="preserve"> (10 * WYNAJEM4[[#This Row],[typ]] * WYNAJEM4[[#This Row],[czas wynajecia domku]])</f>
        <v>720</v>
      </c>
      <c r="I250" s="9">
        <f xml:space="preserve"> WYNAJEM4[[#This Row],[suma energia i woda]] + WYNAJEM4[[#This Row],[czynsz]]</f>
        <v>724.36</v>
      </c>
    </row>
    <row r="251" spans="1:9" x14ac:dyDescent="0.25">
      <c r="A251" s="1">
        <v>41719</v>
      </c>
      <c r="B251" s="1">
        <v>41742</v>
      </c>
      <c r="C251" s="8">
        <v>16.55</v>
      </c>
      <c r="D251" s="8">
        <v>0.44</v>
      </c>
      <c r="E251">
        <v>5</v>
      </c>
      <c r="F251" s="10">
        <f>(WYNAJEM4[[#This Row],[data_wyjazdu]]-WYNAJEM4[[#This Row],[data_przyjazdu]])</f>
        <v>23</v>
      </c>
      <c r="G251" s="9">
        <f xml:space="preserve"> WYNAJEM4[[#This Row],[energia]] + WYNAJEM4[[#This Row],[woda]]</f>
        <v>16.990000000000002</v>
      </c>
      <c r="H251" s="8">
        <f xml:space="preserve"> (10 * WYNAJEM4[[#This Row],[typ]] * WYNAJEM4[[#This Row],[czas wynajecia domku]])</f>
        <v>1150</v>
      </c>
      <c r="I251" s="9">
        <f xml:space="preserve"> WYNAJEM4[[#This Row],[suma energia i woda]] + WYNAJEM4[[#This Row],[czynsz]]</f>
        <v>1166.99</v>
      </c>
    </row>
    <row r="252" spans="1:9" x14ac:dyDescent="0.25">
      <c r="A252" s="1">
        <v>41719</v>
      </c>
      <c r="B252" s="1">
        <v>41745</v>
      </c>
      <c r="C252" s="8">
        <v>7.55</v>
      </c>
      <c r="D252" s="8">
        <v>0.2</v>
      </c>
      <c r="E252">
        <v>3</v>
      </c>
      <c r="F252" s="10">
        <f>(WYNAJEM4[[#This Row],[data_wyjazdu]]-WYNAJEM4[[#This Row],[data_przyjazdu]])</f>
        <v>26</v>
      </c>
      <c r="G252" s="9">
        <f xml:space="preserve"> WYNAJEM4[[#This Row],[energia]] + WYNAJEM4[[#This Row],[woda]]</f>
        <v>7.75</v>
      </c>
      <c r="H252" s="8">
        <f xml:space="preserve"> (10 * WYNAJEM4[[#This Row],[typ]] * WYNAJEM4[[#This Row],[czas wynajecia domku]])</f>
        <v>780</v>
      </c>
      <c r="I252" s="9">
        <f xml:space="preserve"> WYNAJEM4[[#This Row],[suma energia i woda]] + WYNAJEM4[[#This Row],[czynsz]]</f>
        <v>787.75</v>
      </c>
    </row>
    <row r="253" spans="1:9" x14ac:dyDescent="0.25">
      <c r="A253" s="1">
        <v>41719</v>
      </c>
      <c r="B253" s="1">
        <v>41731</v>
      </c>
      <c r="C253" s="8">
        <v>16.55</v>
      </c>
      <c r="D253" s="8">
        <v>0.44</v>
      </c>
      <c r="E253">
        <v>5</v>
      </c>
      <c r="F253" s="10">
        <f>(WYNAJEM4[[#This Row],[data_wyjazdu]]-WYNAJEM4[[#This Row],[data_przyjazdu]])</f>
        <v>12</v>
      </c>
      <c r="G253" s="9">
        <f xml:space="preserve"> WYNAJEM4[[#This Row],[energia]] + WYNAJEM4[[#This Row],[woda]]</f>
        <v>16.990000000000002</v>
      </c>
      <c r="H253" s="8">
        <f xml:space="preserve"> (10 * WYNAJEM4[[#This Row],[typ]] * WYNAJEM4[[#This Row],[czas wynajecia domku]])</f>
        <v>600</v>
      </c>
      <c r="I253" s="9">
        <f xml:space="preserve"> WYNAJEM4[[#This Row],[suma energia i woda]] + WYNAJEM4[[#This Row],[czynsz]]</f>
        <v>616.99</v>
      </c>
    </row>
    <row r="254" spans="1:9" x14ac:dyDescent="0.25">
      <c r="A254" s="1">
        <v>41719</v>
      </c>
      <c r="B254" s="1">
        <v>41739</v>
      </c>
      <c r="C254" s="8">
        <v>3.79</v>
      </c>
      <c r="D254" s="8">
        <v>0.1</v>
      </c>
      <c r="E254">
        <v>3</v>
      </c>
      <c r="F254" s="10">
        <f>(WYNAJEM4[[#This Row],[data_wyjazdu]]-WYNAJEM4[[#This Row],[data_przyjazdu]])</f>
        <v>20</v>
      </c>
      <c r="G254" s="9">
        <f xml:space="preserve"> WYNAJEM4[[#This Row],[energia]] + WYNAJEM4[[#This Row],[woda]]</f>
        <v>3.89</v>
      </c>
      <c r="H254" s="8">
        <f xml:space="preserve"> (10 * WYNAJEM4[[#This Row],[typ]] * WYNAJEM4[[#This Row],[czas wynajecia domku]])</f>
        <v>600</v>
      </c>
      <c r="I254" s="9">
        <f xml:space="preserve"> WYNAJEM4[[#This Row],[suma energia i woda]] + WYNAJEM4[[#This Row],[czynsz]]</f>
        <v>603.89</v>
      </c>
    </row>
    <row r="255" spans="1:9" x14ac:dyDescent="0.25">
      <c r="A255" s="1">
        <v>41719</v>
      </c>
      <c r="B255" s="1">
        <v>41725</v>
      </c>
      <c r="C255" s="8">
        <v>8.51</v>
      </c>
      <c r="D255" s="8">
        <v>0.22</v>
      </c>
      <c r="E255">
        <v>6</v>
      </c>
      <c r="F255" s="10">
        <f>(WYNAJEM4[[#This Row],[data_wyjazdu]]-WYNAJEM4[[#This Row],[data_przyjazdu]])</f>
        <v>6</v>
      </c>
      <c r="G255" s="9">
        <f xml:space="preserve"> WYNAJEM4[[#This Row],[energia]] + WYNAJEM4[[#This Row],[woda]]</f>
        <v>8.73</v>
      </c>
      <c r="H255" s="8">
        <f xml:space="preserve"> (10 * WYNAJEM4[[#This Row],[typ]] * WYNAJEM4[[#This Row],[czas wynajecia domku]])</f>
        <v>360</v>
      </c>
      <c r="I255" s="9">
        <f xml:space="preserve"> WYNAJEM4[[#This Row],[suma energia i woda]] + WYNAJEM4[[#This Row],[czynsz]]</f>
        <v>368.73</v>
      </c>
    </row>
    <row r="256" spans="1:9" x14ac:dyDescent="0.25">
      <c r="A256" s="1">
        <v>41719</v>
      </c>
      <c r="B256" s="1">
        <v>41724</v>
      </c>
      <c r="C256" s="8">
        <v>7.71</v>
      </c>
      <c r="D256" s="8">
        <v>0.2</v>
      </c>
      <c r="E256">
        <v>2</v>
      </c>
      <c r="F256" s="10">
        <f>(WYNAJEM4[[#This Row],[data_wyjazdu]]-WYNAJEM4[[#This Row],[data_przyjazdu]])</f>
        <v>5</v>
      </c>
      <c r="G256" s="9">
        <f xml:space="preserve"> WYNAJEM4[[#This Row],[energia]] + WYNAJEM4[[#This Row],[woda]]</f>
        <v>7.91</v>
      </c>
      <c r="H256" s="8">
        <f xml:space="preserve"> (10 * WYNAJEM4[[#This Row],[typ]] * WYNAJEM4[[#This Row],[czas wynajecia domku]])</f>
        <v>100</v>
      </c>
      <c r="I256" s="9">
        <f xml:space="preserve"> WYNAJEM4[[#This Row],[suma energia i woda]] + WYNAJEM4[[#This Row],[czynsz]]</f>
        <v>107.91</v>
      </c>
    </row>
    <row r="257" spans="1:9" x14ac:dyDescent="0.25">
      <c r="A257" s="1">
        <v>41725</v>
      </c>
      <c r="B257" s="1">
        <v>41742</v>
      </c>
      <c r="C257" s="8">
        <v>3.79</v>
      </c>
      <c r="D257" s="8">
        <v>0.1</v>
      </c>
      <c r="E257">
        <v>2</v>
      </c>
      <c r="F257" s="10">
        <f>(WYNAJEM4[[#This Row],[data_wyjazdu]]-WYNAJEM4[[#This Row],[data_przyjazdu]])</f>
        <v>17</v>
      </c>
      <c r="G257" s="9">
        <f xml:space="preserve"> WYNAJEM4[[#This Row],[energia]] + WYNAJEM4[[#This Row],[woda]]</f>
        <v>3.89</v>
      </c>
      <c r="H257" s="8">
        <f xml:space="preserve"> (10 * WYNAJEM4[[#This Row],[typ]] * WYNAJEM4[[#This Row],[czas wynajecia domku]])</f>
        <v>340</v>
      </c>
      <c r="I257" s="9">
        <f xml:space="preserve"> WYNAJEM4[[#This Row],[suma energia i woda]] + WYNAJEM4[[#This Row],[czynsz]]</f>
        <v>343.89</v>
      </c>
    </row>
    <row r="258" spans="1:9" x14ac:dyDescent="0.25">
      <c r="A258" s="1">
        <v>41725</v>
      </c>
      <c r="B258" s="1">
        <v>41747</v>
      </c>
      <c r="C258" s="8">
        <v>16.55</v>
      </c>
      <c r="D258" s="8">
        <v>0.44</v>
      </c>
      <c r="E258">
        <v>4</v>
      </c>
      <c r="F258" s="10">
        <f>(WYNAJEM4[[#This Row],[data_wyjazdu]]-WYNAJEM4[[#This Row],[data_przyjazdu]])</f>
        <v>22</v>
      </c>
      <c r="G258" s="9">
        <f xml:space="preserve"> WYNAJEM4[[#This Row],[energia]] + WYNAJEM4[[#This Row],[woda]]</f>
        <v>16.990000000000002</v>
      </c>
      <c r="H258" s="8">
        <f xml:space="preserve"> (10 * WYNAJEM4[[#This Row],[typ]] * WYNAJEM4[[#This Row],[czas wynajecia domku]])</f>
        <v>880</v>
      </c>
      <c r="I258" s="9">
        <f xml:space="preserve"> WYNAJEM4[[#This Row],[suma energia i woda]] + WYNAJEM4[[#This Row],[czynsz]]</f>
        <v>896.99</v>
      </c>
    </row>
    <row r="259" spans="1:9" x14ac:dyDescent="0.25">
      <c r="A259" s="1">
        <v>41725</v>
      </c>
      <c r="B259" s="1">
        <v>41728</v>
      </c>
      <c r="C259" s="8">
        <v>10.19</v>
      </c>
      <c r="D259" s="8">
        <v>0.27</v>
      </c>
      <c r="E259">
        <v>5</v>
      </c>
      <c r="F259" s="10">
        <f>(WYNAJEM4[[#This Row],[data_wyjazdu]]-WYNAJEM4[[#This Row],[data_przyjazdu]])</f>
        <v>3</v>
      </c>
      <c r="G259" s="9">
        <f xml:space="preserve"> WYNAJEM4[[#This Row],[energia]] + WYNAJEM4[[#This Row],[woda]]</f>
        <v>10.459999999999999</v>
      </c>
      <c r="H259" s="8">
        <f xml:space="preserve"> (10 * WYNAJEM4[[#This Row],[typ]] * WYNAJEM4[[#This Row],[czas wynajecia domku]])</f>
        <v>150</v>
      </c>
      <c r="I259" s="9">
        <f xml:space="preserve"> WYNAJEM4[[#This Row],[suma energia i woda]] + WYNAJEM4[[#This Row],[czynsz]]</f>
        <v>160.46</v>
      </c>
    </row>
    <row r="260" spans="1:9" x14ac:dyDescent="0.25">
      <c r="A260" s="1">
        <v>41725</v>
      </c>
      <c r="B260" s="1">
        <v>41731</v>
      </c>
      <c r="C260" s="8">
        <v>8.39</v>
      </c>
      <c r="D260" s="8">
        <v>0.22</v>
      </c>
      <c r="E260">
        <v>5</v>
      </c>
      <c r="F260" s="10">
        <f>(WYNAJEM4[[#This Row],[data_wyjazdu]]-WYNAJEM4[[#This Row],[data_przyjazdu]])</f>
        <v>6</v>
      </c>
      <c r="G260" s="9">
        <f xml:space="preserve"> WYNAJEM4[[#This Row],[energia]] + WYNAJEM4[[#This Row],[woda]]</f>
        <v>8.6100000000000012</v>
      </c>
      <c r="H260" s="8">
        <f xml:space="preserve"> (10 * WYNAJEM4[[#This Row],[typ]] * WYNAJEM4[[#This Row],[czas wynajecia domku]])</f>
        <v>300</v>
      </c>
      <c r="I260" s="9">
        <f xml:space="preserve"> WYNAJEM4[[#This Row],[suma energia i woda]] + WYNAJEM4[[#This Row],[czynsz]]</f>
        <v>308.61</v>
      </c>
    </row>
    <row r="261" spans="1:9" x14ac:dyDescent="0.25">
      <c r="A261" s="1">
        <v>41725</v>
      </c>
      <c r="B261" s="1">
        <v>41752</v>
      </c>
      <c r="C261" s="8">
        <v>8.89</v>
      </c>
      <c r="D261" s="8">
        <v>0.23</v>
      </c>
      <c r="E261">
        <v>2</v>
      </c>
      <c r="F261" s="10">
        <f>(WYNAJEM4[[#This Row],[data_wyjazdu]]-WYNAJEM4[[#This Row],[data_przyjazdu]])</f>
        <v>27</v>
      </c>
      <c r="G261" s="9">
        <f xml:space="preserve"> WYNAJEM4[[#This Row],[energia]] + WYNAJEM4[[#This Row],[woda]]</f>
        <v>9.120000000000001</v>
      </c>
      <c r="H261" s="8">
        <f xml:space="preserve"> (10 * WYNAJEM4[[#This Row],[typ]] * WYNAJEM4[[#This Row],[czas wynajecia domku]])</f>
        <v>540</v>
      </c>
      <c r="I261" s="9">
        <f xml:space="preserve"> WYNAJEM4[[#This Row],[suma energia i woda]] + WYNAJEM4[[#This Row],[czynsz]]</f>
        <v>549.12</v>
      </c>
    </row>
    <row r="262" spans="1:9" x14ac:dyDescent="0.25">
      <c r="A262" s="1">
        <v>41725</v>
      </c>
      <c r="B262" s="1">
        <v>41748</v>
      </c>
      <c r="C262" s="8">
        <v>7.35</v>
      </c>
      <c r="D262" s="8">
        <v>0.19</v>
      </c>
      <c r="E262">
        <v>2</v>
      </c>
      <c r="F262" s="10">
        <f>(WYNAJEM4[[#This Row],[data_wyjazdu]]-WYNAJEM4[[#This Row],[data_przyjazdu]])</f>
        <v>23</v>
      </c>
      <c r="G262" s="9">
        <f xml:space="preserve"> WYNAJEM4[[#This Row],[energia]] + WYNAJEM4[[#This Row],[woda]]</f>
        <v>7.54</v>
      </c>
      <c r="H262" s="8">
        <f xml:space="preserve"> (10 * WYNAJEM4[[#This Row],[typ]] * WYNAJEM4[[#This Row],[czas wynajecia domku]])</f>
        <v>460</v>
      </c>
      <c r="I262" s="9">
        <f xml:space="preserve"> WYNAJEM4[[#This Row],[suma energia i woda]] + WYNAJEM4[[#This Row],[czynsz]]</f>
        <v>467.54</v>
      </c>
    </row>
    <row r="263" spans="1:9" x14ac:dyDescent="0.25">
      <c r="A263" s="1">
        <v>41731</v>
      </c>
      <c r="B263" s="1">
        <v>41740</v>
      </c>
      <c r="C263" s="8">
        <v>6.88</v>
      </c>
      <c r="D263" s="8">
        <v>0.18</v>
      </c>
      <c r="E263">
        <v>4</v>
      </c>
      <c r="F263" s="10">
        <f>(WYNAJEM4[[#This Row],[data_wyjazdu]]-WYNAJEM4[[#This Row],[data_przyjazdu]])</f>
        <v>9</v>
      </c>
      <c r="G263" s="9">
        <f xml:space="preserve"> WYNAJEM4[[#This Row],[energia]] + WYNAJEM4[[#This Row],[woda]]</f>
        <v>7.06</v>
      </c>
      <c r="H263" s="8">
        <f xml:space="preserve"> (10 * WYNAJEM4[[#This Row],[typ]] * WYNAJEM4[[#This Row],[czas wynajecia domku]])</f>
        <v>360</v>
      </c>
      <c r="I263" s="9">
        <f xml:space="preserve"> WYNAJEM4[[#This Row],[suma energia i woda]] + WYNAJEM4[[#This Row],[czynsz]]</f>
        <v>367.06</v>
      </c>
    </row>
    <row r="264" spans="1:9" x14ac:dyDescent="0.25">
      <c r="A264" s="1">
        <v>41731</v>
      </c>
      <c r="B264" s="1">
        <v>41740</v>
      </c>
      <c r="C264" s="8">
        <v>13.02</v>
      </c>
      <c r="D264" s="8">
        <v>0.34</v>
      </c>
      <c r="E264">
        <v>3</v>
      </c>
      <c r="F264" s="10">
        <f>(WYNAJEM4[[#This Row],[data_wyjazdu]]-WYNAJEM4[[#This Row],[data_przyjazdu]])</f>
        <v>9</v>
      </c>
      <c r="G264" s="9">
        <f xml:space="preserve"> WYNAJEM4[[#This Row],[energia]] + WYNAJEM4[[#This Row],[woda]]</f>
        <v>13.36</v>
      </c>
      <c r="H264" s="8">
        <f xml:space="preserve"> (10 * WYNAJEM4[[#This Row],[typ]] * WYNAJEM4[[#This Row],[czas wynajecia domku]])</f>
        <v>270</v>
      </c>
      <c r="I264" s="9">
        <f xml:space="preserve"> WYNAJEM4[[#This Row],[suma energia i woda]] + WYNAJEM4[[#This Row],[czynsz]]</f>
        <v>283.36</v>
      </c>
    </row>
    <row r="265" spans="1:9" x14ac:dyDescent="0.25">
      <c r="A265" s="1">
        <v>41731</v>
      </c>
      <c r="B265" s="1">
        <v>41750</v>
      </c>
      <c r="C265" s="8">
        <v>10.59</v>
      </c>
      <c r="D265" s="8">
        <v>0.28000000000000003</v>
      </c>
      <c r="E265">
        <v>3</v>
      </c>
      <c r="F265" s="10">
        <f>(WYNAJEM4[[#This Row],[data_wyjazdu]]-WYNAJEM4[[#This Row],[data_przyjazdu]])</f>
        <v>19</v>
      </c>
      <c r="G265" s="9">
        <f xml:space="preserve"> WYNAJEM4[[#This Row],[energia]] + WYNAJEM4[[#This Row],[woda]]</f>
        <v>10.87</v>
      </c>
      <c r="H265" s="8">
        <f xml:space="preserve"> (10 * WYNAJEM4[[#This Row],[typ]] * WYNAJEM4[[#This Row],[czas wynajecia domku]])</f>
        <v>570</v>
      </c>
      <c r="I265" s="9">
        <f xml:space="preserve"> WYNAJEM4[[#This Row],[suma energia i woda]] + WYNAJEM4[[#This Row],[czynsz]]</f>
        <v>580.87</v>
      </c>
    </row>
    <row r="266" spans="1:9" x14ac:dyDescent="0.25">
      <c r="A266" s="1">
        <v>41731</v>
      </c>
      <c r="B266" s="1">
        <v>41751</v>
      </c>
      <c r="C266" s="8">
        <v>16.940000000000001</v>
      </c>
      <c r="D266" s="8">
        <v>0.45</v>
      </c>
      <c r="E266">
        <v>4</v>
      </c>
      <c r="F266" s="10">
        <f>(WYNAJEM4[[#This Row],[data_wyjazdu]]-WYNAJEM4[[#This Row],[data_przyjazdu]])</f>
        <v>20</v>
      </c>
      <c r="G266" s="9">
        <f xml:space="preserve"> WYNAJEM4[[#This Row],[energia]] + WYNAJEM4[[#This Row],[woda]]</f>
        <v>17.39</v>
      </c>
      <c r="H266" s="8">
        <f xml:space="preserve"> (10 * WYNAJEM4[[#This Row],[typ]] * WYNAJEM4[[#This Row],[czas wynajecia domku]])</f>
        <v>800</v>
      </c>
      <c r="I266" s="9">
        <f xml:space="preserve"> WYNAJEM4[[#This Row],[suma energia i woda]] + WYNAJEM4[[#This Row],[czynsz]]</f>
        <v>817.39</v>
      </c>
    </row>
    <row r="267" spans="1:9" x14ac:dyDescent="0.25">
      <c r="A267" s="1">
        <v>41731</v>
      </c>
      <c r="B267" s="1">
        <v>41748</v>
      </c>
      <c r="C267" s="8">
        <v>11.44</v>
      </c>
      <c r="D267" s="8">
        <v>0.3</v>
      </c>
      <c r="E267">
        <v>4</v>
      </c>
      <c r="F267" s="10">
        <f>(WYNAJEM4[[#This Row],[data_wyjazdu]]-WYNAJEM4[[#This Row],[data_przyjazdu]])</f>
        <v>17</v>
      </c>
      <c r="G267" s="9">
        <f xml:space="preserve"> WYNAJEM4[[#This Row],[energia]] + WYNAJEM4[[#This Row],[woda]]</f>
        <v>11.74</v>
      </c>
      <c r="H267" s="8">
        <f xml:space="preserve"> (10 * WYNAJEM4[[#This Row],[typ]] * WYNAJEM4[[#This Row],[czas wynajecia domku]])</f>
        <v>680</v>
      </c>
      <c r="I267" s="9">
        <f xml:space="preserve"> WYNAJEM4[[#This Row],[suma energia i woda]] + WYNAJEM4[[#This Row],[czynsz]]</f>
        <v>691.74</v>
      </c>
    </row>
    <row r="268" spans="1:9" x14ac:dyDescent="0.25">
      <c r="A268" s="1">
        <v>41731</v>
      </c>
      <c r="B268" s="1">
        <v>41733</v>
      </c>
      <c r="C268" s="8">
        <v>3.79</v>
      </c>
      <c r="D268" s="8">
        <v>0.1</v>
      </c>
      <c r="E268">
        <v>4</v>
      </c>
      <c r="F268" s="10">
        <f>(WYNAJEM4[[#This Row],[data_wyjazdu]]-WYNAJEM4[[#This Row],[data_przyjazdu]])</f>
        <v>2</v>
      </c>
      <c r="G268" s="9">
        <f xml:space="preserve"> WYNAJEM4[[#This Row],[energia]] + WYNAJEM4[[#This Row],[woda]]</f>
        <v>3.89</v>
      </c>
      <c r="H268" s="8">
        <f xml:space="preserve"> (10 * WYNAJEM4[[#This Row],[typ]] * WYNAJEM4[[#This Row],[czas wynajecia domku]])</f>
        <v>80</v>
      </c>
      <c r="I268" s="9">
        <f xml:space="preserve"> WYNAJEM4[[#This Row],[suma energia i woda]] + WYNAJEM4[[#This Row],[czynsz]]</f>
        <v>83.89</v>
      </c>
    </row>
    <row r="269" spans="1:9" x14ac:dyDescent="0.25">
      <c r="A269" s="1">
        <v>41732</v>
      </c>
      <c r="B269" s="1">
        <v>41758</v>
      </c>
      <c r="C269" s="8">
        <v>10.19</v>
      </c>
      <c r="D269" s="8">
        <v>0.27</v>
      </c>
      <c r="E269">
        <v>2</v>
      </c>
      <c r="F269" s="10">
        <f>(WYNAJEM4[[#This Row],[data_wyjazdu]]-WYNAJEM4[[#This Row],[data_przyjazdu]])</f>
        <v>26</v>
      </c>
      <c r="G269" s="9">
        <f xml:space="preserve"> WYNAJEM4[[#This Row],[energia]] + WYNAJEM4[[#This Row],[woda]]</f>
        <v>10.459999999999999</v>
      </c>
      <c r="H269" s="8">
        <f xml:space="preserve"> (10 * WYNAJEM4[[#This Row],[typ]] * WYNAJEM4[[#This Row],[czas wynajecia domku]])</f>
        <v>520</v>
      </c>
      <c r="I269" s="9">
        <f xml:space="preserve"> WYNAJEM4[[#This Row],[suma energia i woda]] + WYNAJEM4[[#This Row],[czynsz]]</f>
        <v>530.46</v>
      </c>
    </row>
    <row r="270" spans="1:9" x14ac:dyDescent="0.25">
      <c r="A270" s="1">
        <v>41737</v>
      </c>
      <c r="B270" s="1">
        <v>41747</v>
      </c>
      <c r="C270" s="8">
        <v>7.35</v>
      </c>
      <c r="D270" s="8">
        <v>0.19</v>
      </c>
      <c r="E270">
        <v>5</v>
      </c>
      <c r="F270" s="10">
        <f>(WYNAJEM4[[#This Row],[data_wyjazdu]]-WYNAJEM4[[#This Row],[data_przyjazdu]])</f>
        <v>10</v>
      </c>
      <c r="G270" s="9">
        <f xml:space="preserve"> WYNAJEM4[[#This Row],[energia]] + WYNAJEM4[[#This Row],[woda]]</f>
        <v>7.54</v>
      </c>
      <c r="H270" s="8">
        <f xml:space="preserve"> (10 * WYNAJEM4[[#This Row],[typ]] * WYNAJEM4[[#This Row],[czas wynajecia domku]])</f>
        <v>500</v>
      </c>
      <c r="I270" s="9">
        <f xml:space="preserve"> WYNAJEM4[[#This Row],[suma energia i woda]] + WYNAJEM4[[#This Row],[czynsz]]</f>
        <v>507.54</v>
      </c>
    </row>
    <row r="271" spans="1:9" x14ac:dyDescent="0.25">
      <c r="A271" s="1">
        <v>41737</v>
      </c>
      <c r="B271" s="1">
        <v>41752</v>
      </c>
      <c r="C271" s="8">
        <v>9.74</v>
      </c>
      <c r="D271" s="8">
        <v>0.26</v>
      </c>
      <c r="E271">
        <v>6</v>
      </c>
      <c r="F271" s="10">
        <f>(WYNAJEM4[[#This Row],[data_wyjazdu]]-WYNAJEM4[[#This Row],[data_przyjazdu]])</f>
        <v>15</v>
      </c>
      <c r="G271" s="9">
        <f xml:space="preserve"> WYNAJEM4[[#This Row],[energia]] + WYNAJEM4[[#This Row],[woda]]</f>
        <v>10</v>
      </c>
      <c r="H271" s="8">
        <f xml:space="preserve"> (10 * WYNAJEM4[[#This Row],[typ]] * WYNAJEM4[[#This Row],[czas wynajecia domku]])</f>
        <v>900</v>
      </c>
      <c r="I271" s="9">
        <f xml:space="preserve"> WYNAJEM4[[#This Row],[suma energia i woda]] + WYNAJEM4[[#This Row],[czynsz]]</f>
        <v>910</v>
      </c>
    </row>
    <row r="272" spans="1:9" x14ac:dyDescent="0.25">
      <c r="A272" s="1">
        <v>41737</v>
      </c>
      <c r="B272" s="1">
        <v>41758</v>
      </c>
      <c r="C272" s="8">
        <v>8.65</v>
      </c>
      <c r="D272" s="8">
        <v>0.23</v>
      </c>
      <c r="E272">
        <v>3</v>
      </c>
      <c r="F272" s="10">
        <f>(WYNAJEM4[[#This Row],[data_wyjazdu]]-WYNAJEM4[[#This Row],[data_przyjazdu]])</f>
        <v>21</v>
      </c>
      <c r="G272" s="9">
        <f xml:space="preserve"> WYNAJEM4[[#This Row],[energia]] + WYNAJEM4[[#This Row],[woda]]</f>
        <v>8.8800000000000008</v>
      </c>
      <c r="H272" s="8">
        <f xml:space="preserve"> (10 * WYNAJEM4[[#This Row],[typ]] * WYNAJEM4[[#This Row],[czas wynajecia domku]])</f>
        <v>630</v>
      </c>
      <c r="I272" s="9">
        <f xml:space="preserve"> WYNAJEM4[[#This Row],[suma energia i woda]] + WYNAJEM4[[#This Row],[czynsz]]</f>
        <v>638.88</v>
      </c>
    </row>
    <row r="273" spans="1:9" x14ac:dyDescent="0.25">
      <c r="A273" s="1">
        <v>41737</v>
      </c>
      <c r="B273" s="1">
        <v>41759</v>
      </c>
      <c r="C273" s="8">
        <v>7.06</v>
      </c>
      <c r="D273" s="8">
        <v>0.19</v>
      </c>
      <c r="E273">
        <v>2</v>
      </c>
      <c r="F273" s="10">
        <f>(WYNAJEM4[[#This Row],[data_wyjazdu]]-WYNAJEM4[[#This Row],[data_przyjazdu]])</f>
        <v>22</v>
      </c>
      <c r="G273" s="9">
        <f xml:space="preserve"> WYNAJEM4[[#This Row],[energia]] + WYNAJEM4[[#This Row],[woda]]</f>
        <v>7.25</v>
      </c>
      <c r="H273" s="8">
        <f xml:space="preserve"> (10 * WYNAJEM4[[#This Row],[typ]] * WYNAJEM4[[#This Row],[czas wynajecia domku]])</f>
        <v>440</v>
      </c>
      <c r="I273" s="9">
        <f xml:space="preserve"> WYNAJEM4[[#This Row],[suma energia i woda]] + WYNAJEM4[[#This Row],[czynsz]]</f>
        <v>447.25</v>
      </c>
    </row>
    <row r="274" spans="1:9" x14ac:dyDescent="0.25">
      <c r="A274" s="1">
        <v>41737</v>
      </c>
      <c r="B274" s="1">
        <v>41762</v>
      </c>
      <c r="C274" s="8">
        <v>14</v>
      </c>
      <c r="D274" s="8">
        <v>0.37</v>
      </c>
      <c r="E274">
        <v>2</v>
      </c>
      <c r="F274" s="10">
        <f>(WYNAJEM4[[#This Row],[data_wyjazdu]]-WYNAJEM4[[#This Row],[data_przyjazdu]])</f>
        <v>25</v>
      </c>
      <c r="G274" s="9">
        <f xml:space="preserve"> WYNAJEM4[[#This Row],[energia]] + WYNAJEM4[[#This Row],[woda]]</f>
        <v>14.37</v>
      </c>
      <c r="H274" s="8">
        <f xml:space="preserve"> (10 * WYNAJEM4[[#This Row],[typ]] * WYNAJEM4[[#This Row],[czas wynajecia domku]])</f>
        <v>500</v>
      </c>
      <c r="I274" s="9">
        <f xml:space="preserve"> WYNAJEM4[[#This Row],[suma energia i woda]] + WYNAJEM4[[#This Row],[czynsz]]</f>
        <v>514.37</v>
      </c>
    </row>
    <row r="275" spans="1:9" x14ac:dyDescent="0.25">
      <c r="A275" s="1">
        <v>41737</v>
      </c>
      <c r="B275" s="1">
        <v>41764</v>
      </c>
      <c r="C275" s="8">
        <v>16.940000000000001</v>
      </c>
      <c r="D275" s="8">
        <v>0.45</v>
      </c>
      <c r="E275">
        <v>4</v>
      </c>
      <c r="F275" s="10">
        <f>(WYNAJEM4[[#This Row],[data_wyjazdu]]-WYNAJEM4[[#This Row],[data_przyjazdu]])</f>
        <v>27</v>
      </c>
      <c r="G275" s="9">
        <f xml:space="preserve"> WYNAJEM4[[#This Row],[energia]] + WYNAJEM4[[#This Row],[woda]]</f>
        <v>17.39</v>
      </c>
      <c r="H275" s="8">
        <f xml:space="preserve"> (10 * WYNAJEM4[[#This Row],[typ]] * WYNAJEM4[[#This Row],[czas wynajecia domku]])</f>
        <v>1080</v>
      </c>
      <c r="I275" s="9">
        <f xml:space="preserve"> WYNAJEM4[[#This Row],[suma energia i woda]] + WYNAJEM4[[#This Row],[czynsz]]</f>
        <v>1097.3900000000001</v>
      </c>
    </row>
    <row r="276" spans="1:9" x14ac:dyDescent="0.25">
      <c r="A276" s="1">
        <v>41743</v>
      </c>
      <c r="B276" s="1">
        <v>41759</v>
      </c>
      <c r="C276" s="8">
        <v>16.55</v>
      </c>
      <c r="D276" s="8">
        <v>0.44</v>
      </c>
      <c r="E276">
        <v>4</v>
      </c>
      <c r="F276" s="10">
        <f>(WYNAJEM4[[#This Row],[data_wyjazdu]]-WYNAJEM4[[#This Row],[data_przyjazdu]])</f>
        <v>16</v>
      </c>
      <c r="G276" s="9">
        <f xml:space="preserve"> WYNAJEM4[[#This Row],[energia]] + WYNAJEM4[[#This Row],[woda]]</f>
        <v>16.990000000000002</v>
      </c>
      <c r="H276" s="8">
        <f xml:space="preserve"> (10 * WYNAJEM4[[#This Row],[typ]] * WYNAJEM4[[#This Row],[czas wynajecia domku]])</f>
        <v>640</v>
      </c>
      <c r="I276" s="9">
        <f xml:space="preserve"> WYNAJEM4[[#This Row],[suma energia i woda]] + WYNAJEM4[[#This Row],[czynsz]]</f>
        <v>656.99</v>
      </c>
    </row>
    <row r="277" spans="1:9" x14ac:dyDescent="0.25">
      <c r="A277" s="1">
        <v>41743</v>
      </c>
      <c r="B277" s="1">
        <v>41766</v>
      </c>
      <c r="C277" s="8">
        <v>14.13</v>
      </c>
      <c r="D277" s="8">
        <v>0.37</v>
      </c>
      <c r="E277">
        <v>6</v>
      </c>
      <c r="F277" s="10">
        <f>(WYNAJEM4[[#This Row],[data_wyjazdu]]-WYNAJEM4[[#This Row],[data_przyjazdu]])</f>
        <v>23</v>
      </c>
      <c r="G277" s="9">
        <f xml:space="preserve"> WYNAJEM4[[#This Row],[energia]] + WYNAJEM4[[#This Row],[woda]]</f>
        <v>14.5</v>
      </c>
      <c r="H277" s="8">
        <f xml:space="preserve"> (10 * WYNAJEM4[[#This Row],[typ]] * WYNAJEM4[[#This Row],[czas wynajecia domku]])</f>
        <v>1380</v>
      </c>
      <c r="I277" s="9">
        <f xml:space="preserve"> WYNAJEM4[[#This Row],[suma energia i woda]] + WYNAJEM4[[#This Row],[czynsz]]</f>
        <v>1394.5</v>
      </c>
    </row>
    <row r="278" spans="1:9" x14ac:dyDescent="0.25">
      <c r="A278" s="1">
        <v>41743</v>
      </c>
      <c r="B278" s="1">
        <v>41761</v>
      </c>
      <c r="C278" s="8">
        <v>11.42</v>
      </c>
      <c r="D278" s="8">
        <v>0.3</v>
      </c>
      <c r="E278">
        <v>5</v>
      </c>
      <c r="F278" s="10">
        <f>(WYNAJEM4[[#This Row],[data_wyjazdu]]-WYNAJEM4[[#This Row],[data_przyjazdu]])</f>
        <v>18</v>
      </c>
      <c r="G278" s="9">
        <f xml:space="preserve"> WYNAJEM4[[#This Row],[energia]] + WYNAJEM4[[#This Row],[woda]]</f>
        <v>11.72</v>
      </c>
      <c r="H278" s="8">
        <f xml:space="preserve"> (10 * WYNAJEM4[[#This Row],[typ]] * WYNAJEM4[[#This Row],[czas wynajecia domku]])</f>
        <v>900</v>
      </c>
      <c r="I278" s="9">
        <f xml:space="preserve"> WYNAJEM4[[#This Row],[suma energia i woda]] + WYNAJEM4[[#This Row],[czynsz]]</f>
        <v>911.72</v>
      </c>
    </row>
    <row r="279" spans="1:9" x14ac:dyDescent="0.25">
      <c r="A279" s="1">
        <v>41743</v>
      </c>
      <c r="B279" s="1">
        <v>41762</v>
      </c>
      <c r="C279" s="8">
        <v>16.829999999999998</v>
      </c>
      <c r="D279" s="8">
        <v>0.44</v>
      </c>
      <c r="E279">
        <v>5</v>
      </c>
      <c r="F279" s="10">
        <f>(WYNAJEM4[[#This Row],[data_wyjazdu]]-WYNAJEM4[[#This Row],[data_przyjazdu]])</f>
        <v>19</v>
      </c>
      <c r="G279" s="9">
        <f xml:space="preserve"> WYNAJEM4[[#This Row],[energia]] + WYNAJEM4[[#This Row],[woda]]</f>
        <v>17.27</v>
      </c>
      <c r="H279" s="8">
        <f xml:space="preserve"> (10 * WYNAJEM4[[#This Row],[typ]] * WYNAJEM4[[#This Row],[czas wynajecia domku]])</f>
        <v>950</v>
      </c>
      <c r="I279" s="9">
        <f xml:space="preserve"> WYNAJEM4[[#This Row],[suma energia i woda]] + WYNAJEM4[[#This Row],[czynsz]]</f>
        <v>967.27</v>
      </c>
    </row>
    <row r="280" spans="1:9" x14ac:dyDescent="0.25">
      <c r="A280" s="1">
        <v>41743</v>
      </c>
      <c r="B280" s="1">
        <v>41768</v>
      </c>
      <c r="C280" s="8">
        <v>9.06</v>
      </c>
      <c r="D280" s="8">
        <v>0.24</v>
      </c>
      <c r="E280">
        <v>4</v>
      </c>
      <c r="F280" s="10">
        <f>(WYNAJEM4[[#This Row],[data_wyjazdu]]-WYNAJEM4[[#This Row],[data_przyjazdu]])</f>
        <v>25</v>
      </c>
      <c r="G280" s="9">
        <f xml:space="preserve"> WYNAJEM4[[#This Row],[energia]] + WYNAJEM4[[#This Row],[woda]]</f>
        <v>9.3000000000000007</v>
      </c>
      <c r="H280" s="8">
        <f xml:space="preserve"> (10 * WYNAJEM4[[#This Row],[typ]] * WYNAJEM4[[#This Row],[czas wynajecia domku]])</f>
        <v>1000</v>
      </c>
      <c r="I280" s="9">
        <f xml:space="preserve"> WYNAJEM4[[#This Row],[suma energia i woda]] + WYNAJEM4[[#This Row],[czynsz]]</f>
        <v>1009.3</v>
      </c>
    </row>
    <row r="281" spans="1:9" x14ac:dyDescent="0.25">
      <c r="A281" s="1">
        <v>41743</v>
      </c>
      <c r="B281" s="1">
        <v>41755</v>
      </c>
      <c r="C281" s="8">
        <v>11.69</v>
      </c>
      <c r="D281" s="8">
        <v>0.31</v>
      </c>
      <c r="E281">
        <v>5</v>
      </c>
      <c r="F281" s="10">
        <f>(WYNAJEM4[[#This Row],[data_wyjazdu]]-WYNAJEM4[[#This Row],[data_przyjazdu]])</f>
        <v>12</v>
      </c>
      <c r="G281" s="9">
        <f xml:space="preserve"> WYNAJEM4[[#This Row],[energia]] + WYNAJEM4[[#This Row],[woda]]</f>
        <v>12</v>
      </c>
      <c r="H281" s="8">
        <f xml:space="preserve"> (10 * WYNAJEM4[[#This Row],[typ]] * WYNAJEM4[[#This Row],[czas wynajecia domku]])</f>
        <v>600</v>
      </c>
      <c r="I281" s="9">
        <f xml:space="preserve"> WYNAJEM4[[#This Row],[suma energia i woda]] + WYNAJEM4[[#This Row],[czynsz]]</f>
        <v>612</v>
      </c>
    </row>
    <row r="282" spans="1:9" x14ac:dyDescent="0.25">
      <c r="A282" s="1">
        <v>41747</v>
      </c>
      <c r="B282" s="1">
        <v>41772</v>
      </c>
      <c r="C282" s="8">
        <v>6.58</v>
      </c>
      <c r="D282" s="8">
        <v>0.17</v>
      </c>
      <c r="E282">
        <v>3</v>
      </c>
      <c r="F282" s="10">
        <f>(WYNAJEM4[[#This Row],[data_wyjazdu]]-WYNAJEM4[[#This Row],[data_przyjazdu]])</f>
        <v>25</v>
      </c>
      <c r="G282" s="9">
        <f xml:space="preserve"> WYNAJEM4[[#This Row],[energia]] + WYNAJEM4[[#This Row],[woda]]</f>
        <v>6.75</v>
      </c>
      <c r="H282" s="8">
        <f xml:space="preserve"> (10 * WYNAJEM4[[#This Row],[typ]] * WYNAJEM4[[#This Row],[czas wynajecia domku]])</f>
        <v>750</v>
      </c>
      <c r="I282" s="9">
        <f xml:space="preserve"> WYNAJEM4[[#This Row],[suma energia i woda]] + WYNAJEM4[[#This Row],[czynsz]]</f>
        <v>756.75</v>
      </c>
    </row>
    <row r="283" spans="1:9" x14ac:dyDescent="0.25">
      <c r="A283" s="1">
        <v>41749</v>
      </c>
      <c r="B283" s="1">
        <v>41755</v>
      </c>
      <c r="C283" s="8">
        <v>11.44</v>
      </c>
      <c r="D283" s="8">
        <v>0.3</v>
      </c>
      <c r="E283">
        <v>6</v>
      </c>
      <c r="F283" s="10">
        <f>(WYNAJEM4[[#This Row],[data_wyjazdu]]-WYNAJEM4[[#This Row],[data_przyjazdu]])</f>
        <v>6</v>
      </c>
      <c r="G283" s="9">
        <f xml:space="preserve"> WYNAJEM4[[#This Row],[energia]] + WYNAJEM4[[#This Row],[woda]]</f>
        <v>11.74</v>
      </c>
      <c r="H283" s="8">
        <f xml:space="preserve"> (10 * WYNAJEM4[[#This Row],[typ]] * WYNAJEM4[[#This Row],[czas wynajecia domku]])</f>
        <v>360</v>
      </c>
      <c r="I283" s="9">
        <f xml:space="preserve"> WYNAJEM4[[#This Row],[suma energia i woda]] + WYNAJEM4[[#This Row],[czynsz]]</f>
        <v>371.74</v>
      </c>
    </row>
    <row r="284" spans="1:9" x14ac:dyDescent="0.25">
      <c r="A284" s="1">
        <v>41749</v>
      </c>
      <c r="B284" s="1">
        <v>41763</v>
      </c>
      <c r="C284" s="8">
        <v>6.75</v>
      </c>
      <c r="D284" s="8">
        <v>0.18</v>
      </c>
      <c r="E284">
        <v>6</v>
      </c>
      <c r="F284" s="10">
        <f>(WYNAJEM4[[#This Row],[data_wyjazdu]]-WYNAJEM4[[#This Row],[data_przyjazdu]])</f>
        <v>14</v>
      </c>
      <c r="G284" s="9">
        <f xml:space="preserve"> WYNAJEM4[[#This Row],[energia]] + WYNAJEM4[[#This Row],[woda]]</f>
        <v>6.93</v>
      </c>
      <c r="H284" s="8">
        <f xml:space="preserve"> (10 * WYNAJEM4[[#This Row],[typ]] * WYNAJEM4[[#This Row],[czas wynajecia domku]])</f>
        <v>840</v>
      </c>
      <c r="I284" s="9">
        <f xml:space="preserve"> WYNAJEM4[[#This Row],[suma energia i woda]] + WYNAJEM4[[#This Row],[czynsz]]</f>
        <v>846.93</v>
      </c>
    </row>
    <row r="285" spans="1:9" x14ac:dyDescent="0.25">
      <c r="A285" s="1">
        <v>41752</v>
      </c>
      <c r="B285" s="1">
        <v>41771</v>
      </c>
      <c r="C285" s="8">
        <v>7.71</v>
      </c>
      <c r="D285" s="8">
        <v>0.2</v>
      </c>
      <c r="E285">
        <v>5</v>
      </c>
      <c r="F285" s="10">
        <f>(WYNAJEM4[[#This Row],[data_wyjazdu]]-WYNAJEM4[[#This Row],[data_przyjazdu]])</f>
        <v>19</v>
      </c>
      <c r="G285" s="9">
        <f xml:space="preserve"> WYNAJEM4[[#This Row],[energia]] + WYNAJEM4[[#This Row],[woda]]</f>
        <v>7.91</v>
      </c>
      <c r="H285" s="8">
        <f xml:space="preserve"> (10 * WYNAJEM4[[#This Row],[typ]] * WYNAJEM4[[#This Row],[czas wynajecia domku]])</f>
        <v>950</v>
      </c>
      <c r="I285" s="9">
        <f xml:space="preserve"> WYNAJEM4[[#This Row],[suma energia i woda]] + WYNAJEM4[[#This Row],[czynsz]]</f>
        <v>957.91</v>
      </c>
    </row>
    <row r="286" spans="1:9" x14ac:dyDescent="0.25">
      <c r="A286" s="1">
        <v>41752</v>
      </c>
      <c r="B286" s="1">
        <v>41754</v>
      </c>
      <c r="C286" s="8">
        <v>6.75</v>
      </c>
      <c r="D286" s="8">
        <v>0.18</v>
      </c>
      <c r="E286">
        <v>4</v>
      </c>
      <c r="F286" s="10">
        <f>(WYNAJEM4[[#This Row],[data_wyjazdu]]-WYNAJEM4[[#This Row],[data_przyjazdu]])</f>
        <v>2</v>
      </c>
      <c r="G286" s="9">
        <f xml:space="preserve"> WYNAJEM4[[#This Row],[energia]] + WYNAJEM4[[#This Row],[woda]]</f>
        <v>6.93</v>
      </c>
      <c r="H286" s="8">
        <f xml:space="preserve"> (10 * WYNAJEM4[[#This Row],[typ]] * WYNAJEM4[[#This Row],[czas wynajecia domku]])</f>
        <v>80</v>
      </c>
      <c r="I286" s="9">
        <f xml:space="preserve"> WYNAJEM4[[#This Row],[suma energia i woda]] + WYNAJEM4[[#This Row],[czynsz]]</f>
        <v>86.93</v>
      </c>
    </row>
    <row r="287" spans="1:9" x14ac:dyDescent="0.25">
      <c r="A287" s="1">
        <v>41753</v>
      </c>
      <c r="B287" s="1">
        <v>41758</v>
      </c>
      <c r="C287" s="8">
        <v>3.57</v>
      </c>
      <c r="D287" s="8">
        <v>0.09</v>
      </c>
      <c r="E287">
        <v>2</v>
      </c>
      <c r="F287" s="10">
        <f>(WYNAJEM4[[#This Row],[data_wyjazdu]]-WYNAJEM4[[#This Row],[data_przyjazdu]])</f>
        <v>5</v>
      </c>
      <c r="G287" s="9">
        <f xml:space="preserve"> WYNAJEM4[[#This Row],[energia]] + WYNAJEM4[[#This Row],[woda]]</f>
        <v>3.6599999999999997</v>
      </c>
      <c r="H287" s="8">
        <f xml:space="preserve"> (10 * WYNAJEM4[[#This Row],[typ]] * WYNAJEM4[[#This Row],[czas wynajecia domku]])</f>
        <v>100</v>
      </c>
      <c r="I287" s="9">
        <f xml:space="preserve"> WYNAJEM4[[#This Row],[suma energia i woda]] + WYNAJEM4[[#This Row],[czynsz]]</f>
        <v>103.66</v>
      </c>
    </row>
    <row r="288" spans="1:9" x14ac:dyDescent="0.25">
      <c r="A288" s="1">
        <v>41755</v>
      </c>
      <c r="B288" s="1">
        <v>41782</v>
      </c>
      <c r="C288" s="8">
        <v>10.19</v>
      </c>
      <c r="D288" s="8">
        <v>0.27</v>
      </c>
      <c r="E288">
        <v>3</v>
      </c>
      <c r="F288" s="10">
        <f>(WYNAJEM4[[#This Row],[data_wyjazdu]]-WYNAJEM4[[#This Row],[data_przyjazdu]])</f>
        <v>27</v>
      </c>
      <c r="G288" s="9">
        <f xml:space="preserve"> WYNAJEM4[[#This Row],[energia]] + WYNAJEM4[[#This Row],[woda]]</f>
        <v>10.459999999999999</v>
      </c>
      <c r="H288" s="8">
        <f xml:space="preserve"> (10 * WYNAJEM4[[#This Row],[typ]] * WYNAJEM4[[#This Row],[czas wynajecia domku]])</f>
        <v>810</v>
      </c>
      <c r="I288" s="9">
        <f xml:space="preserve"> WYNAJEM4[[#This Row],[suma energia i woda]] + WYNAJEM4[[#This Row],[czynsz]]</f>
        <v>820.46</v>
      </c>
    </row>
    <row r="289" spans="1:9" x14ac:dyDescent="0.25">
      <c r="A289" s="1">
        <v>41755</v>
      </c>
      <c r="B289" s="1">
        <v>41779</v>
      </c>
      <c r="C289" s="8">
        <v>11.78</v>
      </c>
      <c r="D289" s="8">
        <v>0.31</v>
      </c>
      <c r="E289">
        <v>3</v>
      </c>
      <c r="F289" s="10">
        <f>(WYNAJEM4[[#This Row],[data_wyjazdu]]-WYNAJEM4[[#This Row],[data_przyjazdu]])</f>
        <v>24</v>
      </c>
      <c r="G289" s="9">
        <f xml:space="preserve"> WYNAJEM4[[#This Row],[energia]] + WYNAJEM4[[#This Row],[woda]]</f>
        <v>12.09</v>
      </c>
      <c r="H289" s="8">
        <f xml:space="preserve"> (10 * WYNAJEM4[[#This Row],[typ]] * WYNAJEM4[[#This Row],[czas wynajecia domku]])</f>
        <v>720</v>
      </c>
      <c r="I289" s="9">
        <f xml:space="preserve"> WYNAJEM4[[#This Row],[suma energia i woda]] + WYNAJEM4[[#This Row],[czynsz]]</f>
        <v>732.09</v>
      </c>
    </row>
    <row r="290" spans="1:9" x14ac:dyDescent="0.25">
      <c r="A290" s="1">
        <v>41755</v>
      </c>
      <c r="B290" s="1">
        <v>41771</v>
      </c>
      <c r="C290" s="8">
        <v>3.79</v>
      </c>
      <c r="D290" s="8">
        <v>0.1</v>
      </c>
      <c r="E290">
        <v>3</v>
      </c>
      <c r="F290" s="10">
        <f>(WYNAJEM4[[#This Row],[data_wyjazdu]]-WYNAJEM4[[#This Row],[data_przyjazdu]])</f>
        <v>16</v>
      </c>
      <c r="G290" s="9">
        <f xml:space="preserve"> WYNAJEM4[[#This Row],[energia]] + WYNAJEM4[[#This Row],[woda]]</f>
        <v>3.89</v>
      </c>
      <c r="H290" s="8">
        <f xml:space="preserve"> (10 * WYNAJEM4[[#This Row],[typ]] * WYNAJEM4[[#This Row],[czas wynajecia domku]])</f>
        <v>480</v>
      </c>
      <c r="I290" s="9">
        <f xml:space="preserve"> WYNAJEM4[[#This Row],[suma energia i woda]] + WYNAJEM4[[#This Row],[czynsz]]</f>
        <v>483.89</v>
      </c>
    </row>
    <row r="291" spans="1:9" x14ac:dyDescent="0.25">
      <c r="A291" s="1">
        <v>41755</v>
      </c>
      <c r="B291" s="1">
        <v>41761</v>
      </c>
      <c r="C291" s="8">
        <v>6.75</v>
      </c>
      <c r="D291" s="8">
        <v>0.18</v>
      </c>
      <c r="E291">
        <v>6</v>
      </c>
      <c r="F291" s="10">
        <f>(WYNAJEM4[[#This Row],[data_wyjazdu]]-WYNAJEM4[[#This Row],[data_przyjazdu]])</f>
        <v>6</v>
      </c>
      <c r="G291" s="9">
        <f xml:space="preserve"> WYNAJEM4[[#This Row],[energia]] + WYNAJEM4[[#This Row],[woda]]</f>
        <v>6.93</v>
      </c>
      <c r="H291" s="8">
        <f xml:space="preserve"> (10 * WYNAJEM4[[#This Row],[typ]] * WYNAJEM4[[#This Row],[czas wynajecia domku]])</f>
        <v>360</v>
      </c>
      <c r="I291" s="9">
        <f xml:space="preserve"> WYNAJEM4[[#This Row],[suma energia i woda]] + WYNAJEM4[[#This Row],[czynsz]]</f>
        <v>366.93</v>
      </c>
    </row>
    <row r="292" spans="1:9" x14ac:dyDescent="0.25">
      <c r="A292" s="1">
        <v>41755</v>
      </c>
      <c r="B292" s="1">
        <v>41767</v>
      </c>
      <c r="C292" s="8">
        <v>12.01</v>
      </c>
      <c r="D292" s="8">
        <v>0.32</v>
      </c>
      <c r="E292">
        <v>2</v>
      </c>
      <c r="F292" s="10">
        <f>(WYNAJEM4[[#This Row],[data_wyjazdu]]-WYNAJEM4[[#This Row],[data_przyjazdu]])</f>
        <v>12</v>
      </c>
      <c r="G292" s="9">
        <f xml:space="preserve"> WYNAJEM4[[#This Row],[energia]] + WYNAJEM4[[#This Row],[woda]]</f>
        <v>12.33</v>
      </c>
      <c r="H292" s="8">
        <f xml:space="preserve"> (10 * WYNAJEM4[[#This Row],[typ]] * WYNAJEM4[[#This Row],[czas wynajecia domku]])</f>
        <v>240</v>
      </c>
      <c r="I292" s="9">
        <f xml:space="preserve"> WYNAJEM4[[#This Row],[suma energia i woda]] + WYNAJEM4[[#This Row],[czynsz]]</f>
        <v>252.33</v>
      </c>
    </row>
    <row r="293" spans="1:9" x14ac:dyDescent="0.25">
      <c r="A293" s="1">
        <v>41755</v>
      </c>
      <c r="B293" s="1">
        <v>41764</v>
      </c>
      <c r="C293" s="8">
        <v>2.0099999999999998</v>
      </c>
      <c r="D293" s="8">
        <v>0.05</v>
      </c>
      <c r="E293">
        <v>2</v>
      </c>
      <c r="F293" s="10">
        <f>(WYNAJEM4[[#This Row],[data_wyjazdu]]-WYNAJEM4[[#This Row],[data_przyjazdu]])</f>
        <v>9</v>
      </c>
      <c r="G293" s="9">
        <f xml:space="preserve"> WYNAJEM4[[#This Row],[energia]] + WYNAJEM4[[#This Row],[woda]]</f>
        <v>2.0599999999999996</v>
      </c>
      <c r="H293" s="8">
        <f xml:space="preserve"> (10 * WYNAJEM4[[#This Row],[typ]] * WYNAJEM4[[#This Row],[czas wynajecia domku]])</f>
        <v>180</v>
      </c>
      <c r="I293" s="9">
        <f xml:space="preserve"> WYNAJEM4[[#This Row],[suma energia i woda]] + WYNAJEM4[[#This Row],[czynsz]]</f>
        <v>182.06</v>
      </c>
    </row>
    <row r="294" spans="1:9" x14ac:dyDescent="0.25">
      <c r="A294" s="1">
        <v>41757</v>
      </c>
      <c r="B294" s="1">
        <v>41768</v>
      </c>
      <c r="C294" s="8">
        <v>9.06</v>
      </c>
      <c r="D294" s="8">
        <v>0.24</v>
      </c>
      <c r="E294">
        <v>5</v>
      </c>
      <c r="F294" s="10">
        <f>(WYNAJEM4[[#This Row],[data_wyjazdu]]-WYNAJEM4[[#This Row],[data_przyjazdu]])</f>
        <v>11</v>
      </c>
      <c r="G294" s="9">
        <f xml:space="preserve"> WYNAJEM4[[#This Row],[energia]] + WYNAJEM4[[#This Row],[woda]]</f>
        <v>9.3000000000000007</v>
      </c>
      <c r="H294" s="8">
        <f xml:space="preserve"> (10 * WYNAJEM4[[#This Row],[typ]] * WYNAJEM4[[#This Row],[czas wynajecia domku]])</f>
        <v>550</v>
      </c>
      <c r="I294" s="9">
        <f xml:space="preserve"> WYNAJEM4[[#This Row],[suma energia i woda]] + WYNAJEM4[[#This Row],[czynsz]]</f>
        <v>559.29999999999995</v>
      </c>
    </row>
    <row r="295" spans="1:9" x14ac:dyDescent="0.25">
      <c r="A295" s="1">
        <v>41761</v>
      </c>
      <c r="B295" s="1">
        <v>41786</v>
      </c>
      <c r="C295" s="8">
        <v>13.81</v>
      </c>
      <c r="D295" s="8">
        <v>0.36</v>
      </c>
      <c r="E295">
        <v>3</v>
      </c>
      <c r="F295" s="10">
        <f>(WYNAJEM4[[#This Row],[data_wyjazdu]]-WYNAJEM4[[#This Row],[data_przyjazdu]])</f>
        <v>25</v>
      </c>
      <c r="G295" s="9">
        <f xml:space="preserve"> WYNAJEM4[[#This Row],[energia]] + WYNAJEM4[[#This Row],[woda]]</f>
        <v>14.17</v>
      </c>
      <c r="H295" s="8">
        <f xml:space="preserve"> (10 * WYNAJEM4[[#This Row],[typ]] * WYNAJEM4[[#This Row],[czas wynajecia domku]])</f>
        <v>750</v>
      </c>
      <c r="I295" s="9">
        <f xml:space="preserve"> WYNAJEM4[[#This Row],[suma energia i woda]] + WYNAJEM4[[#This Row],[czynsz]]</f>
        <v>764.17</v>
      </c>
    </row>
    <row r="296" spans="1:9" x14ac:dyDescent="0.25">
      <c r="A296" s="1">
        <v>41761</v>
      </c>
      <c r="B296" s="1">
        <v>41782</v>
      </c>
      <c r="C296" s="8">
        <v>5.47</v>
      </c>
      <c r="D296" s="8">
        <v>0.14000000000000001</v>
      </c>
      <c r="E296">
        <v>3</v>
      </c>
      <c r="F296" s="10">
        <f>(WYNAJEM4[[#This Row],[data_wyjazdu]]-WYNAJEM4[[#This Row],[data_przyjazdu]])</f>
        <v>21</v>
      </c>
      <c r="G296" s="9">
        <f xml:space="preserve"> WYNAJEM4[[#This Row],[energia]] + WYNAJEM4[[#This Row],[woda]]</f>
        <v>5.6099999999999994</v>
      </c>
      <c r="H296" s="8">
        <f xml:space="preserve"> (10 * WYNAJEM4[[#This Row],[typ]] * WYNAJEM4[[#This Row],[czas wynajecia domku]])</f>
        <v>630</v>
      </c>
      <c r="I296" s="9">
        <f xml:space="preserve"> WYNAJEM4[[#This Row],[suma energia i woda]] + WYNAJEM4[[#This Row],[czynsz]]</f>
        <v>635.61</v>
      </c>
    </row>
    <row r="297" spans="1:9" x14ac:dyDescent="0.25">
      <c r="A297" s="1">
        <v>41761</v>
      </c>
      <c r="B297" s="1">
        <v>41777</v>
      </c>
      <c r="C297" s="8">
        <v>9.06</v>
      </c>
      <c r="D297" s="8">
        <v>0.24</v>
      </c>
      <c r="E297">
        <v>5</v>
      </c>
      <c r="F297" s="10">
        <f>(WYNAJEM4[[#This Row],[data_wyjazdu]]-WYNAJEM4[[#This Row],[data_przyjazdu]])</f>
        <v>16</v>
      </c>
      <c r="G297" s="9">
        <f xml:space="preserve"> WYNAJEM4[[#This Row],[energia]] + WYNAJEM4[[#This Row],[woda]]</f>
        <v>9.3000000000000007</v>
      </c>
      <c r="H297" s="8">
        <f xml:space="preserve"> (10 * WYNAJEM4[[#This Row],[typ]] * WYNAJEM4[[#This Row],[czas wynajecia domku]])</f>
        <v>800</v>
      </c>
      <c r="I297" s="9">
        <f xml:space="preserve"> WYNAJEM4[[#This Row],[suma energia i woda]] + WYNAJEM4[[#This Row],[czynsz]]</f>
        <v>809.3</v>
      </c>
    </row>
    <row r="298" spans="1:9" x14ac:dyDescent="0.25">
      <c r="A298" s="1">
        <v>41764</v>
      </c>
      <c r="B298" s="1">
        <v>41780</v>
      </c>
      <c r="C298" s="8">
        <v>8.39</v>
      </c>
      <c r="D298" s="8">
        <v>0.22</v>
      </c>
      <c r="E298">
        <v>5</v>
      </c>
      <c r="F298" s="10">
        <f>(WYNAJEM4[[#This Row],[data_wyjazdu]]-WYNAJEM4[[#This Row],[data_przyjazdu]])</f>
        <v>16</v>
      </c>
      <c r="G298" s="9">
        <f xml:space="preserve"> WYNAJEM4[[#This Row],[energia]] + WYNAJEM4[[#This Row],[woda]]</f>
        <v>8.6100000000000012</v>
      </c>
      <c r="H298" s="8">
        <f xml:space="preserve"> (10 * WYNAJEM4[[#This Row],[typ]] * WYNAJEM4[[#This Row],[czas wynajecia domku]])</f>
        <v>800</v>
      </c>
      <c r="I298" s="9">
        <f xml:space="preserve"> WYNAJEM4[[#This Row],[suma energia i woda]] + WYNAJEM4[[#This Row],[czynsz]]</f>
        <v>808.61</v>
      </c>
    </row>
    <row r="299" spans="1:9" x14ac:dyDescent="0.25">
      <c r="A299" s="1">
        <v>41764</v>
      </c>
      <c r="B299" s="1">
        <v>41776</v>
      </c>
      <c r="C299" s="8">
        <v>3.73</v>
      </c>
      <c r="D299" s="8">
        <v>0.1</v>
      </c>
      <c r="E299">
        <v>5</v>
      </c>
      <c r="F299" s="10">
        <f>(WYNAJEM4[[#This Row],[data_wyjazdu]]-WYNAJEM4[[#This Row],[data_przyjazdu]])</f>
        <v>12</v>
      </c>
      <c r="G299" s="9">
        <f xml:space="preserve"> WYNAJEM4[[#This Row],[energia]] + WYNAJEM4[[#This Row],[woda]]</f>
        <v>3.83</v>
      </c>
      <c r="H299" s="8">
        <f xml:space="preserve"> (10 * WYNAJEM4[[#This Row],[typ]] * WYNAJEM4[[#This Row],[czas wynajecia domku]])</f>
        <v>600</v>
      </c>
      <c r="I299" s="9">
        <f xml:space="preserve"> WYNAJEM4[[#This Row],[suma energia i woda]] + WYNAJEM4[[#This Row],[czynsz]]</f>
        <v>603.83000000000004</v>
      </c>
    </row>
    <row r="300" spans="1:9" x14ac:dyDescent="0.25">
      <c r="A300" s="1">
        <v>41765</v>
      </c>
      <c r="B300" s="1">
        <v>41773</v>
      </c>
      <c r="C300" s="8">
        <v>7.31</v>
      </c>
      <c r="D300" s="8">
        <v>0.19</v>
      </c>
      <c r="E300">
        <v>4</v>
      </c>
      <c r="F300" s="10">
        <f>(WYNAJEM4[[#This Row],[data_wyjazdu]]-WYNAJEM4[[#This Row],[data_przyjazdu]])</f>
        <v>8</v>
      </c>
      <c r="G300" s="9">
        <f xml:space="preserve"> WYNAJEM4[[#This Row],[energia]] + WYNAJEM4[[#This Row],[woda]]</f>
        <v>7.5</v>
      </c>
      <c r="H300" s="8">
        <f xml:space="preserve"> (10 * WYNAJEM4[[#This Row],[typ]] * WYNAJEM4[[#This Row],[czas wynajecia domku]])</f>
        <v>320</v>
      </c>
      <c r="I300" s="9">
        <f xml:space="preserve"> WYNAJEM4[[#This Row],[suma energia i woda]] + WYNAJEM4[[#This Row],[czynsz]]</f>
        <v>327.5</v>
      </c>
    </row>
    <row r="301" spans="1:9" x14ac:dyDescent="0.25">
      <c r="A301" s="1">
        <v>41767</v>
      </c>
      <c r="B301" s="1">
        <v>41780</v>
      </c>
      <c r="C301" s="8">
        <v>14.31</v>
      </c>
      <c r="D301" s="8">
        <v>0.38</v>
      </c>
      <c r="E301">
        <v>6</v>
      </c>
      <c r="F301" s="10">
        <f>(WYNAJEM4[[#This Row],[data_wyjazdu]]-WYNAJEM4[[#This Row],[data_przyjazdu]])</f>
        <v>13</v>
      </c>
      <c r="G301" s="9">
        <f xml:space="preserve"> WYNAJEM4[[#This Row],[energia]] + WYNAJEM4[[#This Row],[woda]]</f>
        <v>14.690000000000001</v>
      </c>
      <c r="H301" s="8">
        <f xml:space="preserve"> (10 * WYNAJEM4[[#This Row],[typ]] * WYNAJEM4[[#This Row],[czas wynajecia domku]])</f>
        <v>780</v>
      </c>
      <c r="I301" s="9">
        <f xml:space="preserve"> WYNAJEM4[[#This Row],[suma energia i woda]] + WYNAJEM4[[#This Row],[czynsz]]</f>
        <v>794.69</v>
      </c>
    </row>
    <row r="302" spans="1:9" x14ac:dyDescent="0.25">
      <c r="A302" s="1">
        <v>41767</v>
      </c>
      <c r="B302" s="1">
        <v>41794</v>
      </c>
      <c r="C302" s="8">
        <v>14.13</v>
      </c>
      <c r="D302" s="8">
        <v>0.37</v>
      </c>
      <c r="E302">
        <v>4</v>
      </c>
      <c r="F302" s="10">
        <f>(WYNAJEM4[[#This Row],[data_wyjazdu]]-WYNAJEM4[[#This Row],[data_przyjazdu]])</f>
        <v>27</v>
      </c>
      <c r="G302" s="9">
        <f xml:space="preserve"> WYNAJEM4[[#This Row],[energia]] + WYNAJEM4[[#This Row],[woda]]</f>
        <v>14.5</v>
      </c>
      <c r="H302" s="8">
        <f xml:space="preserve"> (10 * WYNAJEM4[[#This Row],[typ]] * WYNAJEM4[[#This Row],[czas wynajecia domku]])</f>
        <v>1080</v>
      </c>
      <c r="I302" s="9">
        <f xml:space="preserve"> WYNAJEM4[[#This Row],[suma energia i woda]] + WYNAJEM4[[#This Row],[czynsz]]</f>
        <v>1094.5</v>
      </c>
    </row>
    <row r="303" spans="1:9" x14ac:dyDescent="0.25">
      <c r="A303" s="1">
        <v>41767</v>
      </c>
      <c r="B303" s="1">
        <v>41777</v>
      </c>
      <c r="C303" s="8">
        <v>3.88</v>
      </c>
      <c r="D303" s="8">
        <v>0.1</v>
      </c>
      <c r="E303">
        <v>5</v>
      </c>
      <c r="F303" s="10">
        <f>(WYNAJEM4[[#This Row],[data_wyjazdu]]-WYNAJEM4[[#This Row],[data_przyjazdu]])</f>
        <v>10</v>
      </c>
      <c r="G303" s="9">
        <f xml:space="preserve"> WYNAJEM4[[#This Row],[energia]] + WYNAJEM4[[#This Row],[woda]]</f>
        <v>3.98</v>
      </c>
      <c r="H303" s="8">
        <f xml:space="preserve"> (10 * WYNAJEM4[[#This Row],[typ]] * WYNAJEM4[[#This Row],[czas wynajecia domku]])</f>
        <v>500</v>
      </c>
      <c r="I303" s="9">
        <f xml:space="preserve"> WYNAJEM4[[#This Row],[suma energia i woda]] + WYNAJEM4[[#This Row],[czynsz]]</f>
        <v>503.98</v>
      </c>
    </row>
    <row r="304" spans="1:9" x14ac:dyDescent="0.25">
      <c r="A304" s="1">
        <v>41767</v>
      </c>
      <c r="B304" s="1">
        <v>41769</v>
      </c>
      <c r="C304" s="8">
        <v>7.35</v>
      </c>
      <c r="D304" s="8">
        <v>0.19</v>
      </c>
      <c r="E304">
        <v>6</v>
      </c>
      <c r="F304" s="10">
        <f>(WYNAJEM4[[#This Row],[data_wyjazdu]]-WYNAJEM4[[#This Row],[data_przyjazdu]])</f>
        <v>2</v>
      </c>
      <c r="G304" s="9">
        <f xml:space="preserve"> WYNAJEM4[[#This Row],[energia]] + WYNAJEM4[[#This Row],[woda]]</f>
        <v>7.54</v>
      </c>
      <c r="H304" s="8">
        <f xml:space="preserve"> (10 * WYNAJEM4[[#This Row],[typ]] * WYNAJEM4[[#This Row],[czas wynajecia domku]])</f>
        <v>120</v>
      </c>
      <c r="I304" s="9">
        <f xml:space="preserve"> WYNAJEM4[[#This Row],[suma energia i woda]] + WYNAJEM4[[#This Row],[czynsz]]</f>
        <v>127.54</v>
      </c>
    </row>
    <row r="305" spans="1:9" x14ac:dyDescent="0.25">
      <c r="A305" s="1">
        <v>41767</v>
      </c>
      <c r="B305" s="1">
        <v>41776</v>
      </c>
      <c r="C305" s="8">
        <v>12.01</v>
      </c>
      <c r="D305" s="8">
        <v>0.32</v>
      </c>
      <c r="E305">
        <v>4</v>
      </c>
      <c r="F305" s="10">
        <f>(WYNAJEM4[[#This Row],[data_wyjazdu]]-WYNAJEM4[[#This Row],[data_przyjazdu]])</f>
        <v>9</v>
      </c>
      <c r="G305" s="9">
        <f xml:space="preserve"> WYNAJEM4[[#This Row],[energia]] + WYNAJEM4[[#This Row],[woda]]</f>
        <v>12.33</v>
      </c>
      <c r="H305" s="8">
        <f xml:space="preserve"> (10 * WYNAJEM4[[#This Row],[typ]] * WYNAJEM4[[#This Row],[czas wynajecia domku]])</f>
        <v>360</v>
      </c>
      <c r="I305" s="9">
        <f xml:space="preserve"> WYNAJEM4[[#This Row],[suma energia i woda]] + WYNAJEM4[[#This Row],[czynsz]]</f>
        <v>372.33</v>
      </c>
    </row>
    <row r="306" spans="1:9" x14ac:dyDescent="0.25">
      <c r="A306" s="1">
        <v>41767</v>
      </c>
      <c r="B306" s="1">
        <v>41775</v>
      </c>
      <c r="C306" s="8">
        <v>13.07</v>
      </c>
      <c r="D306" s="8">
        <v>0.34</v>
      </c>
      <c r="E306">
        <v>3</v>
      </c>
      <c r="F306" s="10">
        <f>(WYNAJEM4[[#This Row],[data_wyjazdu]]-WYNAJEM4[[#This Row],[data_przyjazdu]])</f>
        <v>8</v>
      </c>
      <c r="G306" s="9">
        <f xml:space="preserve"> WYNAJEM4[[#This Row],[energia]] + WYNAJEM4[[#This Row],[woda]]</f>
        <v>13.41</v>
      </c>
      <c r="H306" s="8">
        <f xml:space="preserve"> (10 * WYNAJEM4[[#This Row],[typ]] * WYNAJEM4[[#This Row],[czas wynajecia domku]])</f>
        <v>240</v>
      </c>
      <c r="I306" s="9">
        <f xml:space="preserve"> WYNAJEM4[[#This Row],[suma energia i woda]] + WYNAJEM4[[#This Row],[czynsz]]</f>
        <v>253.41</v>
      </c>
    </row>
    <row r="307" spans="1:9" x14ac:dyDescent="0.25">
      <c r="A307" s="1">
        <v>41773</v>
      </c>
      <c r="B307" s="1">
        <v>41789</v>
      </c>
      <c r="C307" s="8">
        <v>7.35</v>
      </c>
      <c r="D307" s="8">
        <v>0.19</v>
      </c>
      <c r="E307">
        <v>4</v>
      </c>
      <c r="F307" s="10">
        <f>(WYNAJEM4[[#This Row],[data_wyjazdu]]-WYNAJEM4[[#This Row],[data_przyjazdu]])</f>
        <v>16</v>
      </c>
      <c r="G307" s="9">
        <f xml:space="preserve"> WYNAJEM4[[#This Row],[energia]] + WYNAJEM4[[#This Row],[woda]]</f>
        <v>7.54</v>
      </c>
      <c r="H307" s="8">
        <f xml:space="preserve"> (10 * WYNAJEM4[[#This Row],[typ]] * WYNAJEM4[[#This Row],[czas wynajecia domku]])</f>
        <v>640</v>
      </c>
      <c r="I307" s="9">
        <f xml:space="preserve"> WYNAJEM4[[#This Row],[suma energia i woda]] + WYNAJEM4[[#This Row],[czynsz]]</f>
        <v>647.54</v>
      </c>
    </row>
    <row r="308" spans="1:9" x14ac:dyDescent="0.25">
      <c r="A308" s="1">
        <v>41773</v>
      </c>
      <c r="B308" s="1">
        <v>41776</v>
      </c>
      <c r="C308" s="8">
        <v>11.37</v>
      </c>
      <c r="D308" s="8">
        <v>0.3</v>
      </c>
      <c r="E308">
        <v>2</v>
      </c>
      <c r="F308" s="10">
        <f>(WYNAJEM4[[#This Row],[data_wyjazdu]]-WYNAJEM4[[#This Row],[data_przyjazdu]])</f>
        <v>3</v>
      </c>
      <c r="G308" s="9">
        <f xml:space="preserve"> WYNAJEM4[[#This Row],[energia]] + WYNAJEM4[[#This Row],[woda]]</f>
        <v>11.67</v>
      </c>
      <c r="H308" s="8">
        <f xml:space="preserve"> (10 * WYNAJEM4[[#This Row],[typ]] * WYNAJEM4[[#This Row],[czas wynajecia domku]])</f>
        <v>60</v>
      </c>
      <c r="I308" s="9">
        <f xml:space="preserve"> WYNAJEM4[[#This Row],[suma energia i woda]] + WYNAJEM4[[#This Row],[czynsz]]</f>
        <v>71.67</v>
      </c>
    </row>
    <row r="309" spans="1:9" x14ac:dyDescent="0.25">
      <c r="A309" s="1">
        <v>41773</v>
      </c>
      <c r="B309" s="1">
        <v>41778</v>
      </c>
      <c r="C309" s="8">
        <v>13.81</v>
      </c>
      <c r="D309" s="8">
        <v>0.36</v>
      </c>
      <c r="E309">
        <v>3</v>
      </c>
      <c r="F309" s="10">
        <f>(WYNAJEM4[[#This Row],[data_wyjazdu]]-WYNAJEM4[[#This Row],[data_przyjazdu]])</f>
        <v>5</v>
      </c>
      <c r="G309" s="9">
        <f xml:space="preserve"> WYNAJEM4[[#This Row],[energia]] + WYNAJEM4[[#This Row],[woda]]</f>
        <v>14.17</v>
      </c>
      <c r="H309" s="8">
        <f xml:space="preserve"> (10 * WYNAJEM4[[#This Row],[typ]] * WYNAJEM4[[#This Row],[czas wynajecia domku]])</f>
        <v>150</v>
      </c>
      <c r="I309" s="9">
        <f xml:space="preserve"> WYNAJEM4[[#This Row],[suma energia i woda]] + WYNAJEM4[[#This Row],[czynsz]]</f>
        <v>164.17</v>
      </c>
    </row>
    <row r="310" spans="1:9" x14ac:dyDescent="0.25">
      <c r="A310" s="1">
        <v>41773</v>
      </c>
      <c r="B310" s="1">
        <v>41780</v>
      </c>
      <c r="C310" s="8">
        <v>5.64</v>
      </c>
      <c r="D310" s="8">
        <v>0.15</v>
      </c>
      <c r="E310">
        <v>6</v>
      </c>
      <c r="F310" s="10">
        <f>(WYNAJEM4[[#This Row],[data_wyjazdu]]-WYNAJEM4[[#This Row],[data_przyjazdu]])</f>
        <v>7</v>
      </c>
      <c r="G310" s="9">
        <f xml:space="preserve"> WYNAJEM4[[#This Row],[energia]] + WYNAJEM4[[#This Row],[woda]]</f>
        <v>5.79</v>
      </c>
      <c r="H310" s="8">
        <f xml:space="preserve"> (10 * WYNAJEM4[[#This Row],[typ]] * WYNAJEM4[[#This Row],[czas wynajecia domku]])</f>
        <v>420</v>
      </c>
      <c r="I310" s="9">
        <f xml:space="preserve"> WYNAJEM4[[#This Row],[suma energia i woda]] + WYNAJEM4[[#This Row],[czynsz]]</f>
        <v>425.79</v>
      </c>
    </row>
    <row r="311" spans="1:9" x14ac:dyDescent="0.25">
      <c r="A311" s="1">
        <v>41773</v>
      </c>
      <c r="B311" s="1">
        <v>41782</v>
      </c>
      <c r="C311" s="8">
        <v>7.55</v>
      </c>
      <c r="D311" s="8">
        <v>0.2</v>
      </c>
      <c r="E311">
        <v>2</v>
      </c>
      <c r="F311" s="10">
        <f>(WYNAJEM4[[#This Row],[data_wyjazdu]]-WYNAJEM4[[#This Row],[data_przyjazdu]])</f>
        <v>9</v>
      </c>
      <c r="G311" s="9">
        <f xml:space="preserve"> WYNAJEM4[[#This Row],[energia]] + WYNAJEM4[[#This Row],[woda]]</f>
        <v>7.75</v>
      </c>
      <c r="H311" s="8">
        <f xml:space="preserve"> (10 * WYNAJEM4[[#This Row],[typ]] * WYNAJEM4[[#This Row],[czas wynajecia domku]])</f>
        <v>180</v>
      </c>
      <c r="I311" s="9">
        <f xml:space="preserve"> WYNAJEM4[[#This Row],[suma energia i woda]] + WYNAJEM4[[#This Row],[czynsz]]</f>
        <v>187.75</v>
      </c>
    </row>
    <row r="312" spans="1:9" x14ac:dyDescent="0.25">
      <c r="A312" s="1">
        <v>41773</v>
      </c>
      <c r="B312" s="1">
        <v>41787</v>
      </c>
      <c r="C312" s="8">
        <v>5.23</v>
      </c>
      <c r="D312" s="8">
        <v>0.14000000000000001</v>
      </c>
      <c r="E312">
        <v>3</v>
      </c>
      <c r="F312" s="10">
        <f>(WYNAJEM4[[#This Row],[data_wyjazdu]]-WYNAJEM4[[#This Row],[data_przyjazdu]])</f>
        <v>14</v>
      </c>
      <c r="G312" s="9">
        <f xml:space="preserve"> WYNAJEM4[[#This Row],[energia]] + WYNAJEM4[[#This Row],[woda]]</f>
        <v>5.37</v>
      </c>
      <c r="H312" s="8">
        <f xml:space="preserve"> (10 * WYNAJEM4[[#This Row],[typ]] * WYNAJEM4[[#This Row],[czas wynajecia domku]])</f>
        <v>420</v>
      </c>
      <c r="I312" s="9">
        <f xml:space="preserve"> WYNAJEM4[[#This Row],[suma energia i woda]] + WYNAJEM4[[#This Row],[czynsz]]</f>
        <v>425.37</v>
      </c>
    </row>
    <row r="313" spans="1:9" x14ac:dyDescent="0.25">
      <c r="A313" s="1">
        <v>41773</v>
      </c>
      <c r="B313" s="1">
        <v>41791</v>
      </c>
      <c r="C313" s="8">
        <v>7.55</v>
      </c>
      <c r="D313" s="8">
        <v>0.2</v>
      </c>
      <c r="E313">
        <v>2</v>
      </c>
      <c r="F313" s="10">
        <f>(WYNAJEM4[[#This Row],[data_wyjazdu]]-WYNAJEM4[[#This Row],[data_przyjazdu]])</f>
        <v>18</v>
      </c>
      <c r="G313" s="9">
        <f xml:space="preserve"> WYNAJEM4[[#This Row],[energia]] + WYNAJEM4[[#This Row],[woda]]</f>
        <v>7.75</v>
      </c>
      <c r="H313" s="8">
        <f xml:space="preserve"> (10 * WYNAJEM4[[#This Row],[typ]] * WYNAJEM4[[#This Row],[czas wynajecia domku]])</f>
        <v>360</v>
      </c>
      <c r="I313" s="9">
        <f xml:space="preserve"> WYNAJEM4[[#This Row],[suma energia i woda]] + WYNAJEM4[[#This Row],[czynsz]]</f>
        <v>367.75</v>
      </c>
    </row>
    <row r="314" spans="1:9" x14ac:dyDescent="0.25">
      <c r="A314" s="1">
        <v>41779</v>
      </c>
      <c r="B314" s="1">
        <v>41792</v>
      </c>
      <c r="C314" s="8">
        <v>8.89</v>
      </c>
      <c r="D314" s="8">
        <v>0.23</v>
      </c>
      <c r="E314">
        <v>3</v>
      </c>
      <c r="F314" s="10">
        <f>(WYNAJEM4[[#This Row],[data_wyjazdu]]-WYNAJEM4[[#This Row],[data_przyjazdu]])</f>
        <v>13</v>
      </c>
      <c r="G314" s="9">
        <f xml:space="preserve"> WYNAJEM4[[#This Row],[energia]] + WYNAJEM4[[#This Row],[woda]]</f>
        <v>9.120000000000001</v>
      </c>
      <c r="H314" s="8">
        <f xml:space="preserve"> (10 * WYNAJEM4[[#This Row],[typ]] * WYNAJEM4[[#This Row],[czas wynajecia domku]])</f>
        <v>390</v>
      </c>
      <c r="I314" s="9">
        <f xml:space="preserve"> WYNAJEM4[[#This Row],[suma energia i woda]] + WYNAJEM4[[#This Row],[czynsz]]</f>
        <v>399.12</v>
      </c>
    </row>
    <row r="315" spans="1:9" x14ac:dyDescent="0.25">
      <c r="A315" s="1">
        <v>41779</v>
      </c>
      <c r="B315" s="1">
        <v>41803</v>
      </c>
      <c r="C315" s="8">
        <v>8.65</v>
      </c>
      <c r="D315" s="8">
        <v>0.23</v>
      </c>
      <c r="E315">
        <v>3</v>
      </c>
      <c r="F315" s="10">
        <f>(WYNAJEM4[[#This Row],[data_wyjazdu]]-WYNAJEM4[[#This Row],[data_przyjazdu]])</f>
        <v>24</v>
      </c>
      <c r="G315" s="9">
        <f xml:space="preserve"> WYNAJEM4[[#This Row],[energia]] + WYNAJEM4[[#This Row],[woda]]</f>
        <v>8.8800000000000008</v>
      </c>
      <c r="H315" s="8">
        <f xml:space="preserve"> (10 * WYNAJEM4[[#This Row],[typ]] * WYNAJEM4[[#This Row],[czas wynajecia domku]])</f>
        <v>720</v>
      </c>
      <c r="I315" s="9">
        <f xml:space="preserve"> WYNAJEM4[[#This Row],[suma energia i woda]] + WYNAJEM4[[#This Row],[czynsz]]</f>
        <v>728.88</v>
      </c>
    </row>
    <row r="316" spans="1:9" x14ac:dyDescent="0.25">
      <c r="A316" s="1">
        <v>41779</v>
      </c>
      <c r="B316" s="1">
        <v>41788</v>
      </c>
      <c r="C316" s="8">
        <v>7.3</v>
      </c>
      <c r="D316" s="8">
        <v>0.19</v>
      </c>
      <c r="E316">
        <v>6</v>
      </c>
      <c r="F316" s="10">
        <f>(WYNAJEM4[[#This Row],[data_wyjazdu]]-WYNAJEM4[[#This Row],[data_przyjazdu]])</f>
        <v>9</v>
      </c>
      <c r="G316" s="9">
        <f xml:space="preserve"> WYNAJEM4[[#This Row],[energia]] + WYNAJEM4[[#This Row],[woda]]</f>
        <v>7.49</v>
      </c>
      <c r="H316" s="8">
        <f xml:space="preserve"> (10 * WYNAJEM4[[#This Row],[typ]] * WYNAJEM4[[#This Row],[czas wynajecia domku]])</f>
        <v>540</v>
      </c>
      <c r="I316" s="9">
        <f xml:space="preserve"> WYNAJEM4[[#This Row],[suma energia i woda]] + WYNAJEM4[[#This Row],[czynsz]]</f>
        <v>547.49</v>
      </c>
    </row>
    <row r="317" spans="1:9" x14ac:dyDescent="0.25">
      <c r="A317" s="1">
        <v>41779</v>
      </c>
      <c r="B317" s="1">
        <v>41801</v>
      </c>
      <c r="C317" s="8">
        <v>10.59</v>
      </c>
      <c r="D317" s="8">
        <v>0.28000000000000003</v>
      </c>
      <c r="E317">
        <v>5</v>
      </c>
      <c r="F317" s="10">
        <f>(WYNAJEM4[[#This Row],[data_wyjazdu]]-WYNAJEM4[[#This Row],[data_przyjazdu]])</f>
        <v>22</v>
      </c>
      <c r="G317" s="9">
        <f xml:space="preserve"> WYNAJEM4[[#This Row],[energia]] + WYNAJEM4[[#This Row],[woda]]</f>
        <v>10.87</v>
      </c>
      <c r="H317" s="8">
        <f xml:space="preserve"> (10 * WYNAJEM4[[#This Row],[typ]] * WYNAJEM4[[#This Row],[czas wynajecia domku]])</f>
        <v>1100</v>
      </c>
      <c r="I317" s="9">
        <f xml:space="preserve"> WYNAJEM4[[#This Row],[suma energia i woda]] + WYNAJEM4[[#This Row],[czynsz]]</f>
        <v>1110.8699999999999</v>
      </c>
    </row>
    <row r="318" spans="1:9" x14ac:dyDescent="0.25">
      <c r="A318" s="1">
        <v>41779</v>
      </c>
      <c r="B318" s="1">
        <v>41789</v>
      </c>
      <c r="C318" s="8">
        <v>11.37</v>
      </c>
      <c r="D318" s="8">
        <v>0.3</v>
      </c>
      <c r="E318">
        <v>5</v>
      </c>
      <c r="F318" s="10">
        <f>(WYNAJEM4[[#This Row],[data_wyjazdu]]-WYNAJEM4[[#This Row],[data_przyjazdu]])</f>
        <v>10</v>
      </c>
      <c r="G318" s="9">
        <f xml:space="preserve"> WYNAJEM4[[#This Row],[energia]] + WYNAJEM4[[#This Row],[woda]]</f>
        <v>11.67</v>
      </c>
      <c r="H318" s="8">
        <f xml:space="preserve"> (10 * WYNAJEM4[[#This Row],[typ]] * WYNAJEM4[[#This Row],[czas wynajecia domku]])</f>
        <v>500</v>
      </c>
      <c r="I318" s="9">
        <f xml:space="preserve"> WYNAJEM4[[#This Row],[suma energia i woda]] + WYNAJEM4[[#This Row],[czynsz]]</f>
        <v>511.67</v>
      </c>
    </row>
    <row r="319" spans="1:9" x14ac:dyDescent="0.25">
      <c r="A319" s="1">
        <v>41779</v>
      </c>
      <c r="B319" s="1">
        <v>41793</v>
      </c>
      <c r="C319" s="8">
        <v>10.79</v>
      </c>
      <c r="D319" s="8">
        <v>0.28000000000000003</v>
      </c>
      <c r="E319">
        <v>4</v>
      </c>
      <c r="F319" s="10">
        <f>(WYNAJEM4[[#This Row],[data_wyjazdu]]-WYNAJEM4[[#This Row],[data_przyjazdu]])</f>
        <v>14</v>
      </c>
      <c r="G319" s="9">
        <f xml:space="preserve"> WYNAJEM4[[#This Row],[energia]] + WYNAJEM4[[#This Row],[woda]]</f>
        <v>11.069999999999999</v>
      </c>
      <c r="H319" s="8">
        <f xml:space="preserve"> (10 * WYNAJEM4[[#This Row],[typ]] * WYNAJEM4[[#This Row],[czas wynajecia domku]])</f>
        <v>560</v>
      </c>
      <c r="I319" s="9">
        <f xml:space="preserve"> WYNAJEM4[[#This Row],[suma energia i woda]] + WYNAJEM4[[#This Row],[czynsz]]</f>
        <v>571.07000000000005</v>
      </c>
    </row>
    <row r="320" spans="1:9" x14ac:dyDescent="0.25">
      <c r="A320" s="1">
        <v>41785</v>
      </c>
      <c r="B320" s="1">
        <v>41793</v>
      </c>
      <c r="C320" s="8">
        <v>11.44</v>
      </c>
      <c r="D320" s="8">
        <v>0.3</v>
      </c>
      <c r="E320">
        <v>4</v>
      </c>
      <c r="F320" s="10">
        <f>(WYNAJEM4[[#This Row],[data_wyjazdu]]-WYNAJEM4[[#This Row],[data_przyjazdu]])</f>
        <v>8</v>
      </c>
      <c r="G320" s="9">
        <f xml:space="preserve"> WYNAJEM4[[#This Row],[energia]] + WYNAJEM4[[#This Row],[woda]]</f>
        <v>11.74</v>
      </c>
      <c r="H320" s="8">
        <f xml:space="preserve"> (10 * WYNAJEM4[[#This Row],[typ]] * WYNAJEM4[[#This Row],[czas wynajecia domku]])</f>
        <v>320</v>
      </c>
      <c r="I320" s="9">
        <f xml:space="preserve"> WYNAJEM4[[#This Row],[suma energia i woda]] + WYNAJEM4[[#This Row],[czynsz]]</f>
        <v>331.74</v>
      </c>
    </row>
    <row r="321" spans="1:9" x14ac:dyDescent="0.25">
      <c r="A321" s="1">
        <v>41785</v>
      </c>
      <c r="B321" s="1">
        <v>41796</v>
      </c>
      <c r="C321" s="8">
        <v>13.07</v>
      </c>
      <c r="D321" s="8">
        <v>0.34</v>
      </c>
      <c r="E321">
        <v>2</v>
      </c>
      <c r="F321" s="10">
        <f>(WYNAJEM4[[#This Row],[data_wyjazdu]]-WYNAJEM4[[#This Row],[data_przyjazdu]])</f>
        <v>11</v>
      </c>
      <c r="G321" s="9">
        <f xml:space="preserve"> WYNAJEM4[[#This Row],[energia]] + WYNAJEM4[[#This Row],[woda]]</f>
        <v>13.41</v>
      </c>
      <c r="H321" s="8">
        <f xml:space="preserve"> (10 * WYNAJEM4[[#This Row],[typ]] * WYNAJEM4[[#This Row],[czas wynajecia domku]])</f>
        <v>220</v>
      </c>
      <c r="I321" s="9">
        <f xml:space="preserve"> WYNAJEM4[[#This Row],[suma energia i woda]] + WYNAJEM4[[#This Row],[czynsz]]</f>
        <v>233.41</v>
      </c>
    </row>
    <row r="322" spans="1:9" x14ac:dyDescent="0.25">
      <c r="A322" s="1">
        <v>41785</v>
      </c>
      <c r="B322" s="1">
        <v>41801</v>
      </c>
      <c r="C322" s="8">
        <v>5.57</v>
      </c>
      <c r="D322" s="8">
        <v>0.15</v>
      </c>
      <c r="E322">
        <v>6</v>
      </c>
      <c r="F322" s="10">
        <f>(WYNAJEM4[[#This Row],[data_wyjazdu]]-WYNAJEM4[[#This Row],[data_przyjazdu]])</f>
        <v>16</v>
      </c>
      <c r="G322" s="9">
        <f xml:space="preserve"> WYNAJEM4[[#This Row],[energia]] + WYNAJEM4[[#This Row],[woda]]</f>
        <v>5.7200000000000006</v>
      </c>
      <c r="H322" s="8">
        <f xml:space="preserve"> (10 * WYNAJEM4[[#This Row],[typ]] * WYNAJEM4[[#This Row],[czas wynajecia domku]])</f>
        <v>960</v>
      </c>
      <c r="I322" s="9">
        <f xml:space="preserve"> WYNAJEM4[[#This Row],[suma energia i woda]] + WYNAJEM4[[#This Row],[czynsz]]</f>
        <v>965.72</v>
      </c>
    </row>
    <row r="323" spans="1:9" x14ac:dyDescent="0.25">
      <c r="A323" s="1">
        <v>41785</v>
      </c>
      <c r="B323" s="1">
        <v>41787</v>
      </c>
      <c r="C323" s="8">
        <v>11.78</v>
      </c>
      <c r="D323" s="8">
        <v>0.31</v>
      </c>
      <c r="E323">
        <v>5</v>
      </c>
      <c r="F323" s="10">
        <f>(WYNAJEM4[[#This Row],[data_wyjazdu]]-WYNAJEM4[[#This Row],[data_przyjazdu]])</f>
        <v>2</v>
      </c>
      <c r="G323" s="9">
        <f xml:space="preserve"> WYNAJEM4[[#This Row],[energia]] + WYNAJEM4[[#This Row],[woda]]</f>
        <v>12.09</v>
      </c>
      <c r="H323" s="8">
        <f xml:space="preserve"> (10 * WYNAJEM4[[#This Row],[typ]] * WYNAJEM4[[#This Row],[czas wynajecia domku]])</f>
        <v>100</v>
      </c>
      <c r="I323" s="9">
        <f xml:space="preserve"> WYNAJEM4[[#This Row],[suma energia i woda]] + WYNAJEM4[[#This Row],[czynsz]]</f>
        <v>112.09</v>
      </c>
    </row>
    <row r="324" spans="1:9" x14ac:dyDescent="0.25">
      <c r="A324" s="1">
        <v>41785</v>
      </c>
      <c r="B324" s="1">
        <v>41788</v>
      </c>
      <c r="C324" s="8">
        <v>11.78</v>
      </c>
      <c r="D324" s="8">
        <v>0.31</v>
      </c>
      <c r="E324">
        <v>2</v>
      </c>
      <c r="F324" s="10">
        <f>(WYNAJEM4[[#This Row],[data_wyjazdu]]-WYNAJEM4[[#This Row],[data_przyjazdu]])</f>
        <v>3</v>
      </c>
      <c r="G324" s="9">
        <f xml:space="preserve"> WYNAJEM4[[#This Row],[energia]] + WYNAJEM4[[#This Row],[woda]]</f>
        <v>12.09</v>
      </c>
      <c r="H324" s="8">
        <f xml:space="preserve"> (10 * WYNAJEM4[[#This Row],[typ]] * WYNAJEM4[[#This Row],[czas wynajecia domku]])</f>
        <v>60</v>
      </c>
      <c r="I324" s="9">
        <f xml:space="preserve"> WYNAJEM4[[#This Row],[suma energia i woda]] + WYNAJEM4[[#This Row],[czynsz]]</f>
        <v>72.09</v>
      </c>
    </row>
    <row r="325" spans="1:9" x14ac:dyDescent="0.25">
      <c r="A325" s="1">
        <v>41785</v>
      </c>
      <c r="B325" s="1">
        <v>41802</v>
      </c>
      <c r="C325" s="8">
        <v>9.74</v>
      </c>
      <c r="D325" s="8">
        <v>0.26</v>
      </c>
      <c r="E325">
        <v>3</v>
      </c>
      <c r="F325" s="10">
        <f>(WYNAJEM4[[#This Row],[data_wyjazdu]]-WYNAJEM4[[#This Row],[data_przyjazdu]])</f>
        <v>17</v>
      </c>
      <c r="G325" s="9">
        <f xml:space="preserve"> WYNAJEM4[[#This Row],[energia]] + WYNAJEM4[[#This Row],[woda]]</f>
        <v>10</v>
      </c>
      <c r="H325" s="8">
        <f xml:space="preserve"> (10 * WYNAJEM4[[#This Row],[typ]] * WYNAJEM4[[#This Row],[czas wynajecia domku]])</f>
        <v>510</v>
      </c>
      <c r="I325" s="9">
        <f xml:space="preserve"> WYNAJEM4[[#This Row],[suma energia i woda]] + WYNAJEM4[[#This Row],[czynsz]]</f>
        <v>520</v>
      </c>
    </row>
    <row r="326" spans="1:9" x14ac:dyDescent="0.25">
      <c r="A326" s="1">
        <v>41791</v>
      </c>
      <c r="B326" s="1">
        <v>41818</v>
      </c>
      <c r="C326" s="8">
        <v>12.01</v>
      </c>
      <c r="D326" s="8">
        <v>0.32</v>
      </c>
      <c r="E326">
        <v>6</v>
      </c>
      <c r="F326" s="10">
        <f>(WYNAJEM4[[#This Row],[data_wyjazdu]]-WYNAJEM4[[#This Row],[data_przyjazdu]])</f>
        <v>27</v>
      </c>
      <c r="G326" s="9">
        <f xml:space="preserve"> WYNAJEM4[[#This Row],[energia]] + WYNAJEM4[[#This Row],[woda]]</f>
        <v>12.33</v>
      </c>
      <c r="H326" s="8">
        <f xml:space="preserve"> (10 * WYNAJEM4[[#This Row],[typ]] * WYNAJEM4[[#This Row],[czas wynajecia domku]])</f>
        <v>1620</v>
      </c>
      <c r="I326" s="9">
        <f xml:space="preserve"> WYNAJEM4[[#This Row],[suma energia i woda]] + WYNAJEM4[[#This Row],[czynsz]]</f>
        <v>1632.33</v>
      </c>
    </row>
    <row r="327" spans="1:9" x14ac:dyDescent="0.25">
      <c r="A327" s="1">
        <v>41791</v>
      </c>
      <c r="B327" s="1">
        <v>41798</v>
      </c>
      <c r="C327" s="8">
        <v>9.4600000000000009</v>
      </c>
      <c r="D327" s="8">
        <v>0.25</v>
      </c>
      <c r="E327">
        <v>3</v>
      </c>
      <c r="F327" s="10">
        <f>(WYNAJEM4[[#This Row],[data_wyjazdu]]-WYNAJEM4[[#This Row],[data_przyjazdu]])</f>
        <v>7</v>
      </c>
      <c r="G327" s="9">
        <f xml:space="preserve"> WYNAJEM4[[#This Row],[energia]] + WYNAJEM4[[#This Row],[woda]]</f>
        <v>9.7100000000000009</v>
      </c>
      <c r="H327" s="8">
        <f xml:space="preserve"> (10 * WYNAJEM4[[#This Row],[typ]] * WYNAJEM4[[#This Row],[czas wynajecia domku]])</f>
        <v>210</v>
      </c>
      <c r="I327" s="9">
        <f xml:space="preserve"> WYNAJEM4[[#This Row],[suma energia i woda]] + WYNAJEM4[[#This Row],[czynsz]]</f>
        <v>219.71</v>
      </c>
    </row>
    <row r="328" spans="1:9" x14ac:dyDescent="0.25">
      <c r="A328" s="1">
        <v>41791</v>
      </c>
      <c r="B328" s="1">
        <v>41795</v>
      </c>
      <c r="C328" s="8">
        <v>11.37</v>
      </c>
      <c r="D328" s="8">
        <v>0.3</v>
      </c>
      <c r="E328">
        <v>6</v>
      </c>
      <c r="F328" s="10">
        <f>(WYNAJEM4[[#This Row],[data_wyjazdu]]-WYNAJEM4[[#This Row],[data_przyjazdu]])</f>
        <v>4</v>
      </c>
      <c r="G328" s="9">
        <f xml:space="preserve"> WYNAJEM4[[#This Row],[energia]] + WYNAJEM4[[#This Row],[woda]]</f>
        <v>11.67</v>
      </c>
      <c r="H328" s="8">
        <f xml:space="preserve"> (10 * WYNAJEM4[[#This Row],[typ]] * WYNAJEM4[[#This Row],[czas wynajecia domku]])</f>
        <v>240</v>
      </c>
      <c r="I328" s="9">
        <f xml:space="preserve"> WYNAJEM4[[#This Row],[suma energia i woda]] + WYNAJEM4[[#This Row],[czynsz]]</f>
        <v>251.67</v>
      </c>
    </row>
    <row r="329" spans="1:9" x14ac:dyDescent="0.25">
      <c r="A329" s="1">
        <v>41791</v>
      </c>
      <c r="B329" s="1">
        <v>41807</v>
      </c>
      <c r="C329" s="8">
        <v>5.78</v>
      </c>
      <c r="D329" s="8">
        <v>0.15</v>
      </c>
      <c r="E329">
        <v>3</v>
      </c>
      <c r="F329" s="10">
        <f>(WYNAJEM4[[#This Row],[data_wyjazdu]]-WYNAJEM4[[#This Row],[data_przyjazdu]])</f>
        <v>16</v>
      </c>
      <c r="G329" s="9">
        <f xml:space="preserve"> WYNAJEM4[[#This Row],[energia]] + WYNAJEM4[[#This Row],[woda]]</f>
        <v>5.9300000000000006</v>
      </c>
      <c r="H329" s="8">
        <f xml:space="preserve"> (10 * WYNAJEM4[[#This Row],[typ]] * WYNAJEM4[[#This Row],[czas wynajecia domku]])</f>
        <v>480</v>
      </c>
      <c r="I329" s="9">
        <f xml:space="preserve"> WYNAJEM4[[#This Row],[suma energia i woda]] + WYNAJEM4[[#This Row],[czynsz]]</f>
        <v>485.93</v>
      </c>
    </row>
    <row r="330" spans="1:9" x14ac:dyDescent="0.25">
      <c r="A330" s="1">
        <v>41791</v>
      </c>
      <c r="B330" s="1">
        <v>41812</v>
      </c>
      <c r="C330" s="8">
        <v>12.01</v>
      </c>
      <c r="D330" s="8">
        <v>0.32</v>
      </c>
      <c r="E330">
        <v>5</v>
      </c>
      <c r="F330" s="10">
        <f>(WYNAJEM4[[#This Row],[data_wyjazdu]]-WYNAJEM4[[#This Row],[data_przyjazdu]])</f>
        <v>21</v>
      </c>
      <c r="G330" s="9">
        <f xml:space="preserve"> WYNAJEM4[[#This Row],[energia]] + WYNAJEM4[[#This Row],[woda]]</f>
        <v>12.33</v>
      </c>
      <c r="H330" s="8">
        <f xml:space="preserve"> (10 * WYNAJEM4[[#This Row],[typ]] * WYNAJEM4[[#This Row],[czas wynajecia domku]])</f>
        <v>1050</v>
      </c>
      <c r="I330" s="9">
        <f xml:space="preserve"> WYNAJEM4[[#This Row],[suma energia i woda]] + WYNAJEM4[[#This Row],[czynsz]]</f>
        <v>1062.33</v>
      </c>
    </row>
    <row r="331" spans="1:9" x14ac:dyDescent="0.25">
      <c r="A331" s="1">
        <v>41791</v>
      </c>
      <c r="B331" s="1">
        <v>41815</v>
      </c>
      <c r="C331" s="8">
        <v>7.55</v>
      </c>
      <c r="D331" s="8">
        <v>0.2</v>
      </c>
      <c r="E331">
        <v>5</v>
      </c>
      <c r="F331" s="10">
        <f>(WYNAJEM4[[#This Row],[data_wyjazdu]]-WYNAJEM4[[#This Row],[data_przyjazdu]])</f>
        <v>24</v>
      </c>
      <c r="G331" s="9">
        <f xml:space="preserve"> WYNAJEM4[[#This Row],[energia]] + WYNAJEM4[[#This Row],[woda]]</f>
        <v>7.75</v>
      </c>
      <c r="H331" s="8">
        <f xml:space="preserve"> (10 * WYNAJEM4[[#This Row],[typ]] * WYNAJEM4[[#This Row],[czas wynajecia domku]])</f>
        <v>1200</v>
      </c>
      <c r="I331" s="9">
        <f xml:space="preserve"> WYNAJEM4[[#This Row],[suma energia i woda]] + WYNAJEM4[[#This Row],[czynsz]]</f>
        <v>1207.75</v>
      </c>
    </row>
    <row r="332" spans="1:9" x14ac:dyDescent="0.25">
      <c r="A332" s="1">
        <v>41791</v>
      </c>
      <c r="B332" s="1">
        <v>41794</v>
      </c>
      <c r="C332" s="8">
        <v>9.74</v>
      </c>
      <c r="D332" s="8">
        <v>0.26</v>
      </c>
      <c r="E332">
        <v>3</v>
      </c>
      <c r="F332" s="10">
        <f>(WYNAJEM4[[#This Row],[data_wyjazdu]]-WYNAJEM4[[#This Row],[data_przyjazdu]])</f>
        <v>3</v>
      </c>
      <c r="G332" s="9">
        <f xml:space="preserve"> WYNAJEM4[[#This Row],[energia]] + WYNAJEM4[[#This Row],[woda]]</f>
        <v>10</v>
      </c>
      <c r="H332" s="8">
        <f xml:space="preserve"> (10 * WYNAJEM4[[#This Row],[typ]] * WYNAJEM4[[#This Row],[czas wynajecia domku]])</f>
        <v>90</v>
      </c>
      <c r="I332" s="9">
        <f xml:space="preserve"> WYNAJEM4[[#This Row],[suma energia i woda]] + WYNAJEM4[[#This Row],[czynsz]]</f>
        <v>100</v>
      </c>
    </row>
    <row r="333" spans="1:9" x14ac:dyDescent="0.25">
      <c r="A333" s="1">
        <v>41792</v>
      </c>
      <c r="B333" s="1">
        <v>41802</v>
      </c>
      <c r="C333" s="8">
        <v>2.72</v>
      </c>
      <c r="D333" s="8">
        <v>7.0000000000000007E-2</v>
      </c>
      <c r="E333">
        <v>2</v>
      </c>
      <c r="F333" s="10">
        <f>(WYNAJEM4[[#This Row],[data_wyjazdu]]-WYNAJEM4[[#This Row],[data_przyjazdu]])</f>
        <v>10</v>
      </c>
      <c r="G333" s="9">
        <f xml:space="preserve"> WYNAJEM4[[#This Row],[energia]] + WYNAJEM4[[#This Row],[woda]]</f>
        <v>2.79</v>
      </c>
      <c r="H333" s="8">
        <f xml:space="preserve"> (10 * WYNAJEM4[[#This Row],[typ]] * WYNAJEM4[[#This Row],[czas wynajecia domku]])</f>
        <v>200</v>
      </c>
      <c r="I333" s="9">
        <f xml:space="preserve"> WYNAJEM4[[#This Row],[suma energia i woda]] + WYNAJEM4[[#This Row],[czynsz]]</f>
        <v>202.79</v>
      </c>
    </row>
    <row r="334" spans="1:9" x14ac:dyDescent="0.25">
      <c r="A334" s="1">
        <v>41792</v>
      </c>
      <c r="B334" s="1">
        <v>41801</v>
      </c>
      <c r="C334" s="8">
        <v>3.57</v>
      </c>
      <c r="D334" s="8">
        <v>0.09</v>
      </c>
      <c r="E334">
        <v>3</v>
      </c>
      <c r="F334" s="10">
        <f>(WYNAJEM4[[#This Row],[data_wyjazdu]]-WYNAJEM4[[#This Row],[data_przyjazdu]])</f>
        <v>9</v>
      </c>
      <c r="G334" s="9">
        <f xml:space="preserve"> WYNAJEM4[[#This Row],[energia]] + WYNAJEM4[[#This Row],[woda]]</f>
        <v>3.6599999999999997</v>
      </c>
      <c r="H334" s="8">
        <f xml:space="preserve"> (10 * WYNAJEM4[[#This Row],[typ]] * WYNAJEM4[[#This Row],[czas wynajecia domku]])</f>
        <v>270</v>
      </c>
      <c r="I334" s="9">
        <f xml:space="preserve"> WYNAJEM4[[#This Row],[suma energia i woda]] + WYNAJEM4[[#This Row],[czynsz]]</f>
        <v>273.66000000000003</v>
      </c>
    </row>
    <row r="335" spans="1:9" x14ac:dyDescent="0.25">
      <c r="A335" s="1">
        <v>41792</v>
      </c>
      <c r="B335" s="1">
        <v>41813</v>
      </c>
      <c r="C335" s="8">
        <v>7.55</v>
      </c>
      <c r="D335" s="8">
        <v>0.2</v>
      </c>
      <c r="E335">
        <v>6</v>
      </c>
      <c r="F335" s="10">
        <f>(WYNAJEM4[[#This Row],[data_wyjazdu]]-WYNAJEM4[[#This Row],[data_przyjazdu]])</f>
        <v>21</v>
      </c>
      <c r="G335" s="9">
        <f xml:space="preserve"> WYNAJEM4[[#This Row],[energia]] + WYNAJEM4[[#This Row],[woda]]</f>
        <v>7.75</v>
      </c>
      <c r="H335" s="8">
        <f xml:space="preserve"> (10 * WYNAJEM4[[#This Row],[typ]] * WYNAJEM4[[#This Row],[czas wynajecia domku]])</f>
        <v>1260</v>
      </c>
      <c r="I335" s="9">
        <f xml:space="preserve"> WYNAJEM4[[#This Row],[suma energia i woda]] + WYNAJEM4[[#This Row],[czynsz]]</f>
        <v>1267.75</v>
      </c>
    </row>
    <row r="336" spans="1:9" x14ac:dyDescent="0.25">
      <c r="A336" s="1">
        <v>41792</v>
      </c>
      <c r="B336" s="1">
        <v>41812</v>
      </c>
      <c r="C336" s="8">
        <v>3.57</v>
      </c>
      <c r="D336" s="8">
        <v>0.09</v>
      </c>
      <c r="E336">
        <v>2</v>
      </c>
      <c r="F336" s="10">
        <f>(WYNAJEM4[[#This Row],[data_wyjazdu]]-WYNAJEM4[[#This Row],[data_przyjazdu]])</f>
        <v>20</v>
      </c>
      <c r="G336" s="9">
        <f xml:space="preserve"> WYNAJEM4[[#This Row],[energia]] + WYNAJEM4[[#This Row],[woda]]</f>
        <v>3.6599999999999997</v>
      </c>
      <c r="H336" s="8">
        <f xml:space="preserve"> (10 * WYNAJEM4[[#This Row],[typ]] * WYNAJEM4[[#This Row],[czas wynajecia domku]])</f>
        <v>400</v>
      </c>
      <c r="I336" s="9">
        <f xml:space="preserve"> WYNAJEM4[[#This Row],[suma energia i woda]] + WYNAJEM4[[#This Row],[czynsz]]</f>
        <v>403.66</v>
      </c>
    </row>
    <row r="337" spans="1:9" x14ac:dyDescent="0.25">
      <c r="A337" s="1">
        <v>41793</v>
      </c>
      <c r="B337" s="1">
        <v>41803</v>
      </c>
      <c r="C337" s="8">
        <v>2.29</v>
      </c>
      <c r="D337" s="8">
        <v>0.06</v>
      </c>
      <c r="E337">
        <v>5</v>
      </c>
      <c r="F337" s="10">
        <f>(WYNAJEM4[[#This Row],[data_wyjazdu]]-WYNAJEM4[[#This Row],[data_przyjazdu]])</f>
        <v>10</v>
      </c>
      <c r="G337" s="9">
        <f xml:space="preserve"> WYNAJEM4[[#This Row],[energia]] + WYNAJEM4[[#This Row],[woda]]</f>
        <v>2.35</v>
      </c>
      <c r="H337" s="8">
        <f xml:space="preserve"> (10 * WYNAJEM4[[#This Row],[typ]] * WYNAJEM4[[#This Row],[czas wynajecia domku]])</f>
        <v>500</v>
      </c>
      <c r="I337" s="9">
        <f xml:space="preserve"> WYNAJEM4[[#This Row],[suma energia i woda]] + WYNAJEM4[[#This Row],[czynsz]]</f>
        <v>502.35</v>
      </c>
    </row>
    <row r="338" spans="1:9" x14ac:dyDescent="0.25">
      <c r="A338" s="1">
        <v>41793</v>
      </c>
      <c r="B338" s="1">
        <v>41817</v>
      </c>
      <c r="C338" s="8">
        <v>9.06</v>
      </c>
      <c r="D338" s="8">
        <v>0.24</v>
      </c>
      <c r="E338">
        <v>4</v>
      </c>
      <c r="F338" s="10">
        <f>(WYNAJEM4[[#This Row],[data_wyjazdu]]-WYNAJEM4[[#This Row],[data_przyjazdu]])</f>
        <v>24</v>
      </c>
      <c r="G338" s="9">
        <f xml:space="preserve"> WYNAJEM4[[#This Row],[energia]] + WYNAJEM4[[#This Row],[woda]]</f>
        <v>9.3000000000000007</v>
      </c>
      <c r="H338" s="8">
        <f xml:space="preserve"> (10 * WYNAJEM4[[#This Row],[typ]] * WYNAJEM4[[#This Row],[czas wynajecia domku]])</f>
        <v>960</v>
      </c>
      <c r="I338" s="9">
        <f xml:space="preserve"> WYNAJEM4[[#This Row],[suma energia i woda]] + WYNAJEM4[[#This Row],[czynsz]]</f>
        <v>969.3</v>
      </c>
    </row>
    <row r="339" spans="1:9" x14ac:dyDescent="0.25">
      <c r="A339" s="1">
        <v>41794</v>
      </c>
      <c r="B339" s="1">
        <v>41798</v>
      </c>
      <c r="C339" s="8">
        <v>4.25</v>
      </c>
      <c r="D339" s="8">
        <v>0.11</v>
      </c>
      <c r="E339">
        <v>2</v>
      </c>
      <c r="F339" s="10">
        <f>(WYNAJEM4[[#This Row],[data_wyjazdu]]-WYNAJEM4[[#This Row],[data_przyjazdu]])</f>
        <v>4</v>
      </c>
      <c r="G339" s="9">
        <f xml:space="preserve"> WYNAJEM4[[#This Row],[energia]] + WYNAJEM4[[#This Row],[woda]]</f>
        <v>4.3600000000000003</v>
      </c>
      <c r="H339" s="8">
        <f xml:space="preserve"> (10 * WYNAJEM4[[#This Row],[typ]] * WYNAJEM4[[#This Row],[czas wynajecia domku]])</f>
        <v>80</v>
      </c>
      <c r="I339" s="9">
        <f xml:space="preserve"> WYNAJEM4[[#This Row],[suma energia i woda]] + WYNAJEM4[[#This Row],[czynsz]]</f>
        <v>84.36</v>
      </c>
    </row>
    <row r="340" spans="1:9" x14ac:dyDescent="0.25">
      <c r="A340" s="1">
        <v>41794</v>
      </c>
      <c r="B340" s="1">
        <v>41804</v>
      </c>
      <c r="C340" s="8">
        <v>7.31</v>
      </c>
      <c r="D340" s="8">
        <v>0.19</v>
      </c>
      <c r="E340">
        <v>6</v>
      </c>
      <c r="F340" s="10">
        <f>(WYNAJEM4[[#This Row],[data_wyjazdu]]-WYNAJEM4[[#This Row],[data_przyjazdu]])</f>
        <v>10</v>
      </c>
      <c r="G340" s="9">
        <f xml:space="preserve"> WYNAJEM4[[#This Row],[energia]] + WYNAJEM4[[#This Row],[woda]]</f>
        <v>7.5</v>
      </c>
      <c r="H340" s="8">
        <f xml:space="preserve"> (10 * WYNAJEM4[[#This Row],[typ]] * WYNAJEM4[[#This Row],[czas wynajecia domku]])</f>
        <v>600</v>
      </c>
      <c r="I340" s="9">
        <f xml:space="preserve"> WYNAJEM4[[#This Row],[suma energia i woda]] + WYNAJEM4[[#This Row],[czynsz]]</f>
        <v>607.5</v>
      </c>
    </row>
    <row r="341" spans="1:9" x14ac:dyDescent="0.25">
      <c r="A341" s="1">
        <v>41794</v>
      </c>
      <c r="B341" s="1">
        <v>41800</v>
      </c>
      <c r="C341" s="8">
        <v>9.06</v>
      </c>
      <c r="D341" s="8">
        <v>0.24</v>
      </c>
      <c r="E341">
        <v>2</v>
      </c>
      <c r="F341" s="10">
        <f>(WYNAJEM4[[#This Row],[data_wyjazdu]]-WYNAJEM4[[#This Row],[data_przyjazdu]])</f>
        <v>6</v>
      </c>
      <c r="G341" s="9">
        <f xml:space="preserve"> WYNAJEM4[[#This Row],[energia]] + WYNAJEM4[[#This Row],[woda]]</f>
        <v>9.3000000000000007</v>
      </c>
      <c r="H341" s="8">
        <f xml:space="preserve"> (10 * WYNAJEM4[[#This Row],[typ]] * WYNAJEM4[[#This Row],[czas wynajecia domku]])</f>
        <v>120</v>
      </c>
      <c r="I341" s="9">
        <f xml:space="preserve"> WYNAJEM4[[#This Row],[suma energia i woda]] + WYNAJEM4[[#This Row],[czynsz]]</f>
        <v>129.30000000000001</v>
      </c>
    </row>
    <row r="342" spans="1:9" x14ac:dyDescent="0.25">
      <c r="A342" s="1">
        <v>41795</v>
      </c>
      <c r="B342" s="1">
        <v>41799</v>
      </c>
      <c r="C342" s="8">
        <v>6.43</v>
      </c>
      <c r="D342" s="8">
        <v>0.17</v>
      </c>
      <c r="E342">
        <v>3</v>
      </c>
      <c r="F342" s="10">
        <f>(WYNAJEM4[[#This Row],[data_wyjazdu]]-WYNAJEM4[[#This Row],[data_przyjazdu]])</f>
        <v>4</v>
      </c>
      <c r="G342" s="9">
        <f xml:space="preserve"> WYNAJEM4[[#This Row],[energia]] + WYNAJEM4[[#This Row],[woda]]</f>
        <v>6.6</v>
      </c>
      <c r="H342" s="8">
        <f xml:space="preserve"> (10 * WYNAJEM4[[#This Row],[typ]] * WYNAJEM4[[#This Row],[czas wynajecia domku]])</f>
        <v>120</v>
      </c>
      <c r="I342" s="9">
        <f xml:space="preserve"> WYNAJEM4[[#This Row],[suma energia i woda]] + WYNAJEM4[[#This Row],[czynsz]]</f>
        <v>126.6</v>
      </c>
    </row>
    <row r="343" spans="1:9" x14ac:dyDescent="0.25">
      <c r="A343" s="1">
        <v>41797</v>
      </c>
      <c r="B343" s="1">
        <v>41808</v>
      </c>
      <c r="C343" s="8">
        <v>2.0099999999999998</v>
      </c>
      <c r="D343" s="8">
        <v>0.05</v>
      </c>
      <c r="E343">
        <v>3</v>
      </c>
      <c r="F343" s="10">
        <f>(WYNAJEM4[[#This Row],[data_wyjazdu]]-WYNAJEM4[[#This Row],[data_przyjazdu]])</f>
        <v>11</v>
      </c>
      <c r="G343" s="9">
        <f xml:space="preserve"> WYNAJEM4[[#This Row],[energia]] + WYNAJEM4[[#This Row],[woda]]</f>
        <v>2.0599999999999996</v>
      </c>
      <c r="H343" s="8">
        <f xml:space="preserve"> (10 * WYNAJEM4[[#This Row],[typ]] * WYNAJEM4[[#This Row],[czas wynajecia domku]])</f>
        <v>330</v>
      </c>
      <c r="I343" s="9">
        <f xml:space="preserve"> WYNAJEM4[[#This Row],[suma energia i woda]] + WYNAJEM4[[#This Row],[czynsz]]</f>
        <v>332.06</v>
      </c>
    </row>
    <row r="344" spans="1:9" x14ac:dyDescent="0.25">
      <c r="A344" s="1">
        <v>41797</v>
      </c>
      <c r="B344" s="1">
        <v>41802</v>
      </c>
      <c r="C344" s="8">
        <v>8.51</v>
      </c>
      <c r="D344" s="8">
        <v>0.22</v>
      </c>
      <c r="E344">
        <v>3</v>
      </c>
      <c r="F344" s="10">
        <f>(WYNAJEM4[[#This Row],[data_wyjazdu]]-WYNAJEM4[[#This Row],[data_przyjazdu]])</f>
        <v>5</v>
      </c>
      <c r="G344" s="9">
        <f xml:space="preserve"> WYNAJEM4[[#This Row],[energia]] + WYNAJEM4[[#This Row],[woda]]</f>
        <v>8.73</v>
      </c>
      <c r="H344" s="8">
        <f xml:space="preserve"> (10 * WYNAJEM4[[#This Row],[typ]] * WYNAJEM4[[#This Row],[czas wynajecia domku]])</f>
        <v>150</v>
      </c>
      <c r="I344" s="9">
        <f xml:space="preserve"> WYNAJEM4[[#This Row],[suma energia i woda]] + WYNAJEM4[[#This Row],[czynsz]]</f>
        <v>158.72999999999999</v>
      </c>
    </row>
    <row r="345" spans="1:9" x14ac:dyDescent="0.25">
      <c r="A345" s="1">
        <v>41797</v>
      </c>
      <c r="B345" s="1">
        <v>41817</v>
      </c>
      <c r="C345" s="8">
        <v>16.55</v>
      </c>
      <c r="D345" s="8">
        <v>0.44</v>
      </c>
      <c r="E345">
        <v>4</v>
      </c>
      <c r="F345" s="10">
        <f>(WYNAJEM4[[#This Row],[data_wyjazdu]]-WYNAJEM4[[#This Row],[data_przyjazdu]])</f>
        <v>20</v>
      </c>
      <c r="G345" s="9">
        <f xml:space="preserve"> WYNAJEM4[[#This Row],[energia]] + WYNAJEM4[[#This Row],[woda]]</f>
        <v>16.990000000000002</v>
      </c>
      <c r="H345" s="8">
        <f xml:space="preserve"> (10 * WYNAJEM4[[#This Row],[typ]] * WYNAJEM4[[#This Row],[czas wynajecia domku]])</f>
        <v>800</v>
      </c>
      <c r="I345" s="9">
        <f xml:space="preserve"> WYNAJEM4[[#This Row],[suma energia i woda]] + WYNAJEM4[[#This Row],[czynsz]]</f>
        <v>816.99</v>
      </c>
    </row>
    <row r="346" spans="1:9" x14ac:dyDescent="0.25">
      <c r="A346" s="1">
        <v>41797</v>
      </c>
      <c r="B346" s="1">
        <v>41804</v>
      </c>
      <c r="C346" s="8">
        <v>9.1300000000000008</v>
      </c>
      <c r="D346" s="8">
        <v>0.24</v>
      </c>
      <c r="E346">
        <v>3</v>
      </c>
      <c r="F346" s="10">
        <f>(WYNAJEM4[[#This Row],[data_wyjazdu]]-WYNAJEM4[[#This Row],[data_przyjazdu]])</f>
        <v>7</v>
      </c>
      <c r="G346" s="9">
        <f xml:space="preserve"> WYNAJEM4[[#This Row],[energia]] + WYNAJEM4[[#This Row],[woda]]</f>
        <v>9.370000000000001</v>
      </c>
      <c r="H346" s="8">
        <f xml:space="preserve"> (10 * WYNAJEM4[[#This Row],[typ]] * WYNAJEM4[[#This Row],[czas wynajecia domku]])</f>
        <v>210</v>
      </c>
      <c r="I346" s="9">
        <f xml:space="preserve"> WYNAJEM4[[#This Row],[suma energia i woda]] + WYNAJEM4[[#This Row],[czynsz]]</f>
        <v>219.37</v>
      </c>
    </row>
    <row r="347" spans="1:9" x14ac:dyDescent="0.25">
      <c r="A347" s="1">
        <v>41797</v>
      </c>
      <c r="B347" s="1">
        <v>41816</v>
      </c>
      <c r="C347" s="8">
        <v>10.199999999999999</v>
      </c>
      <c r="D347" s="8">
        <v>0.27</v>
      </c>
      <c r="E347">
        <v>5</v>
      </c>
      <c r="F347" s="10">
        <f>(WYNAJEM4[[#This Row],[data_wyjazdu]]-WYNAJEM4[[#This Row],[data_przyjazdu]])</f>
        <v>19</v>
      </c>
      <c r="G347" s="9">
        <f xml:space="preserve"> WYNAJEM4[[#This Row],[energia]] + WYNAJEM4[[#This Row],[woda]]</f>
        <v>10.469999999999999</v>
      </c>
      <c r="H347" s="8">
        <f xml:space="preserve"> (10 * WYNAJEM4[[#This Row],[typ]] * WYNAJEM4[[#This Row],[czas wynajecia domku]])</f>
        <v>950</v>
      </c>
      <c r="I347" s="9">
        <f xml:space="preserve"> WYNAJEM4[[#This Row],[suma energia i woda]] + WYNAJEM4[[#This Row],[czynsz]]</f>
        <v>960.47</v>
      </c>
    </row>
    <row r="348" spans="1:9" x14ac:dyDescent="0.25">
      <c r="A348" s="1">
        <v>41799</v>
      </c>
      <c r="B348" s="1">
        <v>41823</v>
      </c>
      <c r="C348" s="8">
        <v>6.23</v>
      </c>
      <c r="D348" s="8">
        <v>0.16</v>
      </c>
      <c r="E348">
        <v>2</v>
      </c>
      <c r="F348" s="10">
        <f>(WYNAJEM4[[#This Row],[data_wyjazdu]]-WYNAJEM4[[#This Row],[data_przyjazdu]])</f>
        <v>24</v>
      </c>
      <c r="G348" s="9">
        <f xml:space="preserve"> WYNAJEM4[[#This Row],[energia]] + WYNAJEM4[[#This Row],[woda]]</f>
        <v>6.3900000000000006</v>
      </c>
      <c r="H348" s="8">
        <f xml:space="preserve"> (10 * WYNAJEM4[[#This Row],[typ]] * WYNAJEM4[[#This Row],[czas wynajecia domku]])</f>
        <v>480</v>
      </c>
      <c r="I348" s="9">
        <f xml:space="preserve"> WYNAJEM4[[#This Row],[suma energia i woda]] + WYNAJEM4[[#This Row],[czynsz]]</f>
        <v>486.39</v>
      </c>
    </row>
    <row r="349" spans="1:9" x14ac:dyDescent="0.25">
      <c r="A349" s="1">
        <v>41803</v>
      </c>
      <c r="B349" s="1">
        <v>41827</v>
      </c>
      <c r="C349" s="8">
        <v>8.51</v>
      </c>
      <c r="D349" s="8">
        <v>0.22</v>
      </c>
      <c r="E349">
        <v>3</v>
      </c>
      <c r="F349" s="10">
        <f>(WYNAJEM4[[#This Row],[data_wyjazdu]]-WYNAJEM4[[#This Row],[data_przyjazdu]])</f>
        <v>24</v>
      </c>
      <c r="G349" s="9">
        <f xml:space="preserve"> WYNAJEM4[[#This Row],[energia]] + WYNAJEM4[[#This Row],[woda]]</f>
        <v>8.73</v>
      </c>
      <c r="H349" s="8">
        <f xml:space="preserve"> (10 * WYNAJEM4[[#This Row],[typ]] * WYNAJEM4[[#This Row],[czas wynajecia domku]])</f>
        <v>720</v>
      </c>
      <c r="I349" s="9">
        <f xml:space="preserve"> WYNAJEM4[[#This Row],[suma energia i woda]] + WYNAJEM4[[#This Row],[czynsz]]</f>
        <v>728.73</v>
      </c>
    </row>
    <row r="350" spans="1:9" x14ac:dyDescent="0.25">
      <c r="A350" s="1">
        <v>41803</v>
      </c>
      <c r="B350" s="1">
        <v>41811</v>
      </c>
      <c r="C350" s="8">
        <v>13.82</v>
      </c>
      <c r="D350" s="8">
        <v>0.36</v>
      </c>
      <c r="E350">
        <v>4</v>
      </c>
      <c r="F350" s="10">
        <f>(WYNAJEM4[[#This Row],[data_wyjazdu]]-WYNAJEM4[[#This Row],[data_przyjazdu]])</f>
        <v>8</v>
      </c>
      <c r="G350" s="9">
        <f xml:space="preserve"> WYNAJEM4[[#This Row],[energia]] + WYNAJEM4[[#This Row],[woda]]</f>
        <v>14.18</v>
      </c>
      <c r="H350" s="8">
        <f xml:space="preserve"> (10 * WYNAJEM4[[#This Row],[typ]] * WYNAJEM4[[#This Row],[czas wynajecia domku]])</f>
        <v>320</v>
      </c>
      <c r="I350" s="9">
        <f xml:space="preserve"> WYNAJEM4[[#This Row],[suma energia i woda]] + WYNAJEM4[[#This Row],[czynsz]]</f>
        <v>334.18</v>
      </c>
    </row>
    <row r="351" spans="1:9" x14ac:dyDescent="0.25">
      <c r="A351" s="1">
        <v>41803</v>
      </c>
      <c r="B351" s="1">
        <v>41825</v>
      </c>
      <c r="C351" s="8">
        <v>6.34</v>
      </c>
      <c r="D351" s="8">
        <v>0.17</v>
      </c>
      <c r="E351">
        <v>6</v>
      </c>
      <c r="F351" s="10">
        <f>(WYNAJEM4[[#This Row],[data_wyjazdu]]-WYNAJEM4[[#This Row],[data_przyjazdu]])</f>
        <v>22</v>
      </c>
      <c r="G351" s="9">
        <f xml:space="preserve"> WYNAJEM4[[#This Row],[energia]] + WYNAJEM4[[#This Row],[woda]]</f>
        <v>6.51</v>
      </c>
      <c r="H351" s="8">
        <f xml:space="preserve"> (10 * WYNAJEM4[[#This Row],[typ]] * WYNAJEM4[[#This Row],[czas wynajecia domku]])</f>
        <v>1320</v>
      </c>
      <c r="I351" s="9">
        <f xml:space="preserve"> WYNAJEM4[[#This Row],[suma energia i woda]] + WYNAJEM4[[#This Row],[czynsz]]</f>
        <v>1326.51</v>
      </c>
    </row>
    <row r="352" spans="1:9" x14ac:dyDescent="0.25">
      <c r="A352" s="1">
        <v>41803</v>
      </c>
      <c r="B352" s="1">
        <v>41829</v>
      </c>
      <c r="C352" s="8">
        <v>10.19</v>
      </c>
      <c r="D352" s="8">
        <v>0.27</v>
      </c>
      <c r="E352">
        <v>6</v>
      </c>
      <c r="F352" s="10">
        <f>(WYNAJEM4[[#This Row],[data_wyjazdu]]-WYNAJEM4[[#This Row],[data_przyjazdu]])</f>
        <v>26</v>
      </c>
      <c r="G352" s="9">
        <f xml:space="preserve"> WYNAJEM4[[#This Row],[energia]] + WYNAJEM4[[#This Row],[woda]]</f>
        <v>10.459999999999999</v>
      </c>
      <c r="H352" s="8">
        <f xml:space="preserve"> (10 * WYNAJEM4[[#This Row],[typ]] * WYNAJEM4[[#This Row],[czas wynajecia domku]])</f>
        <v>1560</v>
      </c>
      <c r="I352" s="9">
        <f xml:space="preserve"> WYNAJEM4[[#This Row],[suma energia i woda]] + WYNAJEM4[[#This Row],[czynsz]]</f>
        <v>1570.46</v>
      </c>
    </row>
    <row r="353" spans="1:9" x14ac:dyDescent="0.25">
      <c r="A353" s="1">
        <v>41803</v>
      </c>
      <c r="B353" s="1">
        <v>41805</v>
      </c>
      <c r="C353" s="8">
        <v>14</v>
      </c>
      <c r="D353" s="8">
        <v>0.37</v>
      </c>
      <c r="E353">
        <v>3</v>
      </c>
      <c r="F353" s="10">
        <f>(WYNAJEM4[[#This Row],[data_wyjazdu]]-WYNAJEM4[[#This Row],[data_przyjazdu]])</f>
        <v>2</v>
      </c>
      <c r="G353" s="9">
        <f xml:space="preserve"> WYNAJEM4[[#This Row],[energia]] + WYNAJEM4[[#This Row],[woda]]</f>
        <v>14.37</v>
      </c>
      <c r="H353" s="8">
        <f xml:space="preserve"> (10 * WYNAJEM4[[#This Row],[typ]] * WYNAJEM4[[#This Row],[czas wynajecia domku]])</f>
        <v>60</v>
      </c>
      <c r="I353" s="9">
        <f xml:space="preserve"> WYNAJEM4[[#This Row],[suma energia i woda]] + WYNAJEM4[[#This Row],[czynsz]]</f>
        <v>74.37</v>
      </c>
    </row>
    <row r="354" spans="1:9" x14ac:dyDescent="0.25">
      <c r="A354" s="1">
        <v>41803</v>
      </c>
      <c r="B354" s="1">
        <v>41814</v>
      </c>
      <c r="C354" s="8">
        <v>14</v>
      </c>
      <c r="D354" s="8">
        <v>0.37</v>
      </c>
      <c r="E354">
        <v>4</v>
      </c>
      <c r="F354" s="10">
        <f>(WYNAJEM4[[#This Row],[data_wyjazdu]]-WYNAJEM4[[#This Row],[data_przyjazdu]])</f>
        <v>11</v>
      </c>
      <c r="G354" s="9">
        <f xml:space="preserve"> WYNAJEM4[[#This Row],[energia]] + WYNAJEM4[[#This Row],[woda]]</f>
        <v>14.37</v>
      </c>
      <c r="H354" s="8">
        <f xml:space="preserve"> (10 * WYNAJEM4[[#This Row],[typ]] * WYNAJEM4[[#This Row],[czas wynajecia domku]])</f>
        <v>440</v>
      </c>
      <c r="I354" s="9">
        <f xml:space="preserve"> WYNAJEM4[[#This Row],[suma energia i woda]] + WYNAJEM4[[#This Row],[czynsz]]</f>
        <v>454.37</v>
      </c>
    </row>
    <row r="355" spans="1:9" x14ac:dyDescent="0.25">
      <c r="A355" s="1">
        <v>41803</v>
      </c>
      <c r="B355" s="1">
        <v>41816</v>
      </c>
      <c r="C355" s="8">
        <v>10.19</v>
      </c>
      <c r="D355" s="8">
        <v>0.27</v>
      </c>
      <c r="E355">
        <v>2</v>
      </c>
      <c r="F355" s="10">
        <f>(WYNAJEM4[[#This Row],[data_wyjazdu]]-WYNAJEM4[[#This Row],[data_przyjazdu]])</f>
        <v>13</v>
      </c>
      <c r="G355" s="9">
        <f xml:space="preserve"> WYNAJEM4[[#This Row],[energia]] + WYNAJEM4[[#This Row],[woda]]</f>
        <v>10.459999999999999</v>
      </c>
      <c r="H355" s="8">
        <f xml:space="preserve"> (10 * WYNAJEM4[[#This Row],[typ]] * WYNAJEM4[[#This Row],[czas wynajecia domku]])</f>
        <v>260</v>
      </c>
      <c r="I355" s="9">
        <f xml:space="preserve"> WYNAJEM4[[#This Row],[suma energia i woda]] + WYNAJEM4[[#This Row],[czynsz]]</f>
        <v>270.45999999999998</v>
      </c>
    </row>
    <row r="356" spans="1:9" x14ac:dyDescent="0.25">
      <c r="A356" s="1">
        <v>41803</v>
      </c>
      <c r="B356" s="1">
        <v>41818</v>
      </c>
      <c r="C356" s="8">
        <v>8.89</v>
      </c>
      <c r="D356" s="8">
        <v>0.23</v>
      </c>
      <c r="E356">
        <v>5</v>
      </c>
      <c r="F356" s="10">
        <f>(WYNAJEM4[[#This Row],[data_wyjazdu]]-WYNAJEM4[[#This Row],[data_przyjazdu]])</f>
        <v>15</v>
      </c>
      <c r="G356" s="9">
        <f xml:space="preserve"> WYNAJEM4[[#This Row],[energia]] + WYNAJEM4[[#This Row],[woda]]</f>
        <v>9.120000000000001</v>
      </c>
      <c r="H356" s="8">
        <f xml:space="preserve"> (10 * WYNAJEM4[[#This Row],[typ]] * WYNAJEM4[[#This Row],[czas wynajecia domku]])</f>
        <v>750</v>
      </c>
      <c r="I356" s="9">
        <f xml:space="preserve"> WYNAJEM4[[#This Row],[suma energia i woda]] + WYNAJEM4[[#This Row],[czynsz]]</f>
        <v>759.12</v>
      </c>
    </row>
    <row r="357" spans="1:9" x14ac:dyDescent="0.25">
      <c r="A357" s="1">
        <v>41803</v>
      </c>
      <c r="B357" s="1">
        <v>41814</v>
      </c>
      <c r="C357" s="8">
        <v>11.44</v>
      </c>
      <c r="D357" s="8">
        <v>0.3</v>
      </c>
      <c r="E357">
        <v>6</v>
      </c>
      <c r="F357" s="10">
        <f>(WYNAJEM4[[#This Row],[data_wyjazdu]]-WYNAJEM4[[#This Row],[data_przyjazdu]])</f>
        <v>11</v>
      </c>
      <c r="G357" s="9">
        <f xml:space="preserve"> WYNAJEM4[[#This Row],[energia]] + WYNAJEM4[[#This Row],[woda]]</f>
        <v>11.74</v>
      </c>
      <c r="H357" s="8">
        <f xml:space="preserve"> (10 * WYNAJEM4[[#This Row],[typ]] * WYNAJEM4[[#This Row],[czas wynajecia domku]])</f>
        <v>660</v>
      </c>
      <c r="I357" s="9">
        <f xml:space="preserve"> WYNAJEM4[[#This Row],[suma energia i woda]] + WYNAJEM4[[#This Row],[czynsz]]</f>
        <v>671.74</v>
      </c>
    </row>
    <row r="358" spans="1:9" x14ac:dyDescent="0.25">
      <c r="A358" s="1">
        <v>41803</v>
      </c>
      <c r="B358" s="1">
        <v>41827</v>
      </c>
      <c r="C358" s="8">
        <v>10.93</v>
      </c>
      <c r="D358" s="8">
        <v>0.28999999999999998</v>
      </c>
      <c r="E358">
        <v>2</v>
      </c>
      <c r="F358" s="10">
        <f>(WYNAJEM4[[#This Row],[data_wyjazdu]]-WYNAJEM4[[#This Row],[data_przyjazdu]])</f>
        <v>24</v>
      </c>
      <c r="G358" s="9">
        <f xml:space="preserve"> WYNAJEM4[[#This Row],[energia]] + WYNAJEM4[[#This Row],[woda]]</f>
        <v>11.219999999999999</v>
      </c>
      <c r="H358" s="8">
        <f xml:space="preserve"> (10 * WYNAJEM4[[#This Row],[typ]] * WYNAJEM4[[#This Row],[czas wynajecia domku]])</f>
        <v>480</v>
      </c>
      <c r="I358" s="9">
        <f xml:space="preserve"> WYNAJEM4[[#This Row],[suma energia i woda]] + WYNAJEM4[[#This Row],[czynsz]]</f>
        <v>491.22</v>
      </c>
    </row>
    <row r="359" spans="1:9" x14ac:dyDescent="0.25">
      <c r="A359" s="1">
        <v>41803</v>
      </c>
      <c r="B359" s="1">
        <v>41822</v>
      </c>
      <c r="C359" s="8">
        <v>6.34</v>
      </c>
      <c r="D359" s="8">
        <v>0.17</v>
      </c>
      <c r="E359">
        <v>4</v>
      </c>
      <c r="F359" s="10">
        <f>(WYNAJEM4[[#This Row],[data_wyjazdu]]-WYNAJEM4[[#This Row],[data_przyjazdu]])</f>
        <v>19</v>
      </c>
      <c r="G359" s="9">
        <f xml:space="preserve"> WYNAJEM4[[#This Row],[energia]] + WYNAJEM4[[#This Row],[woda]]</f>
        <v>6.51</v>
      </c>
      <c r="H359" s="8">
        <f xml:space="preserve"> (10 * WYNAJEM4[[#This Row],[typ]] * WYNAJEM4[[#This Row],[czas wynajecia domku]])</f>
        <v>760</v>
      </c>
      <c r="I359" s="9">
        <f xml:space="preserve"> WYNAJEM4[[#This Row],[suma energia i woda]] + WYNAJEM4[[#This Row],[czynsz]]</f>
        <v>766.51</v>
      </c>
    </row>
    <row r="360" spans="1:9" x14ac:dyDescent="0.25">
      <c r="A360" s="1">
        <v>41803</v>
      </c>
      <c r="B360" s="1">
        <v>41813</v>
      </c>
      <c r="C360" s="8">
        <v>5.67</v>
      </c>
      <c r="D360" s="8">
        <v>0.15</v>
      </c>
      <c r="E360">
        <v>5</v>
      </c>
      <c r="F360" s="10">
        <f>(WYNAJEM4[[#This Row],[data_wyjazdu]]-WYNAJEM4[[#This Row],[data_przyjazdu]])</f>
        <v>10</v>
      </c>
      <c r="G360" s="9">
        <f xml:space="preserve"> WYNAJEM4[[#This Row],[energia]] + WYNAJEM4[[#This Row],[woda]]</f>
        <v>5.82</v>
      </c>
      <c r="H360" s="8">
        <f xml:space="preserve"> (10 * WYNAJEM4[[#This Row],[typ]] * WYNAJEM4[[#This Row],[czas wynajecia domku]])</f>
        <v>500</v>
      </c>
      <c r="I360" s="9">
        <f xml:space="preserve"> WYNAJEM4[[#This Row],[suma energia i woda]] + WYNAJEM4[[#This Row],[czynsz]]</f>
        <v>505.82</v>
      </c>
    </row>
    <row r="361" spans="1:9" x14ac:dyDescent="0.25">
      <c r="A361" s="1">
        <v>41803</v>
      </c>
      <c r="B361" s="1">
        <v>41821</v>
      </c>
      <c r="C361" s="8">
        <v>8.51</v>
      </c>
      <c r="D361" s="8">
        <v>0.22</v>
      </c>
      <c r="E361">
        <v>6</v>
      </c>
      <c r="F361" s="10">
        <f>(WYNAJEM4[[#This Row],[data_wyjazdu]]-WYNAJEM4[[#This Row],[data_przyjazdu]])</f>
        <v>18</v>
      </c>
      <c r="G361" s="9">
        <f xml:space="preserve"> WYNAJEM4[[#This Row],[energia]] + WYNAJEM4[[#This Row],[woda]]</f>
        <v>8.73</v>
      </c>
      <c r="H361" s="8">
        <f xml:space="preserve"> (10 * WYNAJEM4[[#This Row],[typ]] * WYNAJEM4[[#This Row],[czas wynajecia domku]])</f>
        <v>1080</v>
      </c>
      <c r="I361" s="9">
        <f xml:space="preserve"> WYNAJEM4[[#This Row],[suma energia i woda]] + WYNAJEM4[[#This Row],[czynsz]]</f>
        <v>1088.73</v>
      </c>
    </row>
    <row r="362" spans="1:9" x14ac:dyDescent="0.25">
      <c r="A362" s="1">
        <v>41803</v>
      </c>
      <c r="B362" s="1">
        <v>41817</v>
      </c>
      <c r="C362" s="8">
        <v>16.829999999999998</v>
      </c>
      <c r="D362" s="8">
        <v>0.44</v>
      </c>
      <c r="E362">
        <v>5</v>
      </c>
      <c r="F362" s="10">
        <f>(WYNAJEM4[[#This Row],[data_wyjazdu]]-WYNAJEM4[[#This Row],[data_przyjazdu]])</f>
        <v>14</v>
      </c>
      <c r="G362" s="9">
        <f xml:space="preserve"> WYNAJEM4[[#This Row],[energia]] + WYNAJEM4[[#This Row],[woda]]</f>
        <v>17.27</v>
      </c>
      <c r="H362" s="8">
        <f xml:space="preserve"> (10 * WYNAJEM4[[#This Row],[typ]] * WYNAJEM4[[#This Row],[czas wynajecia domku]])</f>
        <v>700</v>
      </c>
      <c r="I362" s="9">
        <f xml:space="preserve"> WYNAJEM4[[#This Row],[suma energia i woda]] + WYNAJEM4[[#This Row],[czynsz]]</f>
        <v>717.27</v>
      </c>
    </row>
    <row r="363" spans="1:9" x14ac:dyDescent="0.25">
      <c r="A363" s="1">
        <v>41803</v>
      </c>
      <c r="B363" s="1">
        <v>41814</v>
      </c>
      <c r="C363" s="8">
        <v>11.69</v>
      </c>
      <c r="D363" s="8">
        <v>0.31</v>
      </c>
      <c r="E363">
        <v>5</v>
      </c>
      <c r="F363" s="10">
        <f>(WYNAJEM4[[#This Row],[data_wyjazdu]]-WYNAJEM4[[#This Row],[data_przyjazdu]])</f>
        <v>11</v>
      </c>
      <c r="G363" s="9">
        <f xml:space="preserve"> WYNAJEM4[[#This Row],[energia]] + WYNAJEM4[[#This Row],[woda]]</f>
        <v>12</v>
      </c>
      <c r="H363" s="8">
        <f xml:space="preserve"> (10 * WYNAJEM4[[#This Row],[typ]] * WYNAJEM4[[#This Row],[czas wynajecia domku]])</f>
        <v>550</v>
      </c>
      <c r="I363" s="9">
        <f xml:space="preserve"> WYNAJEM4[[#This Row],[suma energia i woda]] + WYNAJEM4[[#This Row],[czynsz]]</f>
        <v>562</v>
      </c>
    </row>
    <row r="364" spans="1:9" x14ac:dyDescent="0.25">
      <c r="A364" s="1">
        <v>41806</v>
      </c>
      <c r="B364" s="1">
        <v>41808</v>
      </c>
      <c r="C364" s="8">
        <v>7.71</v>
      </c>
      <c r="D364" s="8">
        <v>0.2</v>
      </c>
      <c r="E364">
        <v>3</v>
      </c>
      <c r="F364" s="10">
        <f>(WYNAJEM4[[#This Row],[data_wyjazdu]]-WYNAJEM4[[#This Row],[data_przyjazdu]])</f>
        <v>2</v>
      </c>
      <c r="G364" s="9">
        <f xml:space="preserve"> WYNAJEM4[[#This Row],[energia]] + WYNAJEM4[[#This Row],[woda]]</f>
        <v>7.91</v>
      </c>
      <c r="H364" s="8">
        <f xml:space="preserve"> (10 * WYNAJEM4[[#This Row],[typ]] * WYNAJEM4[[#This Row],[czas wynajecia domku]])</f>
        <v>60</v>
      </c>
      <c r="I364" s="9">
        <f xml:space="preserve"> WYNAJEM4[[#This Row],[suma energia i woda]] + WYNAJEM4[[#This Row],[czynsz]]</f>
        <v>67.91</v>
      </c>
    </row>
    <row r="365" spans="1:9" x14ac:dyDescent="0.25">
      <c r="A365" s="1">
        <v>41806</v>
      </c>
      <c r="B365" s="1">
        <v>41834</v>
      </c>
      <c r="C365" s="8">
        <v>5.67</v>
      </c>
      <c r="D365" s="8">
        <v>0.15</v>
      </c>
      <c r="E365">
        <v>5</v>
      </c>
      <c r="F365" s="10">
        <f>(WYNAJEM4[[#This Row],[data_wyjazdu]]-WYNAJEM4[[#This Row],[data_przyjazdu]])</f>
        <v>28</v>
      </c>
      <c r="G365" s="9">
        <f xml:space="preserve"> WYNAJEM4[[#This Row],[energia]] + WYNAJEM4[[#This Row],[woda]]</f>
        <v>5.82</v>
      </c>
      <c r="H365" s="8">
        <f xml:space="preserve"> (10 * WYNAJEM4[[#This Row],[typ]] * WYNAJEM4[[#This Row],[czas wynajecia domku]])</f>
        <v>1400</v>
      </c>
      <c r="I365" s="9">
        <f xml:space="preserve"> WYNAJEM4[[#This Row],[suma energia i woda]] + WYNAJEM4[[#This Row],[czynsz]]</f>
        <v>1405.82</v>
      </c>
    </row>
    <row r="366" spans="1:9" x14ac:dyDescent="0.25">
      <c r="A366" s="1">
        <v>41809</v>
      </c>
      <c r="B366" s="1">
        <v>41837</v>
      </c>
      <c r="C366" s="8">
        <v>7.3</v>
      </c>
      <c r="D366" s="8">
        <v>0.19</v>
      </c>
      <c r="E366">
        <v>6</v>
      </c>
      <c r="F366" s="10">
        <f>(WYNAJEM4[[#This Row],[data_wyjazdu]]-WYNAJEM4[[#This Row],[data_przyjazdu]])</f>
        <v>28</v>
      </c>
      <c r="G366" s="9">
        <f xml:space="preserve"> WYNAJEM4[[#This Row],[energia]] + WYNAJEM4[[#This Row],[woda]]</f>
        <v>7.49</v>
      </c>
      <c r="H366" s="8">
        <f xml:space="preserve"> (10 * WYNAJEM4[[#This Row],[typ]] * WYNAJEM4[[#This Row],[czas wynajecia domku]])</f>
        <v>1680</v>
      </c>
      <c r="I366" s="9">
        <f xml:space="preserve"> WYNAJEM4[[#This Row],[suma energia i woda]] + WYNAJEM4[[#This Row],[czynsz]]</f>
        <v>1687.49</v>
      </c>
    </row>
    <row r="367" spans="1:9" x14ac:dyDescent="0.25">
      <c r="A367" s="1">
        <v>41809</v>
      </c>
      <c r="B367" s="1">
        <v>41813</v>
      </c>
      <c r="C367" s="8">
        <v>5.64</v>
      </c>
      <c r="D367" s="8">
        <v>0.15</v>
      </c>
      <c r="E367">
        <v>5</v>
      </c>
      <c r="F367" s="10">
        <f>(WYNAJEM4[[#This Row],[data_wyjazdu]]-WYNAJEM4[[#This Row],[data_przyjazdu]])</f>
        <v>4</v>
      </c>
      <c r="G367" s="9">
        <f xml:space="preserve"> WYNAJEM4[[#This Row],[energia]] + WYNAJEM4[[#This Row],[woda]]</f>
        <v>5.79</v>
      </c>
      <c r="H367" s="8">
        <f xml:space="preserve"> (10 * WYNAJEM4[[#This Row],[typ]] * WYNAJEM4[[#This Row],[czas wynajecia domku]])</f>
        <v>200</v>
      </c>
      <c r="I367" s="9">
        <f xml:space="preserve"> WYNAJEM4[[#This Row],[suma energia i woda]] + WYNAJEM4[[#This Row],[czynsz]]</f>
        <v>205.79</v>
      </c>
    </row>
    <row r="368" spans="1:9" x14ac:dyDescent="0.25">
      <c r="A368" s="1">
        <v>41809</v>
      </c>
      <c r="B368" s="1">
        <v>41815</v>
      </c>
      <c r="C368" s="8">
        <v>10.79</v>
      </c>
      <c r="D368" s="8">
        <v>0.28000000000000003</v>
      </c>
      <c r="E368">
        <v>5</v>
      </c>
      <c r="F368" s="10">
        <f>(WYNAJEM4[[#This Row],[data_wyjazdu]]-WYNAJEM4[[#This Row],[data_przyjazdu]])</f>
        <v>6</v>
      </c>
      <c r="G368" s="9">
        <f xml:space="preserve"> WYNAJEM4[[#This Row],[energia]] + WYNAJEM4[[#This Row],[woda]]</f>
        <v>11.069999999999999</v>
      </c>
      <c r="H368" s="8">
        <f xml:space="preserve"> (10 * WYNAJEM4[[#This Row],[typ]] * WYNAJEM4[[#This Row],[czas wynajecia domku]])</f>
        <v>300</v>
      </c>
      <c r="I368" s="9">
        <f xml:space="preserve"> WYNAJEM4[[#This Row],[suma energia i woda]] + WYNAJEM4[[#This Row],[czynsz]]</f>
        <v>311.07</v>
      </c>
    </row>
    <row r="369" spans="1:9" x14ac:dyDescent="0.25">
      <c r="A369" s="1">
        <v>41809</v>
      </c>
      <c r="B369" s="1">
        <v>41830</v>
      </c>
      <c r="C369" s="8">
        <v>10.199999999999999</v>
      </c>
      <c r="D369" s="8">
        <v>0.27</v>
      </c>
      <c r="E369">
        <v>6</v>
      </c>
      <c r="F369" s="10">
        <f>(WYNAJEM4[[#This Row],[data_wyjazdu]]-WYNAJEM4[[#This Row],[data_przyjazdu]])</f>
        <v>21</v>
      </c>
      <c r="G369" s="9">
        <f xml:space="preserve"> WYNAJEM4[[#This Row],[energia]] + WYNAJEM4[[#This Row],[woda]]</f>
        <v>10.469999999999999</v>
      </c>
      <c r="H369" s="8">
        <f xml:space="preserve"> (10 * WYNAJEM4[[#This Row],[typ]] * WYNAJEM4[[#This Row],[czas wynajecia domku]])</f>
        <v>1260</v>
      </c>
      <c r="I369" s="9">
        <f xml:space="preserve"> WYNAJEM4[[#This Row],[suma energia i woda]] + WYNAJEM4[[#This Row],[czynsz]]</f>
        <v>1270.47</v>
      </c>
    </row>
    <row r="370" spans="1:9" x14ac:dyDescent="0.25">
      <c r="A370" s="1">
        <v>41809</v>
      </c>
      <c r="B370" s="1">
        <v>41821</v>
      </c>
      <c r="C370" s="8">
        <v>16.55</v>
      </c>
      <c r="D370" s="8">
        <v>0.44</v>
      </c>
      <c r="E370">
        <v>3</v>
      </c>
      <c r="F370" s="10">
        <f>(WYNAJEM4[[#This Row],[data_wyjazdu]]-WYNAJEM4[[#This Row],[data_przyjazdu]])</f>
        <v>12</v>
      </c>
      <c r="G370" s="9">
        <f xml:space="preserve"> WYNAJEM4[[#This Row],[energia]] + WYNAJEM4[[#This Row],[woda]]</f>
        <v>16.990000000000002</v>
      </c>
      <c r="H370" s="8">
        <f xml:space="preserve"> (10 * WYNAJEM4[[#This Row],[typ]] * WYNAJEM4[[#This Row],[czas wynajecia domku]])</f>
        <v>360</v>
      </c>
      <c r="I370" s="9">
        <f xml:space="preserve"> WYNAJEM4[[#This Row],[suma energia i woda]] + WYNAJEM4[[#This Row],[czynsz]]</f>
        <v>376.99</v>
      </c>
    </row>
    <row r="371" spans="1:9" x14ac:dyDescent="0.25">
      <c r="A371" s="1">
        <v>41809</v>
      </c>
      <c r="B371" s="1">
        <v>41829</v>
      </c>
      <c r="C371" s="8">
        <v>8.9499999999999993</v>
      </c>
      <c r="D371" s="8">
        <v>0.24</v>
      </c>
      <c r="E371">
        <v>6</v>
      </c>
      <c r="F371" s="10">
        <f>(WYNAJEM4[[#This Row],[data_wyjazdu]]-WYNAJEM4[[#This Row],[data_przyjazdu]])</f>
        <v>20</v>
      </c>
      <c r="G371" s="9">
        <f xml:space="preserve"> WYNAJEM4[[#This Row],[energia]] + WYNAJEM4[[#This Row],[woda]]</f>
        <v>9.19</v>
      </c>
      <c r="H371" s="8">
        <f xml:space="preserve"> (10 * WYNAJEM4[[#This Row],[typ]] * WYNAJEM4[[#This Row],[czas wynajecia domku]])</f>
        <v>1200</v>
      </c>
      <c r="I371" s="9">
        <f xml:space="preserve"> WYNAJEM4[[#This Row],[suma energia i woda]] + WYNAJEM4[[#This Row],[czynsz]]</f>
        <v>1209.19</v>
      </c>
    </row>
    <row r="372" spans="1:9" x14ac:dyDescent="0.25">
      <c r="A372" s="1">
        <v>41815</v>
      </c>
      <c r="B372" s="1">
        <v>41825</v>
      </c>
      <c r="C372" s="8">
        <v>5.64</v>
      </c>
      <c r="D372" s="8">
        <v>0.15</v>
      </c>
      <c r="E372">
        <v>4</v>
      </c>
      <c r="F372" s="10">
        <f>(WYNAJEM4[[#This Row],[data_wyjazdu]]-WYNAJEM4[[#This Row],[data_przyjazdu]])</f>
        <v>10</v>
      </c>
      <c r="G372" s="9">
        <f xml:space="preserve"> WYNAJEM4[[#This Row],[energia]] + WYNAJEM4[[#This Row],[woda]]</f>
        <v>5.79</v>
      </c>
      <c r="H372" s="8">
        <f xml:space="preserve"> (10 * WYNAJEM4[[#This Row],[typ]] * WYNAJEM4[[#This Row],[czas wynajecia domku]])</f>
        <v>400</v>
      </c>
      <c r="I372" s="9">
        <f xml:space="preserve"> WYNAJEM4[[#This Row],[suma energia i woda]] + WYNAJEM4[[#This Row],[czynsz]]</f>
        <v>405.79</v>
      </c>
    </row>
    <row r="373" spans="1:9" x14ac:dyDescent="0.25">
      <c r="A373" s="1">
        <v>41815</v>
      </c>
      <c r="B373" s="1">
        <v>41840</v>
      </c>
      <c r="C373" s="8">
        <v>6.34</v>
      </c>
      <c r="D373" s="8">
        <v>0.17</v>
      </c>
      <c r="E373">
        <v>3</v>
      </c>
      <c r="F373" s="10">
        <f>(WYNAJEM4[[#This Row],[data_wyjazdu]]-WYNAJEM4[[#This Row],[data_przyjazdu]])</f>
        <v>25</v>
      </c>
      <c r="G373" s="9">
        <f xml:space="preserve"> WYNAJEM4[[#This Row],[energia]] + WYNAJEM4[[#This Row],[woda]]</f>
        <v>6.51</v>
      </c>
      <c r="H373" s="8">
        <f xml:space="preserve"> (10 * WYNAJEM4[[#This Row],[typ]] * WYNAJEM4[[#This Row],[czas wynajecia domku]])</f>
        <v>750</v>
      </c>
      <c r="I373" s="9">
        <f xml:space="preserve"> WYNAJEM4[[#This Row],[suma energia i woda]] + WYNAJEM4[[#This Row],[czynsz]]</f>
        <v>756.51</v>
      </c>
    </row>
    <row r="374" spans="1:9" x14ac:dyDescent="0.25">
      <c r="A374" s="1">
        <v>41815</v>
      </c>
      <c r="B374" s="1">
        <v>41832</v>
      </c>
      <c r="C374" s="8">
        <v>11.69</v>
      </c>
      <c r="D374" s="8">
        <v>0.31</v>
      </c>
      <c r="E374">
        <v>6</v>
      </c>
      <c r="F374" s="10">
        <f>(WYNAJEM4[[#This Row],[data_wyjazdu]]-WYNAJEM4[[#This Row],[data_przyjazdu]])</f>
        <v>17</v>
      </c>
      <c r="G374" s="9">
        <f xml:space="preserve"> WYNAJEM4[[#This Row],[energia]] + WYNAJEM4[[#This Row],[woda]]</f>
        <v>12</v>
      </c>
      <c r="H374" s="8">
        <f xml:space="preserve"> (10 * WYNAJEM4[[#This Row],[typ]] * WYNAJEM4[[#This Row],[czas wynajecia domku]])</f>
        <v>1020</v>
      </c>
      <c r="I374" s="9">
        <f xml:space="preserve"> WYNAJEM4[[#This Row],[suma energia i woda]] + WYNAJEM4[[#This Row],[czynsz]]</f>
        <v>1032</v>
      </c>
    </row>
    <row r="375" spans="1:9" x14ac:dyDescent="0.25">
      <c r="A375" s="1">
        <v>41815</v>
      </c>
      <c r="B375" s="1">
        <v>41839</v>
      </c>
      <c r="C375" s="8">
        <v>11.42</v>
      </c>
      <c r="D375" s="8">
        <v>0.3</v>
      </c>
      <c r="E375">
        <v>5</v>
      </c>
      <c r="F375" s="10">
        <f>(WYNAJEM4[[#This Row],[data_wyjazdu]]-WYNAJEM4[[#This Row],[data_przyjazdu]])</f>
        <v>24</v>
      </c>
      <c r="G375" s="9">
        <f xml:space="preserve"> WYNAJEM4[[#This Row],[energia]] + WYNAJEM4[[#This Row],[woda]]</f>
        <v>11.72</v>
      </c>
      <c r="H375" s="8">
        <f xml:space="preserve"> (10 * WYNAJEM4[[#This Row],[typ]] * WYNAJEM4[[#This Row],[czas wynajecia domku]])</f>
        <v>1200</v>
      </c>
      <c r="I375" s="9">
        <f xml:space="preserve"> WYNAJEM4[[#This Row],[suma energia i woda]] + WYNAJEM4[[#This Row],[czynsz]]</f>
        <v>1211.72</v>
      </c>
    </row>
    <row r="376" spans="1:9" x14ac:dyDescent="0.25">
      <c r="A376" s="1">
        <v>41815</v>
      </c>
      <c r="B376" s="1">
        <v>41822</v>
      </c>
      <c r="C376" s="8">
        <v>8.5399999999999991</v>
      </c>
      <c r="D376" s="8">
        <v>0.22</v>
      </c>
      <c r="E376">
        <v>6</v>
      </c>
      <c r="F376" s="10">
        <f>(WYNAJEM4[[#This Row],[data_wyjazdu]]-WYNAJEM4[[#This Row],[data_przyjazdu]])</f>
        <v>7</v>
      </c>
      <c r="G376" s="9">
        <f xml:space="preserve"> WYNAJEM4[[#This Row],[energia]] + WYNAJEM4[[#This Row],[woda]]</f>
        <v>8.76</v>
      </c>
      <c r="H376" s="8">
        <f xml:space="preserve"> (10 * WYNAJEM4[[#This Row],[typ]] * WYNAJEM4[[#This Row],[czas wynajecia domku]])</f>
        <v>420</v>
      </c>
      <c r="I376" s="9">
        <f xml:space="preserve"> WYNAJEM4[[#This Row],[suma energia i woda]] + WYNAJEM4[[#This Row],[czynsz]]</f>
        <v>428.76</v>
      </c>
    </row>
    <row r="377" spans="1:9" x14ac:dyDescent="0.25">
      <c r="A377" s="1">
        <v>41815</v>
      </c>
      <c r="B377" s="1">
        <v>41831</v>
      </c>
      <c r="C377" s="8">
        <v>10.199999999999999</v>
      </c>
      <c r="D377" s="8">
        <v>0.27</v>
      </c>
      <c r="E377">
        <v>3</v>
      </c>
      <c r="F377" s="10">
        <f>(WYNAJEM4[[#This Row],[data_wyjazdu]]-WYNAJEM4[[#This Row],[data_przyjazdu]])</f>
        <v>16</v>
      </c>
      <c r="G377" s="9">
        <f xml:space="preserve"> WYNAJEM4[[#This Row],[energia]] + WYNAJEM4[[#This Row],[woda]]</f>
        <v>10.469999999999999</v>
      </c>
      <c r="H377" s="8">
        <f xml:space="preserve"> (10 * WYNAJEM4[[#This Row],[typ]] * WYNAJEM4[[#This Row],[czas wynajecia domku]])</f>
        <v>480</v>
      </c>
      <c r="I377" s="9">
        <f xml:space="preserve"> WYNAJEM4[[#This Row],[suma energia i woda]] + WYNAJEM4[[#This Row],[czynsz]]</f>
        <v>490.47</v>
      </c>
    </row>
    <row r="378" spans="1:9" x14ac:dyDescent="0.25">
      <c r="A378" s="1">
        <v>41815</v>
      </c>
      <c r="B378" s="1">
        <v>41833</v>
      </c>
      <c r="C378" s="8">
        <v>8.39</v>
      </c>
      <c r="D378" s="8">
        <v>0.22</v>
      </c>
      <c r="E378">
        <v>6</v>
      </c>
      <c r="F378" s="10">
        <f>(WYNAJEM4[[#This Row],[data_wyjazdu]]-WYNAJEM4[[#This Row],[data_przyjazdu]])</f>
        <v>18</v>
      </c>
      <c r="G378" s="9">
        <f xml:space="preserve"> WYNAJEM4[[#This Row],[energia]] + WYNAJEM4[[#This Row],[woda]]</f>
        <v>8.6100000000000012</v>
      </c>
      <c r="H378" s="8">
        <f xml:space="preserve"> (10 * WYNAJEM4[[#This Row],[typ]] * WYNAJEM4[[#This Row],[czas wynajecia domku]])</f>
        <v>1080</v>
      </c>
      <c r="I378" s="9">
        <f xml:space="preserve"> WYNAJEM4[[#This Row],[suma energia i woda]] + WYNAJEM4[[#This Row],[czynsz]]</f>
        <v>1088.6099999999999</v>
      </c>
    </row>
    <row r="379" spans="1:9" x14ac:dyDescent="0.25">
      <c r="A379" s="1">
        <v>41815</v>
      </c>
      <c r="B379" s="1">
        <v>41826</v>
      </c>
      <c r="C379" s="8">
        <v>9.4600000000000009</v>
      </c>
      <c r="D379" s="8">
        <v>0.25</v>
      </c>
      <c r="E379">
        <v>4</v>
      </c>
      <c r="F379" s="10">
        <f>(WYNAJEM4[[#This Row],[data_wyjazdu]]-WYNAJEM4[[#This Row],[data_przyjazdu]])</f>
        <v>11</v>
      </c>
      <c r="G379" s="9">
        <f xml:space="preserve"> WYNAJEM4[[#This Row],[energia]] + WYNAJEM4[[#This Row],[woda]]</f>
        <v>9.7100000000000009</v>
      </c>
      <c r="H379" s="8">
        <f xml:space="preserve"> (10 * WYNAJEM4[[#This Row],[typ]] * WYNAJEM4[[#This Row],[czas wynajecia domku]])</f>
        <v>440</v>
      </c>
      <c r="I379" s="9">
        <f xml:space="preserve"> WYNAJEM4[[#This Row],[suma energia i woda]] + WYNAJEM4[[#This Row],[czynsz]]</f>
        <v>449.71</v>
      </c>
    </row>
    <row r="380" spans="1:9" x14ac:dyDescent="0.25">
      <c r="A380" s="1">
        <v>41815</v>
      </c>
      <c r="B380" s="1">
        <v>41843</v>
      </c>
      <c r="C380" s="8">
        <v>11.37</v>
      </c>
      <c r="D380" s="8">
        <v>0.3</v>
      </c>
      <c r="E380">
        <v>5</v>
      </c>
      <c r="F380" s="10">
        <f>(WYNAJEM4[[#This Row],[data_wyjazdu]]-WYNAJEM4[[#This Row],[data_przyjazdu]])</f>
        <v>28</v>
      </c>
      <c r="G380" s="9">
        <f xml:space="preserve"> WYNAJEM4[[#This Row],[energia]] + WYNAJEM4[[#This Row],[woda]]</f>
        <v>11.67</v>
      </c>
      <c r="H380" s="8">
        <f xml:space="preserve"> (10 * WYNAJEM4[[#This Row],[typ]] * WYNAJEM4[[#This Row],[czas wynajecia domku]])</f>
        <v>1400</v>
      </c>
      <c r="I380" s="9">
        <f xml:space="preserve"> WYNAJEM4[[#This Row],[suma energia i woda]] + WYNAJEM4[[#This Row],[czynsz]]</f>
        <v>1411.67</v>
      </c>
    </row>
    <row r="381" spans="1:9" x14ac:dyDescent="0.25">
      <c r="A381" s="1">
        <v>41815</v>
      </c>
      <c r="B381" s="1">
        <v>41841</v>
      </c>
      <c r="C381" s="8">
        <v>3.79</v>
      </c>
      <c r="D381" s="8">
        <v>0.1</v>
      </c>
      <c r="E381">
        <v>5</v>
      </c>
      <c r="F381" s="10">
        <f>(WYNAJEM4[[#This Row],[data_wyjazdu]]-WYNAJEM4[[#This Row],[data_przyjazdu]])</f>
        <v>26</v>
      </c>
      <c r="G381" s="9">
        <f xml:space="preserve"> WYNAJEM4[[#This Row],[energia]] + WYNAJEM4[[#This Row],[woda]]</f>
        <v>3.89</v>
      </c>
      <c r="H381" s="8">
        <f xml:space="preserve"> (10 * WYNAJEM4[[#This Row],[typ]] * WYNAJEM4[[#This Row],[czas wynajecia domku]])</f>
        <v>1300</v>
      </c>
      <c r="I381" s="9">
        <f xml:space="preserve"> WYNAJEM4[[#This Row],[suma energia i woda]] + WYNAJEM4[[#This Row],[czynsz]]</f>
        <v>1303.8900000000001</v>
      </c>
    </row>
    <row r="382" spans="1:9" x14ac:dyDescent="0.25">
      <c r="A382" s="1">
        <v>41815</v>
      </c>
      <c r="B382" s="1">
        <v>41835</v>
      </c>
      <c r="C382" s="8">
        <v>8.84</v>
      </c>
      <c r="D382" s="8">
        <v>0.23</v>
      </c>
      <c r="E382">
        <v>2</v>
      </c>
      <c r="F382" s="10">
        <f>(WYNAJEM4[[#This Row],[data_wyjazdu]]-WYNAJEM4[[#This Row],[data_przyjazdu]])</f>
        <v>20</v>
      </c>
      <c r="G382" s="9">
        <f xml:space="preserve"> WYNAJEM4[[#This Row],[energia]] + WYNAJEM4[[#This Row],[woda]]</f>
        <v>9.07</v>
      </c>
      <c r="H382" s="8">
        <f xml:space="preserve"> (10 * WYNAJEM4[[#This Row],[typ]] * WYNAJEM4[[#This Row],[czas wynajecia domku]])</f>
        <v>400</v>
      </c>
      <c r="I382" s="9">
        <f xml:space="preserve"> WYNAJEM4[[#This Row],[suma energia i woda]] + WYNAJEM4[[#This Row],[czynsz]]</f>
        <v>409.07</v>
      </c>
    </row>
    <row r="383" spans="1:9" x14ac:dyDescent="0.25">
      <c r="A383" s="1">
        <v>41815</v>
      </c>
      <c r="B383" s="1">
        <v>41825</v>
      </c>
      <c r="C383" s="8">
        <v>19.54</v>
      </c>
      <c r="D383" s="8">
        <v>0.51</v>
      </c>
      <c r="E383">
        <v>4</v>
      </c>
      <c r="F383" s="10">
        <f>(WYNAJEM4[[#This Row],[data_wyjazdu]]-WYNAJEM4[[#This Row],[data_przyjazdu]])</f>
        <v>10</v>
      </c>
      <c r="G383" s="9">
        <f xml:space="preserve"> WYNAJEM4[[#This Row],[energia]] + WYNAJEM4[[#This Row],[woda]]</f>
        <v>20.05</v>
      </c>
      <c r="H383" s="8">
        <f xml:space="preserve"> (10 * WYNAJEM4[[#This Row],[typ]] * WYNAJEM4[[#This Row],[czas wynajecia domku]])</f>
        <v>400</v>
      </c>
      <c r="I383" s="9">
        <f xml:space="preserve"> WYNAJEM4[[#This Row],[suma energia i woda]] + WYNAJEM4[[#This Row],[czynsz]]</f>
        <v>420.05</v>
      </c>
    </row>
    <row r="384" spans="1:9" x14ac:dyDescent="0.25">
      <c r="A384" s="1">
        <v>41815</v>
      </c>
      <c r="B384" s="1">
        <v>41821</v>
      </c>
      <c r="C384" s="8">
        <v>3.79</v>
      </c>
      <c r="D384" s="8">
        <v>0.1</v>
      </c>
      <c r="E384">
        <v>5</v>
      </c>
      <c r="F384" s="10">
        <f>(WYNAJEM4[[#This Row],[data_wyjazdu]]-WYNAJEM4[[#This Row],[data_przyjazdu]])</f>
        <v>6</v>
      </c>
      <c r="G384" s="9">
        <f xml:space="preserve"> WYNAJEM4[[#This Row],[energia]] + WYNAJEM4[[#This Row],[woda]]</f>
        <v>3.89</v>
      </c>
      <c r="H384" s="8">
        <f xml:space="preserve"> (10 * WYNAJEM4[[#This Row],[typ]] * WYNAJEM4[[#This Row],[czas wynajecia domku]])</f>
        <v>300</v>
      </c>
      <c r="I384" s="9">
        <f xml:space="preserve"> WYNAJEM4[[#This Row],[suma energia i woda]] + WYNAJEM4[[#This Row],[czynsz]]</f>
        <v>303.89</v>
      </c>
    </row>
    <row r="385" spans="1:9" x14ac:dyDescent="0.25">
      <c r="A385" s="1">
        <v>41815</v>
      </c>
      <c r="B385" s="1">
        <v>41828</v>
      </c>
      <c r="C385" s="8">
        <v>9.74</v>
      </c>
      <c r="D385" s="8">
        <v>0.26</v>
      </c>
      <c r="E385">
        <v>6</v>
      </c>
      <c r="F385" s="10">
        <f>(WYNAJEM4[[#This Row],[data_wyjazdu]]-WYNAJEM4[[#This Row],[data_przyjazdu]])</f>
        <v>13</v>
      </c>
      <c r="G385" s="9">
        <f xml:space="preserve"> WYNAJEM4[[#This Row],[energia]] + WYNAJEM4[[#This Row],[woda]]</f>
        <v>10</v>
      </c>
      <c r="H385" s="8">
        <f xml:space="preserve"> (10 * WYNAJEM4[[#This Row],[typ]] * WYNAJEM4[[#This Row],[czas wynajecia domku]])</f>
        <v>780</v>
      </c>
      <c r="I385" s="9">
        <f xml:space="preserve"> WYNAJEM4[[#This Row],[suma energia i woda]] + WYNAJEM4[[#This Row],[czynsz]]</f>
        <v>790</v>
      </c>
    </row>
    <row r="386" spans="1:9" x14ac:dyDescent="0.25">
      <c r="A386" s="1">
        <v>41815</v>
      </c>
      <c r="B386" s="1">
        <v>41837</v>
      </c>
      <c r="C386" s="8">
        <v>10.199999999999999</v>
      </c>
      <c r="D386" s="8">
        <v>0.27</v>
      </c>
      <c r="E386">
        <v>2</v>
      </c>
      <c r="F386" s="10">
        <f>(WYNAJEM4[[#This Row],[data_wyjazdu]]-WYNAJEM4[[#This Row],[data_przyjazdu]])</f>
        <v>22</v>
      </c>
      <c r="G386" s="9">
        <f xml:space="preserve"> WYNAJEM4[[#This Row],[energia]] + WYNAJEM4[[#This Row],[woda]]</f>
        <v>10.469999999999999</v>
      </c>
      <c r="H386" s="8">
        <f xml:space="preserve"> (10 * WYNAJEM4[[#This Row],[typ]] * WYNAJEM4[[#This Row],[czas wynajecia domku]])</f>
        <v>440</v>
      </c>
      <c r="I386" s="9">
        <f xml:space="preserve"> WYNAJEM4[[#This Row],[suma energia i woda]] + WYNAJEM4[[#This Row],[czynsz]]</f>
        <v>450.47</v>
      </c>
    </row>
    <row r="387" spans="1:9" x14ac:dyDescent="0.25">
      <c r="A387" s="1">
        <v>41815</v>
      </c>
      <c r="B387" s="1">
        <v>41836</v>
      </c>
      <c r="C387" s="8">
        <v>3.88</v>
      </c>
      <c r="D387" s="8">
        <v>0.1</v>
      </c>
      <c r="E387">
        <v>4</v>
      </c>
      <c r="F387" s="10">
        <f>(WYNAJEM4[[#This Row],[data_wyjazdu]]-WYNAJEM4[[#This Row],[data_przyjazdu]])</f>
        <v>21</v>
      </c>
      <c r="G387" s="9">
        <f xml:space="preserve"> WYNAJEM4[[#This Row],[energia]] + WYNAJEM4[[#This Row],[woda]]</f>
        <v>3.98</v>
      </c>
      <c r="H387" s="8">
        <f xml:space="preserve"> (10 * WYNAJEM4[[#This Row],[typ]] * WYNAJEM4[[#This Row],[czas wynajecia domku]])</f>
        <v>840</v>
      </c>
      <c r="I387" s="9">
        <f xml:space="preserve"> WYNAJEM4[[#This Row],[suma energia i woda]] + WYNAJEM4[[#This Row],[czynsz]]</f>
        <v>843.98</v>
      </c>
    </row>
    <row r="388" spans="1:9" x14ac:dyDescent="0.25">
      <c r="A388" s="1">
        <v>41818</v>
      </c>
      <c r="B388" s="1">
        <v>41835</v>
      </c>
      <c r="C388" s="8">
        <v>4.66</v>
      </c>
      <c r="D388" s="8">
        <v>0.12</v>
      </c>
      <c r="E388">
        <v>4</v>
      </c>
      <c r="F388" s="10">
        <f>(WYNAJEM4[[#This Row],[data_wyjazdu]]-WYNAJEM4[[#This Row],[data_przyjazdu]])</f>
        <v>17</v>
      </c>
      <c r="G388" s="9">
        <f xml:space="preserve"> WYNAJEM4[[#This Row],[energia]] + WYNAJEM4[[#This Row],[woda]]</f>
        <v>4.78</v>
      </c>
      <c r="H388" s="8">
        <f xml:space="preserve"> (10 * WYNAJEM4[[#This Row],[typ]] * WYNAJEM4[[#This Row],[czas wynajecia domku]])</f>
        <v>680</v>
      </c>
      <c r="I388" s="9">
        <f xml:space="preserve"> WYNAJEM4[[#This Row],[suma energia i woda]] + WYNAJEM4[[#This Row],[czynsz]]</f>
        <v>684.78</v>
      </c>
    </row>
    <row r="389" spans="1:9" x14ac:dyDescent="0.25">
      <c r="A389" s="1">
        <v>41821</v>
      </c>
      <c r="B389" s="1">
        <v>41840</v>
      </c>
      <c r="C389" s="8">
        <v>16.55</v>
      </c>
      <c r="D389" s="8">
        <v>0.44</v>
      </c>
      <c r="E389">
        <v>6</v>
      </c>
      <c r="F389" s="10">
        <f>(WYNAJEM4[[#This Row],[data_wyjazdu]]-WYNAJEM4[[#This Row],[data_przyjazdu]])</f>
        <v>19</v>
      </c>
      <c r="G389" s="9">
        <f xml:space="preserve"> WYNAJEM4[[#This Row],[energia]] + WYNAJEM4[[#This Row],[woda]]</f>
        <v>16.990000000000002</v>
      </c>
      <c r="H389" s="8">
        <f xml:space="preserve"> (10 * WYNAJEM4[[#This Row],[typ]] * WYNAJEM4[[#This Row],[czas wynajecia domku]])</f>
        <v>1140</v>
      </c>
      <c r="I389" s="9">
        <f xml:space="preserve"> WYNAJEM4[[#This Row],[suma energia i woda]] + WYNAJEM4[[#This Row],[czynsz]]</f>
        <v>1156.99</v>
      </c>
    </row>
    <row r="390" spans="1:9" x14ac:dyDescent="0.25">
      <c r="A390" s="1">
        <v>41821</v>
      </c>
      <c r="B390" s="1">
        <v>41835</v>
      </c>
      <c r="C390" s="8">
        <v>13.81</v>
      </c>
      <c r="D390" s="8">
        <v>0.36</v>
      </c>
      <c r="E390">
        <v>3</v>
      </c>
      <c r="F390" s="10">
        <f>(WYNAJEM4[[#This Row],[data_wyjazdu]]-WYNAJEM4[[#This Row],[data_przyjazdu]])</f>
        <v>14</v>
      </c>
      <c r="G390" s="9">
        <f xml:space="preserve"> WYNAJEM4[[#This Row],[energia]] + WYNAJEM4[[#This Row],[woda]]</f>
        <v>14.17</v>
      </c>
      <c r="H390" s="8">
        <f xml:space="preserve"> (10 * WYNAJEM4[[#This Row],[typ]] * WYNAJEM4[[#This Row],[czas wynajecia domku]])</f>
        <v>420</v>
      </c>
      <c r="I390" s="9">
        <f xml:space="preserve"> WYNAJEM4[[#This Row],[suma energia i woda]] + WYNAJEM4[[#This Row],[czynsz]]</f>
        <v>434.17</v>
      </c>
    </row>
    <row r="391" spans="1:9" x14ac:dyDescent="0.25">
      <c r="A391" s="1">
        <v>41821</v>
      </c>
      <c r="B391" s="1">
        <v>41837</v>
      </c>
      <c r="C391" s="8">
        <v>8.51</v>
      </c>
      <c r="D391" s="8">
        <v>0.22</v>
      </c>
      <c r="E391">
        <v>5</v>
      </c>
      <c r="F391" s="10">
        <f>(WYNAJEM4[[#This Row],[data_wyjazdu]]-WYNAJEM4[[#This Row],[data_przyjazdu]])</f>
        <v>16</v>
      </c>
      <c r="G391" s="9">
        <f xml:space="preserve"> WYNAJEM4[[#This Row],[energia]] + WYNAJEM4[[#This Row],[woda]]</f>
        <v>8.73</v>
      </c>
      <c r="H391" s="8">
        <f xml:space="preserve"> (10 * WYNAJEM4[[#This Row],[typ]] * WYNAJEM4[[#This Row],[czas wynajecia domku]])</f>
        <v>800</v>
      </c>
      <c r="I391" s="9">
        <f xml:space="preserve"> WYNAJEM4[[#This Row],[suma energia i woda]] + WYNAJEM4[[#This Row],[czynsz]]</f>
        <v>808.73</v>
      </c>
    </row>
    <row r="392" spans="1:9" x14ac:dyDescent="0.25">
      <c r="A392" s="1">
        <v>41821</v>
      </c>
      <c r="B392" s="1">
        <v>41827</v>
      </c>
      <c r="C392" s="8">
        <v>8.65</v>
      </c>
      <c r="D392" s="8">
        <v>0.23</v>
      </c>
      <c r="E392">
        <v>2</v>
      </c>
      <c r="F392" s="10">
        <f>(WYNAJEM4[[#This Row],[data_wyjazdu]]-WYNAJEM4[[#This Row],[data_przyjazdu]])</f>
        <v>6</v>
      </c>
      <c r="G392" s="9">
        <f xml:space="preserve"> WYNAJEM4[[#This Row],[energia]] + WYNAJEM4[[#This Row],[woda]]</f>
        <v>8.8800000000000008</v>
      </c>
      <c r="H392" s="8">
        <f xml:space="preserve"> (10 * WYNAJEM4[[#This Row],[typ]] * WYNAJEM4[[#This Row],[czas wynajecia domku]])</f>
        <v>120</v>
      </c>
      <c r="I392" s="9">
        <f xml:space="preserve"> WYNAJEM4[[#This Row],[suma energia i woda]] + WYNAJEM4[[#This Row],[czynsz]]</f>
        <v>128.88</v>
      </c>
    </row>
    <row r="393" spans="1:9" x14ac:dyDescent="0.25">
      <c r="A393" s="1">
        <v>41821</v>
      </c>
      <c r="B393" s="1">
        <v>41832</v>
      </c>
      <c r="C393" s="8">
        <v>11.69</v>
      </c>
      <c r="D393" s="8">
        <v>0.31</v>
      </c>
      <c r="E393">
        <v>4</v>
      </c>
      <c r="F393" s="10">
        <f>(WYNAJEM4[[#This Row],[data_wyjazdu]]-WYNAJEM4[[#This Row],[data_przyjazdu]])</f>
        <v>11</v>
      </c>
      <c r="G393" s="9">
        <f xml:space="preserve"> WYNAJEM4[[#This Row],[energia]] + WYNAJEM4[[#This Row],[woda]]</f>
        <v>12</v>
      </c>
      <c r="H393" s="8">
        <f xml:space="preserve"> (10 * WYNAJEM4[[#This Row],[typ]] * WYNAJEM4[[#This Row],[czas wynajecia domku]])</f>
        <v>440</v>
      </c>
      <c r="I393" s="9">
        <f xml:space="preserve"> WYNAJEM4[[#This Row],[suma energia i woda]] + WYNAJEM4[[#This Row],[czynsz]]</f>
        <v>452</v>
      </c>
    </row>
    <row r="394" spans="1:9" x14ac:dyDescent="0.25">
      <c r="A394" s="1">
        <v>41821</v>
      </c>
      <c r="B394" s="1">
        <v>41828</v>
      </c>
      <c r="C394" s="8">
        <v>7.06</v>
      </c>
      <c r="D394" s="8">
        <v>0.19</v>
      </c>
      <c r="E394">
        <v>3</v>
      </c>
      <c r="F394" s="10">
        <f>(WYNAJEM4[[#This Row],[data_wyjazdu]]-WYNAJEM4[[#This Row],[data_przyjazdu]])</f>
        <v>7</v>
      </c>
      <c r="G394" s="9">
        <f xml:space="preserve"> WYNAJEM4[[#This Row],[energia]] + WYNAJEM4[[#This Row],[woda]]</f>
        <v>7.25</v>
      </c>
      <c r="H394" s="8">
        <f xml:space="preserve"> (10 * WYNAJEM4[[#This Row],[typ]] * WYNAJEM4[[#This Row],[czas wynajecia domku]])</f>
        <v>210</v>
      </c>
      <c r="I394" s="9">
        <f xml:space="preserve"> WYNAJEM4[[#This Row],[suma energia i woda]] + WYNAJEM4[[#This Row],[czynsz]]</f>
        <v>217.25</v>
      </c>
    </row>
    <row r="395" spans="1:9" x14ac:dyDescent="0.25">
      <c r="A395" s="1">
        <v>41827</v>
      </c>
      <c r="B395" s="1">
        <v>41837</v>
      </c>
      <c r="C395" s="8">
        <v>11.44</v>
      </c>
      <c r="D395" s="8">
        <v>0.3</v>
      </c>
      <c r="E395">
        <v>5</v>
      </c>
      <c r="F395" s="10">
        <f>(WYNAJEM4[[#This Row],[data_wyjazdu]]-WYNAJEM4[[#This Row],[data_przyjazdu]])</f>
        <v>10</v>
      </c>
      <c r="G395" s="9">
        <f xml:space="preserve"> WYNAJEM4[[#This Row],[energia]] + WYNAJEM4[[#This Row],[woda]]</f>
        <v>11.74</v>
      </c>
      <c r="H395" s="8">
        <f xml:space="preserve"> (10 * WYNAJEM4[[#This Row],[typ]] * WYNAJEM4[[#This Row],[czas wynajecia domku]])</f>
        <v>500</v>
      </c>
      <c r="I395" s="9">
        <f xml:space="preserve"> WYNAJEM4[[#This Row],[suma energia i woda]] + WYNAJEM4[[#This Row],[czynsz]]</f>
        <v>511.74</v>
      </c>
    </row>
    <row r="396" spans="1:9" x14ac:dyDescent="0.25">
      <c r="A396" s="1">
        <v>41827</v>
      </c>
      <c r="B396" s="1">
        <v>41831</v>
      </c>
      <c r="C396" s="8">
        <v>8.9499999999999993</v>
      </c>
      <c r="D396" s="8">
        <v>0.24</v>
      </c>
      <c r="E396">
        <v>4</v>
      </c>
      <c r="F396" s="10">
        <f>(WYNAJEM4[[#This Row],[data_wyjazdu]]-WYNAJEM4[[#This Row],[data_przyjazdu]])</f>
        <v>4</v>
      </c>
      <c r="G396" s="9">
        <f xml:space="preserve"> WYNAJEM4[[#This Row],[energia]] + WYNAJEM4[[#This Row],[woda]]</f>
        <v>9.19</v>
      </c>
      <c r="H396" s="8">
        <f xml:space="preserve"> (10 * WYNAJEM4[[#This Row],[typ]] * WYNAJEM4[[#This Row],[czas wynajecia domku]])</f>
        <v>160</v>
      </c>
      <c r="I396" s="9">
        <f xml:space="preserve"> WYNAJEM4[[#This Row],[suma energia i woda]] + WYNAJEM4[[#This Row],[czynsz]]</f>
        <v>169.19</v>
      </c>
    </row>
    <row r="397" spans="1:9" x14ac:dyDescent="0.25">
      <c r="A397" s="1">
        <v>41827</v>
      </c>
      <c r="B397" s="1">
        <v>41847</v>
      </c>
      <c r="C397" s="8">
        <v>9.4600000000000009</v>
      </c>
      <c r="D397" s="8">
        <v>0.25</v>
      </c>
      <c r="E397">
        <v>6</v>
      </c>
      <c r="F397" s="10">
        <f>(WYNAJEM4[[#This Row],[data_wyjazdu]]-WYNAJEM4[[#This Row],[data_przyjazdu]])</f>
        <v>20</v>
      </c>
      <c r="G397" s="9">
        <f xml:space="preserve"> WYNAJEM4[[#This Row],[energia]] + WYNAJEM4[[#This Row],[woda]]</f>
        <v>9.7100000000000009</v>
      </c>
      <c r="H397" s="8">
        <f xml:space="preserve"> (10 * WYNAJEM4[[#This Row],[typ]] * WYNAJEM4[[#This Row],[czas wynajecia domku]])</f>
        <v>1200</v>
      </c>
      <c r="I397" s="9">
        <f xml:space="preserve"> WYNAJEM4[[#This Row],[suma energia i woda]] + WYNAJEM4[[#This Row],[czynsz]]</f>
        <v>1209.71</v>
      </c>
    </row>
    <row r="398" spans="1:9" x14ac:dyDescent="0.25">
      <c r="A398" s="1">
        <v>41827</v>
      </c>
      <c r="B398" s="1">
        <v>41841</v>
      </c>
      <c r="C398" s="8">
        <v>5.23</v>
      </c>
      <c r="D398" s="8">
        <v>0.14000000000000001</v>
      </c>
      <c r="E398">
        <v>3</v>
      </c>
      <c r="F398" s="10">
        <f>(WYNAJEM4[[#This Row],[data_wyjazdu]]-WYNAJEM4[[#This Row],[data_przyjazdu]])</f>
        <v>14</v>
      </c>
      <c r="G398" s="9">
        <f xml:space="preserve"> WYNAJEM4[[#This Row],[energia]] + WYNAJEM4[[#This Row],[woda]]</f>
        <v>5.37</v>
      </c>
      <c r="H398" s="8">
        <f xml:space="preserve"> (10 * WYNAJEM4[[#This Row],[typ]] * WYNAJEM4[[#This Row],[czas wynajecia domku]])</f>
        <v>420</v>
      </c>
      <c r="I398" s="9">
        <f xml:space="preserve"> WYNAJEM4[[#This Row],[suma energia i woda]] + WYNAJEM4[[#This Row],[czynsz]]</f>
        <v>425.37</v>
      </c>
    </row>
    <row r="399" spans="1:9" x14ac:dyDescent="0.25">
      <c r="A399" s="1">
        <v>41827</v>
      </c>
      <c r="B399" s="1">
        <v>41847</v>
      </c>
      <c r="C399" s="8">
        <v>11.78</v>
      </c>
      <c r="D399" s="8">
        <v>0.31</v>
      </c>
      <c r="E399">
        <v>4</v>
      </c>
      <c r="F399" s="10">
        <f>(WYNAJEM4[[#This Row],[data_wyjazdu]]-WYNAJEM4[[#This Row],[data_przyjazdu]])</f>
        <v>20</v>
      </c>
      <c r="G399" s="9">
        <f xml:space="preserve"> WYNAJEM4[[#This Row],[energia]] + WYNAJEM4[[#This Row],[woda]]</f>
        <v>12.09</v>
      </c>
      <c r="H399" s="8">
        <f xml:space="preserve"> (10 * WYNAJEM4[[#This Row],[typ]] * WYNAJEM4[[#This Row],[czas wynajecia domku]])</f>
        <v>800</v>
      </c>
      <c r="I399" s="9">
        <f xml:space="preserve"> WYNAJEM4[[#This Row],[suma energia i woda]] + WYNAJEM4[[#This Row],[czynsz]]</f>
        <v>812.09</v>
      </c>
    </row>
    <row r="400" spans="1:9" x14ac:dyDescent="0.25">
      <c r="A400" s="1">
        <v>41827</v>
      </c>
      <c r="B400" s="1">
        <v>41836</v>
      </c>
      <c r="C400" s="8">
        <v>5.64</v>
      </c>
      <c r="D400" s="8">
        <v>0.15</v>
      </c>
      <c r="E400">
        <v>3</v>
      </c>
      <c r="F400" s="10">
        <f>(WYNAJEM4[[#This Row],[data_wyjazdu]]-WYNAJEM4[[#This Row],[data_przyjazdu]])</f>
        <v>9</v>
      </c>
      <c r="G400" s="9">
        <f xml:space="preserve"> WYNAJEM4[[#This Row],[energia]] + WYNAJEM4[[#This Row],[woda]]</f>
        <v>5.79</v>
      </c>
      <c r="H400" s="8">
        <f xml:space="preserve"> (10 * WYNAJEM4[[#This Row],[typ]] * WYNAJEM4[[#This Row],[czas wynajecia domku]])</f>
        <v>270</v>
      </c>
      <c r="I400" s="9">
        <f xml:space="preserve"> WYNAJEM4[[#This Row],[suma energia i woda]] + WYNAJEM4[[#This Row],[czynsz]]</f>
        <v>275.79000000000002</v>
      </c>
    </row>
    <row r="401" spans="1:9" x14ac:dyDescent="0.25">
      <c r="A401" s="1">
        <v>41827</v>
      </c>
      <c r="B401" s="1">
        <v>41839</v>
      </c>
      <c r="C401" s="8">
        <v>10.199999999999999</v>
      </c>
      <c r="D401" s="8">
        <v>0.27</v>
      </c>
      <c r="E401">
        <v>2</v>
      </c>
      <c r="F401" s="10">
        <f>(WYNAJEM4[[#This Row],[data_wyjazdu]]-WYNAJEM4[[#This Row],[data_przyjazdu]])</f>
        <v>12</v>
      </c>
      <c r="G401" s="9">
        <f xml:space="preserve"> WYNAJEM4[[#This Row],[energia]] + WYNAJEM4[[#This Row],[woda]]</f>
        <v>10.469999999999999</v>
      </c>
      <c r="H401" s="8">
        <f xml:space="preserve"> (10 * WYNAJEM4[[#This Row],[typ]] * WYNAJEM4[[#This Row],[czas wynajecia domku]])</f>
        <v>240</v>
      </c>
      <c r="I401" s="9">
        <f xml:space="preserve"> WYNAJEM4[[#This Row],[suma energia i woda]] + WYNAJEM4[[#This Row],[czynsz]]</f>
        <v>250.47</v>
      </c>
    </row>
    <row r="402" spans="1:9" x14ac:dyDescent="0.25">
      <c r="A402" s="1">
        <v>41827</v>
      </c>
      <c r="B402" s="1">
        <v>41852</v>
      </c>
      <c r="C402" s="8">
        <v>3.88</v>
      </c>
      <c r="D402" s="8">
        <v>0.1</v>
      </c>
      <c r="E402">
        <v>5</v>
      </c>
      <c r="F402" s="10">
        <f>(WYNAJEM4[[#This Row],[data_wyjazdu]]-WYNAJEM4[[#This Row],[data_przyjazdu]])</f>
        <v>25</v>
      </c>
      <c r="G402" s="9">
        <f xml:space="preserve"> WYNAJEM4[[#This Row],[energia]] + WYNAJEM4[[#This Row],[woda]]</f>
        <v>3.98</v>
      </c>
      <c r="H402" s="8">
        <f xml:space="preserve"> (10 * WYNAJEM4[[#This Row],[typ]] * WYNAJEM4[[#This Row],[czas wynajecia domku]])</f>
        <v>1250</v>
      </c>
      <c r="I402" s="9">
        <f xml:space="preserve"> WYNAJEM4[[#This Row],[suma energia i woda]] + WYNAJEM4[[#This Row],[czynsz]]</f>
        <v>1253.98</v>
      </c>
    </row>
    <row r="403" spans="1:9" x14ac:dyDescent="0.25">
      <c r="A403" s="1">
        <v>41827</v>
      </c>
      <c r="B403" s="1">
        <v>41835</v>
      </c>
      <c r="C403" s="8">
        <v>4.66</v>
      </c>
      <c r="D403" s="8">
        <v>0.12</v>
      </c>
      <c r="E403">
        <v>4</v>
      </c>
      <c r="F403" s="10">
        <f>(WYNAJEM4[[#This Row],[data_wyjazdu]]-WYNAJEM4[[#This Row],[data_przyjazdu]])</f>
        <v>8</v>
      </c>
      <c r="G403" s="9">
        <f xml:space="preserve"> WYNAJEM4[[#This Row],[energia]] + WYNAJEM4[[#This Row],[woda]]</f>
        <v>4.78</v>
      </c>
      <c r="H403" s="8">
        <f xml:space="preserve"> (10 * WYNAJEM4[[#This Row],[typ]] * WYNAJEM4[[#This Row],[czas wynajecia domku]])</f>
        <v>320</v>
      </c>
      <c r="I403" s="9">
        <f xml:space="preserve"> WYNAJEM4[[#This Row],[suma energia i woda]] + WYNAJEM4[[#This Row],[czynsz]]</f>
        <v>324.77999999999997</v>
      </c>
    </row>
    <row r="404" spans="1:9" x14ac:dyDescent="0.25">
      <c r="A404" s="1">
        <v>41827</v>
      </c>
      <c r="B404" s="1">
        <v>41838</v>
      </c>
      <c r="C404" s="8">
        <v>10.19</v>
      </c>
      <c r="D404" s="8">
        <v>0.27</v>
      </c>
      <c r="E404">
        <v>6</v>
      </c>
      <c r="F404" s="10">
        <f>(WYNAJEM4[[#This Row],[data_wyjazdu]]-WYNAJEM4[[#This Row],[data_przyjazdu]])</f>
        <v>11</v>
      </c>
      <c r="G404" s="9">
        <f xml:space="preserve"> WYNAJEM4[[#This Row],[energia]] + WYNAJEM4[[#This Row],[woda]]</f>
        <v>10.459999999999999</v>
      </c>
      <c r="H404" s="8">
        <f xml:space="preserve"> (10 * WYNAJEM4[[#This Row],[typ]] * WYNAJEM4[[#This Row],[czas wynajecia domku]])</f>
        <v>660</v>
      </c>
      <c r="I404" s="9">
        <f xml:space="preserve"> WYNAJEM4[[#This Row],[suma energia i woda]] + WYNAJEM4[[#This Row],[czynsz]]</f>
        <v>670.46</v>
      </c>
    </row>
    <row r="405" spans="1:9" x14ac:dyDescent="0.25">
      <c r="A405" s="1">
        <v>41827</v>
      </c>
      <c r="B405" s="1">
        <v>41844</v>
      </c>
      <c r="C405" s="8">
        <v>10.19</v>
      </c>
      <c r="D405" s="8">
        <v>0.27</v>
      </c>
      <c r="E405">
        <v>6</v>
      </c>
      <c r="F405" s="10">
        <f>(WYNAJEM4[[#This Row],[data_wyjazdu]]-WYNAJEM4[[#This Row],[data_przyjazdu]])</f>
        <v>17</v>
      </c>
      <c r="G405" s="9">
        <f xml:space="preserve"> WYNAJEM4[[#This Row],[energia]] + WYNAJEM4[[#This Row],[woda]]</f>
        <v>10.459999999999999</v>
      </c>
      <c r="H405" s="8">
        <f xml:space="preserve"> (10 * WYNAJEM4[[#This Row],[typ]] * WYNAJEM4[[#This Row],[czas wynajecia domku]])</f>
        <v>1020</v>
      </c>
      <c r="I405" s="9">
        <f xml:space="preserve"> WYNAJEM4[[#This Row],[suma energia i woda]] + WYNAJEM4[[#This Row],[czynsz]]</f>
        <v>1030.46</v>
      </c>
    </row>
    <row r="406" spans="1:9" x14ac:dyDescent="0.25">
      <c r="A406" s="1">
        <v>41827</v>
      </c>
      <c r="B406" s="1">
        <v>41848</v>
      </c>
      <c r="C406" s="8">
        <v>3.79</v>
      </c>
      <c r="D406" s="8">
        <v>0.1</v>
      </c>
      <c r="E406">
        <v>6</v>
      </c>
      <c r="F406" s="10">
        <f>(WYNAJEM4[[#This Row],[data_wyjazdu]]-WYNAJEM4[[#This Row],[data_przyjazdu]])</f>
        <v>21</v>
      </c>
      <c r="G406" s="9">
        <f xml:space="preserve"> WYNAJEM4[[#This Row],[energia]] + WYNAJEM4[[#This Row],[woda]]</f>
        <v>3.89</v>
      </c>
      <c r="H406" s="8">
        <f xml:space="preserve"> (10 * WYNAJEM4[[#This Row],[typ]] * WYNAJEM4[[#This Row],[czas wynajecia domku]])</f>
        <v>1260</v>
      </c>
      <c r="I406" s="9">
        <f xml:space="preserve"> WYNAJEM4[[#This Row],[suma energia i woda]] + WYNAJEM4[[#This Row],[czynsz]]</f>
        <v>1263.8900000000001</v>
      </c>
    </row>
    <row r="407" spans="1:9" x14ac:dyDescent="0.25">
      <c r="A407" s="1">
        <v>41827</v>
      </c>
      <c r="B407" s="1">
        <v>41847</v>
      </c>
      <c r="C407" s="8">
        <v>9.06</v>
      </c>
      <c r="D407" s="8">
        <v>0.24</v>
      </c>
      <c r="E407">
        <v>2</v>
      </c>
      <c r="F407" s="10">
        <f>(WYNAJEM4[[#This Row],[data_wyjazdu]]-WYNAJEM4[[#This Row],[data_przyjazdu]])</f>
        <v>20</v>
      </c>
      <c r="G407" s="9">
        <f xml:space="preserve"> WYNAJEM4[[#This Row],[energia]] + WYNAJEM4[[#This Row],[woda]]</f>
        <v>9.3000000000000007</v>
      </c>
      <c r="H407" s="8">
        <f xml:space="preserve"> (10 * WYNAJEM4[[#This Row],[typ]] * WYNAJEM4[[#This Row],[czas wynajecia domku]])</f>
        <v>400</v>
      </c>
      <c r="I407" s="9">
        <f xml:space="preserve"> WYNAJEM4[[#This Row],[suma energia i woda]] + WYNAJEM4[[#This Row],[czynsz]]</f>
        <v>409.3</v>
      </c>
    </row>
    <row r="408" spans="1:9" x14ac:dyDescent="0.25">
      <c r="A408" s="1">
        <v>41827</v>
      </c>
      <c r="B408" s="1">
        <v>41831</v>
      </c>
      <c r="C408" s="8">
        <v>6.23</v>
      </c>
      <c r="D408" s="8">
        <v>0.16</v>
      </c>
      <c r="E408">
        <v>3</v>
      </c>
      <c r="F408" s="10">
        <f>(WYNAJEM4[[#This Row],[data_wyjazdu]]-WYNAJEM4[[#This Row],[data_przyjazdu]])</f>
        <v>4</v>
      </c>
      <c r="G408" s="9">
        <f xml:space="preserve"> WYNAJEM4[[#This Row],[energia]] + WYNAJEM4[[#This Row],[woda]]</f>
        <v>6.3900000000000006</v>
      </c>
      <c r="H408" s="8">
        <f xml:space="preserve"> (10 * WYNAJEM4[[#This Row],[typ]] * WYNAJEM4[[#This Row],[czas wynajecia domku]])</f>
        <v>120</v>
      </c>
      <c r="I408" s="9">
        <f xml:space="preserve"> WYNAJEM4[[#This Row],[suma energia i woda]] + WYNAJEM4[[#This Row],[czynsz]]</f>
        <v>126.39</v>
      </c>
    </row>
    <row r="409" spans="1:9" x14ac:dyDescent="0.25">
      <c r="A409" s="1">
        <v>41827</v>
      </c>
      <c r="B409" s="1">
        <v>41852</v>
      </c>
      <c r="C409" s="8">
        <v>10.79</v>
      </c>
      <c r="D409" s="8">
        <v>0.28000000000000003</v>
      </c>
      <c r="E409">
        <v>3</v>
      </c>
      <c r="F409" s="10">
        <f>(WYNAJEM4[[#This Row],[data_wyjazdu]]-WYNAJEM4[[#This Row],[data_przyjazdu]])</f>
        <v>25</v>
      </c>
      <c r="G409" s="9">
        <f xml:space="preserve"> WYNAJEM4[[#This Row],[energia]] + WYNAJEM4[[#This Row],[woda]]</f>
        <v>11.069999999999999</v>
      </c>
      <c r="H409" s="8">
        <f xml:space="preserve"> (10 * WYNAJEM4[[#This Row],[typ]] * WYNAJEM4[[#This Row],[czas wynajecia domku]])</f>
        <v>750</v>
      </c>
      <c r="I409" s="9">
        <f xml:space="preserve"> WYNAJEM4[[#This Row],[suma energia i woda]] + WYNAJEM4[[#This Row],[czynsz]]</f>
        <v>761.07</v>
      </c>
    </row>
    <row r="410" spans="1:9" x14ac:dyDescent="0.25">
      <c r="A410" s="1">
        <v>41830</v>
      </c>
      <c r="B410" s="1">
        <v>41847</v>
      </c>
      <c r="C410" s="8">
        <v>5.67</v>
      </c>
      <c r="D410" s="8">
        <v>0.15</v>
      </c>
      <c r="E410">
        <v>5</v>
      </c>
      <c r="F410" s="10">
        <f>(WYNAJEM4[[#This Row],[data_wyjazdu]]-WYNAJEM4[[#This Row],[data_przyjazdu]])</f>
        <v>17</v>
      </c>
      <c r="G410" s="9">
        <f xml:space="preserve"> WYNAJEM4[[#This Row],[energia]] + WYNAJEM4[[#This Row],[woda]]</f>
        <v>5.82</v>
      </c>
      <c r="H410" s="8">
        <f xml:space="preserve"> (10 * WYNAJEM4[[#This Row],[typ]] * WYNAJEM4[[#This Row],[czas wynajecia domku]])</f>
        <v>850</v>
      </c>
      <c r="I410" s="9">
        <f xml:space="preserve"> WYNAJEM4[[#This Row],[suma energia i woda]] + WYNAJEM4[[#This Row],[czynsz]]</f>
        <v>855.82</v>
      </c>
    </row>
    <row r="411" spans="1:9" x14ac:dyDescent="0.25">
      <c r="A411" s="1">
        <v>41831</v>
      </c>
      <c r="B411" s="1">
        <v>41855</v>
      </c>
      <c r="C411" s="8">
        <v>2.29</v>
      </c>
      <c r="D411" s="8">
        <v>0.06</v>
      </c>
      <c r="E411">
        <v>3</v>
      </c>
      <c r="F411" s="10">
        <f>(WYNAJEM4[[#This Row],[data_wyjazdu]]-WYNAJEM4[[#This Row],[data_przyjazdu]])</f>
        <v>24</v>
      </c>
      <c r="G411" s="9">
        <f xml:space="preserve"> WYNAJEM4[[#This Row],[energia]] + WYNAJEM4[[#This Row],[woda]]</f>
        <v>2.35</v>
      </c>
      <c r="H411" s="8">
        <f xml:space="preserve"> (10 * WYNAJEM4[[#This Row],[typ]] * WYNAJEM4[[#This Row],[czas wynajecia domku]])</f>
        <v>720</v>
      </c>
      <c r="I411" s="9">
        <f xml:space="preserve"> WYNAJEM4[[#This Row],[suma energia i woda]] + WYNAJEM4[[#This Row],[czynsz]]</f>
        <v>722.35</v>
      </c>
    </row>
    <row r="412" spans="1:9" x14ac:dyDescent="0.25">
      <c r="A412" s="1">
        <v>41833</v>
      </c>
      <c r="B412" s="1">
        <v>41853</v>
      </c>
      <c r="C412" s="8">
        <v>10.93</v>
      </c>
      <c r="D412" s="8">
        <v>0.28999999999999998</v>
      </c>
      <c r="E412">
        <v>2</v>
      </c>
      <c r="F412" s="10">
        <f>(WYNAJEM4[[#This Row],[data_wyjazdu]]-WYNAJEM4[[#This Row],[data_przyjazdu]])</f>
        <v>20</v>
      </c>
      <c r="G412" s="9">
        <f xml:space="preserve"> WYNAJEM4[[#This Row],[energia]] + WYNAJEM4[[#This Row],[woda]]</f>
        <v>11.219999999999999</v>
      </c>
      <c r="H412" s="8">
        <f xml:space="preserve"> (10 * WYNAJEM4[[#This Row],[typ]] * WYNAJEM4[[#This Row],[czas wynajecia domku]])</f>
        <v>400</v>
      </c>
      <c r="I412" s="9">
        <f xml:space="preserve"> WYNAJEM4[[#This Row],[suma energia i woda]] + WYNAJEM4[[#This Row],[czynsz]]</f>
        <v>411.22</v>
      </c>
    </row>
    <row r="413" spans="1:9" x14ac:dyDescent="0.25">
      <c r="A413" s="1">
        <v>41833</v>
      </c>
      <c r="B413" s="1">
        <v>41841</v>
      </c>
      <c r="C413" s="8">
        <v>16.55</v>
      </c>
      <c r="D413" s="8">
        <v>0.44</v>
      </c>
      <c r="E413">
        <v>4</v>
      </c>
      <c r="F413" s="10">
        <f>(WYNAJEM4[[#This Row],[data_wyjazdu]]-WYNAJEM4[[#This Row],[data_przyjazdu]])</f>
        <v>8</v>
      </c>
      <c r="G413" s="9">
        <f xml:space="preserve"> WYNAJEM4[[#This Row],[energia]] + WYNAJEM4[[#This Row],[woda]]</f>
        <v>16.990000000000002</v>
      </c>
      <c r="H413" s="8">
        <f xml:space="preserve"> (10 * WYNAJEM4[[#This Row],[typ]] * WYNAJEM4[[#This Row],[czas wynajecia domku]])</f>
        <v>320</v>
      </c>
      <c r="I413" s="9">
        <f xml:space="preserve"> WYNAJEM4[[#This Row],[suma energia i woda]] + WYNAJEM4[[#This Row],[czynsz]]</f>
        <v>336.99</v>
      </c>
    </row>
    <row r="414" spans="1:9" x14ac:dyDescent="0.25">
      <c r="A414" s="1">
        <v>41834</v>
      </c>
      <c r="B414" s="1">
        <v>41836</v>
      </c>
      <c r="C414" s="8">
        <v>6.43</v>
      </c>
      <c r="D414" s="8">
        <v>0.17</v>
      </c>
      <c r="E414">
        <v>6</v>
      </c>
      <c r="F414" s="10">
        <f>(WYNAJEM4[[#This Row],[data_wyjazdu]]-WYNAJEM4[[#This Row],[data_przyjazdu]])</f>
        <v>2</v>
      </c>
      <c r="G414" s="9">
        <f xml:space="preserve"> WYNAJEM4[[#This Row],[energia]] + WYNAJEM4[[#This Row],[woda]]</f>
        <v>6.6</v>
      </c>
      <c r="H414" s="8">
        <f xml:space="preserve"> (10 * WYNAJEM4[[#This Row],[typ]] * WYNAJEM4[[#This Row],[czas wynajecia domku]])</f>
        <v>120</v>
      </c>
      <c r="I414" s="9">
        <f xml:space="preserve"> WYNAJEM4[[#This Row],[suma energia i woda]] + WYNAJEM4[[#This Row],[czynsz]]</f>
        <v>126.6</v>
      </c>
    </row>
    <row r="415" spans="1:9" x14ac:dyDescent="0.25">
      <c r="A415" s="1">
        <v>41835</v>
      </c>
      <c r="B415" s="1">
        <v>41863</v>
      </c>
      <c r="C415" s="8">
        <v>3.94</v>
      </c>
      <c r="D415" s="8">
        <v>0.1</v>
      </c>
      <c r="E415">
        <v>6</v>
      </c>
      <c r="F415" s="10">
        <f>(WYNAJEM4[[#This Row],[data_wyjazdu]]-WYNAJEM4[[#This Row],[data_przyjazdu]])</f>
        <v>28</v>
      </c>
      <c r="G415" s="9">
        <f xml:space="preserve"> WYNAJEM4[[#This Row],[energia]] + WYNAJEM4[[#This Row],[woda]]</f>
        <v>4.04</v>
      </c>
      <c r="H415" s="8">
        <f xml:space="preserve"> (10 * WYNAJEM4[[#This Row],[typ]] * WYNAJEM4[[#This Row],[czas wynajecia domku]])</f>
        <v>1680</v>
      </c>
      <c r="I415" s="9">
        <f xml:space="preserve"> WYNAJEM4[[#This Row],[suma energia i woda]] + WYNAJEM4[[#This Row],[czynsz]]</f>
        <v>1684.04</v>
      </c>
    </row>
    <row r="416" spans="1:9" x14ac:dyDescent="0.25">
      <c r="A416" s="1">
        <v>41835</v>
      </c>
      <c r="B416" s="1">
        <v>41847</v>
      </c>
      <c r="C416" s="8">
        <v>3.79</v>
      </c>
      <c r="D416" s="8">
        <v>0.1</v>
      </c>
      <c r="E416">
        <v>3</v>
      </c>
      <c r="F416" s="10">
        <f>(WYNAJEM4[[#This Row],[data_wyjazdu]]-WYNAJEM4[[#This Row],[data_przyjazdu]])</f>
        <v>12</v>
      </c>
      <c r="G416" s="9">
        <f xml:space="preserve"> WYNAJEM4[[#This Row],[energia]] + WYNAJEM4[[#This Row],[woda]]</f>
        <v>3.89</v>
      </c>
      <c r="H416" s="8">
        <f xml:space="preserve"> (10 * WYNAJEM4[[#This Row],[typ]] * WYNAJEM4[[#This Row],[czas wynajecia domku]])</f>
        <v>360</v>
      </c>
      <c r="I416" s="9">
        <f xml:space="preserve"> WYNAJEM4[[#This Row],[suma energia i woda]] + WYNAJEM4[[#This Row],[czynsz]]</f>
        <v>363.89</v>
      </c>
    </row>
    <row r="417" spans="1:9" x14ac:dyDescent="0.25">
      <c r="A417" s="1">
        <v>41835</v>
      </c>
      <c r="B417" s="1">
        <v>41856</v>
      </c>
      <c r="C417" s="8">
        <v>6.58</v>
      </c>
      <c r="D417" s="8">
        <v>0.17</v>
      </c>
      <c r="E417">
        <v>3</v>
      </c>
      <c r="F417" s="10">
        <f>(WYNAJEM4[[#This Row],[data_wyjazdu]]-WYNAJEM4[[#This Row],[data_przyjazdu]])</f>
        <v>21</v>
      </c>
      <c r="G417" s="9">
        <f xml:space="preserve"> WYNAJEM4[[#This Row],[energia]] + WYNAJEM4[[#This Row],[woda]]</f>
        <v>6.75</v>
      </c>
      <c r="H417" s="8">
        <f xml:space="preserve"> (10 * WYNAJEM4[[#This Row],[typ]] * WYNAJEM4[[#This Row],[czas wynajecia domku]])</f>
        <v>630</v>
      </c>
      <c r="I417" s="9">
        <f xml:space="preserve"> WYNAJEM4[[#This Row],[suma energia i woda]] + WYNAJEM4[[#This Row],[czynsz]]</f>
        <v>636.75</v>
      </c>
    </row>
    <row r="418" spans="1:9" x14ac:dyDescent="0.25">
      <c r="A418" s="1">
        <v>41837</v>
      </c>
      <c r="B418" s="1">
        <v>41853</v>
      </c>
      <c r="C418" s="8">
        <v>5.67</v>
      </c>
      <c r="D418" s="8">
        <v>0.15</v>
      </c>
      <c r="E418">
        <v>2</v>
      </c>
      <c r="F418" s="10">
        <f>(WYNAJEM4[[#This Row],[data_wyjazdu]]-WYNAJEM4[[#This Row],[data_przyjazdu]])</f>
        <v>16</v>
      </c>
      <c r="G418" s="9">
        <f xml:space="preserve"> WYNAJEM4[[#This Row],[energia]] + WYNAJEM4[[#This Row],[woda]]</f>
        <v>5.82</v>
      </c>
      <c r="H418" s="8">
        <f xml:space="preserve"> (10 * WYNAJEM4[[#This Row],[typ]] * WYNAJEM4[[#This Row],[czas wynajecia domku]])</f>
        <v>320</v>
      </c>
      <c r="I418" s="9">
        <f xml:space="preserve"> WYNAJEM4[[#This Row],[suma energia i woda]] + WYNAJEM4[[#This Row],[czynsz]]</f>
        <v>325.82</v>
      </c>
    </row>
    <row r="419" spans="1:9" x14ac:dyDescent="0.25">
      <c r="A419" s="1">
        <v>41839</v>
      </c>
      <c r="B419" s="1">
        <v>41857</v>
      </c>
      <c r="C419" s="8">
        <v>10.19</v>
      </c>
      <c r="D419" s="8">
        <v>0.27</v>
      </c>
      <c r="E419">
        <v>6</v>
      </c>
      <c r="F419" s="10">
        <f>(WYNAJEM4[[#This Row],[data_wyjazdu]]-WYNAJEM4[[#This Row],[data_przyjazdu]])</f>
        <v>18</v>
      </c>
      <c r="G419" s="9">
        <f xml:space="preserve"> WYNAJEM4[[#This Row],[energia]] + WYNAJEM4[[#This Row],[woda]]</f>
        <v>10.459999999999999</v>
      </c>
      <c r="H419" s="8">
        <f xml:space="preserve"> (10 * WYNAJEM4[[#This Row],[typ]] * WYNAJEM4[[#This Row],[czas wynajecia domku]])</f>
        <v>1080</v>
      </c>
      <c r="I419" s="9">
        <f xml:space="preserve"> WYNAJEM4[[#This Row],[suma energia i woda]] + WYNAJEM4[[#This Row],[czynsz]]</f>
        <v>1090.46</v>
      </c>
    </row>
    <row r="420" spans="1:9" x14ac:dyDescent="0.25">
      <c r="A420" s="1">
        <v>41839</v>
      </c>
      <c r="B420" s="1">
        <v>41848</v>
      </c>
      <c r="C420" s="8">
        <v>7.06</v>
      </c>
      <c r="D420" s="8">
        <v>0.19</v>
      </c>
      <c r="E420">
        <v>2</v>
      </c>
      <c r="F420" s="10">
        <f>(WYNAJEM4[[#This Row],[data_wyjazdu]]-WYNAJEM4[[#This Row],[data_przyjazdu]])</f>
        <v>9</v>
      </c>
      <c r="G420" s="9">
        <f xml:space="preserve"> WYNAJEM4[[#This Row],[energia]] + WYNAJEM4[[#This Row],[woda]]</f>
        <v>7.25</v>
      </c>
      <c r="H420" s="8">
        <f xml:space="preserve"> (10 * WYNAJEM4[[#This Row],[typ]] * WYNAJEM4[[#This Row],[czas wynajecia domku]])</f>
        <v>180</v>
      </c>
      <c r="I420" s="9">
        <f xml:space="preserve"> WYNAJEM4[[#This Row],[suma energia i woda]] + WYNAJEM4[[#This Row],[czynsz]]</f>
        <v>187.25</v>
      </c>
    </row>
    <row r="421" spans="1:9" x14ac:dyDescent="0.25">
      <c r="A421" s="1">
        <v>41839</v>
      </c>
      <c r="B421" s="1">
        <v>41860</v>
      </c>
      <c r="C421" s="8">
        <v>6.75</v>
      </c>
      <c r="D421" s="8">
        <v>0.18</v>
      </c>
      <c r="E421">
        <v>5</v>
      </c>
      <c r="F421" s="10">
        <f>(WYNAJEM4[[#This Row],[data_wyjazdu]]-WYNAJEM4[[#This Row],[data_przyjazdu]])</f>
        <v>21</v>
      </c>
      <c r="G421" s="9">
        <f xml:space="preserve"> WYNAJEM4[[#This Row],[energia]] + WYNAJEM4[[#This Row],[woda]]</f>
        <v>6.93</v>
      </c>
      <c r="H421" s="8">
        <f xml:space="preserve"> (10 * WYNAJEM4[[#This Row],[typ]] * WYNAJEM4[[#This Row],[czas wynajecia domku]])</f>
        <v>1050</v>
      </c>
      <c r="I421" s="9">
        <f xml:space="preserve"> WYNAJEM4[[#This Row],[suma energia i woda]] + WYNAJEM4[[#This Row],[czynsz]]</f>
        <v>1056.93</v>
      </c>
    </row>
    <row r="422" spans="1:9" x14ac:dyDescent="0.25">
      <c r="A422" s="1">
        <v>41839</v>
      </c>
      <c r="B422" s="1">
        <v>41861</v>
      </c>
      <c r="C422" s="8">
        <v>8.83</v>
      </c>
      <c r="D422" s="8">
        <v>0.23</v>
      </c>
      <c r="E422">
        <v>6</v>
      </c>
      <c r="F422" s="10">
        <f>(WYNAJEM4[[#This Row],[data_wyjazdu]]-WYNAJEM4[[#This Row],[data_przyjazdu]])</f>
        <v>22</v>
      </c>
      <c r="G422" s="9">
        <f xml:space="preserve"> WYNAJEM4[[#This Row],[energia]] + WYNAJEM4[[#This Row],[woda]]</f>
        <v>9.06</v>
      </c>
      <c r="H422" s="8">
        <f xml:space="preserve"> (10 * WYNAJEM4[[#This Row],[typ]] * WYNAJEM4[[#This Row],[czas wynajecia domku]])</f>
        <v>1320</v>
      </c>
      <c r="I422" s="9">
        <f xml:space="preserve"> WYNAJEM4[[#This Row],[suma energia i woda]] + WYNAJEM4[[#This Row],[czynsz]]</f>
        <v>1329.06</v>
      </c>
    </row>
    <row r="423" spans="1:9" x14ac:dyDescent="0.25">
      <c r="A423" s="1">
        <v>41839</v>
      </c>
      <c r="B423" s="1">
        <v>41860</v>
      </c>
      <c r="C423" s="8">
        <v>8.39</v>
      </c>
      <c r="D423" s="8">
        <v>0.22</v>
      </c>
      <c r="E423">
        <v>2</v>
      </c>
      <c r="F423" s="10">
        <f>(WYNAJEM4[[#This Row],[data_wyjazdu]]-WYNAJEM4[[#This Row],[data_przyjazdu]])</f>
        <v>21</v>
      </c>
      <c r="G423" s="9">
        <f xml:space="preserve"> WYNAJEM4[[#This Row],[energia]] + WYNAJEM4[[#This Row],[woda]]</f>
        <v>8.6100000000000012</v>
      </c>
      <c r="H423" s="8">
        <f xml:space="preserve"> (10 * WYNAJEM4[[#This Row],[typ]] * WYNAJEM4[[#This Row],[czas wynajecia domku]])</f>
        <v>420</v>
      </c>
      <c r="I423" s="9">
        <f xml:space="preserve"> WYNAJEM4[[#This Row],[suma energia i woda]] + WYNAJEM4[[#This Row],[czynsz]]</f>
        <v>428.61</v>
      </c>
    </row>
    <row r="424" spans="1:9" x14ac:dyDescent="0.25">
      <c r="A424" s="1">
        <v>41839</v>
      </c>
      <c r="B424" s="1">
        <v>41853</v>
      </c>
      <c r="C424" s="8">
        <v>6.23</v>
      </c>
      <c r="D424" s="8">
        <v>0.16</v>
      </c>
      <c r="E424">
        <v>3</v>
      </c>
      <c r="F424" s="10">
        <f>(WYNAJEM4[[#This Row],[data_wyjazdu]]-WYNAJEM4[[#This Row],[data_przyjazdu]])</f>
        <v>14</v>
      </c>
      <c r="G424" s="9">
        <f xml:space="preserve"> WYNAJEM4[[#This Row],[energia]] + WYNAJEM4[[#This Row],[woda]]</f>
        <v>6.3900000000000006</v>
      </c>
      <c r="H424" s="8">
        <f xml:space="preserve"> (10 * WYNAJEM4[[#This Row],[typ]] * WYNAJEM4[[#This Row],[czas wynajecia domku]])</f>
        <v>420</v>
      </c>
      <c r="I424" s="9">
        <f xml:space="preserve"> WYNAJEM4[[#This Row],[suma energia i woda]] + WYNAJEM4[[#This Row],[czynsz]]</f>
        <v>426.39</v>
      </c>
    </row>
    <row r="425" spans="1:9" x14ac:dyDescent="0.25">
      <c r="A425" s="1">
        <v>41839</v>
      </c>
      <c r="B425" s="1">
        <v>41859</v>
      </c>
      <c r="C425" s="8">
        <v>3.79</v>
      </c>
      <c r="D425" s="8">
        <v>0.1</v>
      </c>
      <c r="E425">
        <v>4</v>
      </c>
      <c r="F425" s="10">
        <f>(WYNAJEM4[[#This Row],[data_wyjazdu]]-WYNAJEM4[[#This Row],[data_przyjazdu]])</f>
        <v>20</v>
      </c>
      <c r="G425" s="9">
        <f xml:space="preserve"> WYNAJEM4[[#This Row],[energia]] + WYNAJEM4[[#This Row],[woda]]</f>
        <v>3.89</v>
      </c>
      <c r="H425" s="8">
        <f xml:space="preserve"> (10 * WYNAJEM4[[#This Row],[typ]] * WYNAJEM4[[#This Row],[czas wynajecia domku]])</f>
        <v>800</v>
      </c>
      <c r="I425" s="9">
        <f xml:space="preserve"> WYNAJEM4[[#This Row],[suma energia i woda]] + WYNAJEM4[[#This Row],[czynsz]]</f>
        <v>803.89</v>
      </c>
    </row>
    <row r="426" spans="1:9" x14ac:dyDescent="0.25">
      <c r="A426" s="1">
        <v>41839</v>
      </c>
      <c r="B426" s="1">
        <v>41866</v>
      </c>
      <c r="C426" s="8">
        <v>11.37</v>
      </c>
      <c r="D426" s="8">
        <v>0.3</v>
      </c>
      <c r="E426">
        <v>5</v>
      </c>
      <c r="F426" s="10">
        <f>(WYNAJEM4[[#This Row],[data_wyjazdu]]-WYNAJEM4[[#This Row],[data_przyjazdu]])</f>
        <v>27</v>
      </c>
      <c r="G426" s="9">
        <f xml:space="preserve"> WYNAJEM4[[#This Row],[energia]] + WYNAJEM4[[#This Row],[woda]]</f>
        <v>11.67</v>
      </c>
      <c r="H426" s="8">
        <f xml:space="preserve"> (10 * WYNAJEM4[[#This Row],[typ]] * WYNAJEM4[[#This Row],[czas wynajecia domku]])</f>
        <v>1350</v>
      </c>
      <c r="I426" s="9">
        <f xml:space="preserve"> WYNAJEM4[[#This Row],[suma energia i woda]] + WYNAJEM4[[#This Row],[czynsz]]</f>
        <v>1361.67</v>
      </c>
    </row>
    <row r="427" spans="1:9" x14ac:dyDescent="0.25">
      <c r="A427" s="1">
        <v>41839</v>
      </c>
      <c r="B427" s="1">
        <v>41847</v>
      </c>
      <c r="C427" s="8">
        <v>5.64</v>
      </c>
      <c r="D427" s="8">
        <v>0.15</v>
      </c>
      <c r="E427">
        <v>5</v>
      </c>
      <c r="F427" s="10">
        <f>(WYNAJEM4[[#This Row],[data_wyjazdu]]-WYNAJEM4[[#This Row],[data_przyjazdu]])</f>
        <v>8</v>
      </c>
      <c r="G427" s="9">
        <f xml:space="preserve"> WYNAJEM4[[#This Row],[energia]] + WYNAJEM4[[#This Row],[woda]]</f>
        <v>5.79</v>
      </c>
      <c r="H427" s="8">
        <f xml:space="preserve"> (10 * WYNAJEM4[[#This Row],[typ]] * WYNAJEM4[[#This Row],[czas wynajecia domku]])</f>
        <v>400</v>
      </c>
      <c r="I427" s="9">
        <f xml:space="preserve"> WYNAJEM4[[#This Row],[suma energia i woda]] + WYNAJEM4[[#This Row],[czynsz]]</f>
        <v>405.79</v>
      </c>
    </row>
    <row r="428" spans="1:9" x14ac:dyDescent="0.25">
      <c r="A428" s="1">
        <v>41839</v>
      </c>
      <c r="B428" s="1">
        <v>41858</v>
      </c>
      <c r="C428" s="8">
        <v>7.55</v>
      </c>
      <c r="D428" s="8">
        <v>0.2</v>
      </c>
      <c r="E428">
        <v>2</v>
      </c>
      <c r="F428" s="10">
        <f>(WYNAJEM4[[#This Row],[data_wyjazdu]]-WYNAJEM4[[#This Row],[data_przyjazdu]])</f>
        <v>19</v>
      </c>
      <c r="G428" s="9">
        <f xml:space="preserve"> WYNAJEM4[[#This Row],[energia]] + WYNAJEM4[[#This Row],[woda]]</f>
        <v>7.75</v>
      </c>
      <c r="H428" s="8">
        <f xml:space="preserve"> (10 * WYNAJEM4[[#This Row],[typ]] * WYNAJEM4[[#This Row],[czas wynajecia domku]])</f>
        <v>380</v>
      </c>
      <c r="I428" s="9">
        <f xml:space="preserve"> WYNAJEM4[[#This Row],[suma energia i woda]] + WYNAJEM4[[#This Row],[czynsz]]</f>
        <v>387.75</v>
      </c>
    </row>
    <row r="429" spans="1:9" x14ac:dyDescent="0.25">
      <c r="A429" s="1">
        <v>41839</v>
      </c>
      <c r="B429" s="1">
        <v>41853</v>
      </c>
      <c r="C429" s="8">
        <v>10.199999999999999</v>
      </c>
      <c r="D429" s="8">
        <v>0.27</v>
      </c>
      <c r="E429">
        <v>4</v>
      </c>
      <c r="F429" s="10">
        <f>(WYNAJEM4[[#This Row],[data_wyjazdu]]-WYNAJEM4[[#This Row],[data_przyjazdu]])</f>
        <v>14</v>
      </c>
      <c r="G429" s="9">
        <f xml:space="preserve"> WYNAJEM4[[#This Row],[energia]] + WYNAJEM4[[#This Row],[woda]]</f>
        <v>10.469999999999999</v>
      </c>
      <c r="H429" s="8">
        <f xml:space="preserve"> (10 * WYNAJEM4[[#This Row],[typ]] * WYNAJEM4[[#This Row],[czas wynajecia domku]])</f>
        <v>560</v>
      </c>
      <c r="I429" s="9">
        <f xml:space="preserve"> WYNAJEM4[[#This Row],[suma energia i woda]] + WYNAJEM4[[#This Row],[czynsz]]</f>
        <v>570.47</v>
      </c>
    </row>
    <row r="430" spans="1:9" x14ac:dyDescent="0.25">
      <c r="A430" s="1">
        <v>41839</v>
      </c>
      <c r="B430" s="1">
        <v>41862</v>
      </c>
      <c r="C430" s="8">
        <v>2.0099999999999998</v>
      </c>
      <c r="D430" s="8">
        <v>0.05</v>
      </c>
      <c r="E430">
        <v>6</v>
      </c>
      <c r="F430" s="10">
        <f>(WYNAJEM4[[#This Row],[data_wyjazdu]]-WYNAJEM4[[#This Row],[data_przyjazdu]])</f>
        <v>23</v>
      </c>
      <c r="G430" s="9">
        <f xml:space="preserve"> WYNAJEM4[[#This Row],[energia]] + WYNAJEM4[[#This Row],[woda]]</f>
        <v>2.0599999999999996</v>
      </c>
      <c r="H430" s="8">
        <f xml:space="preserve"> (10 * WYNAJEM4[[#This Row],[typ]] * WYNAJEM4[[#This Row],[czas wynajecia domku]])</f>
        <v>1380</v>
      </c>
      <c r="I430" s="9">
        <f xml:space="preserve"> WYNAJEM4[[#This Row],[suma energia i woda]] + WYNAJEM4[[#This Row],[czynsz]]</f>
        <v>1382.06</v>
      </c>
    </row>
    <row r="431" spans="1:9" x14ac:dyDescent="0.25">
      <c r="A431" s="1">
        <v>41839</v>
      </c>
      <c r="B431" s="1">
        <v>41862</v>
      </c>
      <c r="C431" s="8">
        <v>13.81</v>
      </c>
      <c r="D431" s="8">
        <v>0.36</v>
      </c>
      <c r="E431">
        <v>3</v>
      </c>
      <c r="F431" s="10">
        <f>(WYNAJEM4[[#This Row],[data_wyjazdu]]-WYNAJEM4[[#This Row],[data_przyjazdu]])</f>
        <v>23</v>
      </c>
      <c r="G431" s="9">
        <f xml:space="preserve"> WYNAJEM4[[#This Row],[energia]] + WYNAJEM4[[#This Row],[woda]]</f>
        <v>14.17</v>
      </c>
      <c r="H431" s="8">
        <f xml:space="preserve"> (10 * WYNAJEM4[[#This Row],[typ]] * WYNAJEM4[[#This Row],[czas wynajecia domku]])</f>
        <v>690</v>
      </c>
      <c r="I431" s="9">
        <f xml:space="preserve"> WYNAJEM4[[#This Row],[suma energia i woda]] + WYNAJEM4[[#This Row],[czynsz]]</f>
        <v>704.17</v>
      </c>
    </row>
    <row r="432" spans="1:9" x14ac:dyDescent="0.25">
      <c r="A432" s="1">
        <v>41841</v>
      </c>
      <c r="B432" s="1">
        <v>41868</v>
      </c>
      <c r="C432" s="8">
        <v>8.7200000000000006</v>
      </c>
      <c r="D432" s="8">
        <v>0.23</v>
      </c>
      <c r="E432">
        <v>2</v>
      </c>
      <c r="F432" s="10">
        <f>(WYNAJEM4[[#This Row],[data_wyjazdu]]-WYNAJEM4[[#This Row],[data_przyjazdu]])</f>
        <v>27</v>
      </c>
      <c r="G432" s="9">
        <f xml:space="preserve"> WYNAJEM4[[#This Row],[energia]] + WYNAJEM4[[#This Row],[woda]]</f>
        <v>8.9500000000000011</v>
      </c>
      <c r="H432" s="8">
        <f xml:space="preserve"> (10 * WYNAJEM4[[#This Row],[typ]] * WYNAJEM4[[#This Row],[czas wynajecia domku]])</f>
        <v>540</v>
      </c>
      <c r="I432" s="9">
        <f xml:space="preserve"> WYNAJEM4[[#This Row],[suma energia i woda]] + WYNAJEM4[[#This Row],[czynsz]]</f>
        <v>548.95000000000005</v>
      </c>
    </row>
    <row r="433" spans="1:9" x14ac:dyDescent="0.25">
      <c r="A433" s="1">
        <v>41841</v>
      </c>
      <c r="B433" s="1">
        <v>41859</v>
      </c>
      <c r="C433" s="8">
        <v>11.44</v>
      </c>
      <c r="D433" s="8">
        <v>0.3</v>
      </c>
      <c r="E433">
        <v>3</v>
      </c>
      <c r="F433" s="10">
        <f>(WYNAJEM4[[#This Row],[data_wyjazdu]]-WYNAJEM4[[#This Row],[data_przyjazdu]])</f>
        <v>18</v>
      </c>
      <c r="G433" s="9">
        <f xml:space="preserve"> WYNAJEM4[[#This Row],[energia]] + WYNAJEM4[[#This Row],[woda]]</f>
        <v>11.74</v>
      </c>
      <c r="H433" s="8">
        <f xml:space="preserve"> (10 * WYNAJEM4[[#This Row],[typ]] * WYNAJEM4[[#This Row],[czas wynajecia domku]])</f>
        <v>540</v>
      </c>
      <c r="I433" s="9">
        <f xml:space="preserve"> WYNAJEM4[[#This Row],[suma energia i woda]] + WYNAJEM4[[#This Row],[czynsz]]</f>
        <v>551.74</v>
      </c>
    </row>
    <row r="434" spans="1:9" x14ac:dyDescent="0.25">
      <c r="A434" s="1">
        <v>41841</v>
      </c>
      <c r="B434" s="1">
        <v>41854</v>
      </c>
      <c r="C434" s="8">
        <v>3.94</v>
      </c>
      <c r="D434" s="8">
        <v>0.1</v>
      </c>
      <c r="E434">
        <v>2</v>
      </c>
      <c r="F434" s="10">
        <f>(WYNAJEM4[[#This Row],[data_wyjazdu]]-WYNAJEM4[[#This Row],[data_przyjazdu]])</f>
        <v>13</v>
      </c>
      <c r="G434" s="9">
        <f xml:space="preserve"> WYNAJEM4[[#This Row],[energia]] + WYNAJEM4[[#This Row],[woda]]</f>
        <v>4.04</v>
      </c>
      <c r="H434" s="8">
        <f xml:space="preserve"> (10 * WYNAJEM4[[#This Row],[typ]] * WYNAJEM4[[#This Row],[czas wynajecia domku]])</f>
        <v>260</v>
      </c>
      <c r="I434" s="9">
        <f xml:space="preserve"> WYNAJEM4[[#This Row],[suma energia i woda]] + WYNAJEM4[[#This Row],[czynsz]]</f>
        <v>264.04000000000002</v>
      </c>
    </row>
    <row r="435" spans="1:9" x14ac:dyDescent="0.25">
      <c r="A435" s="1">
        <v>41845</v>
      </c>
      <c r="B435" s="1">
        <v>41871</v>
      </c>
      <c r="C435" s="8">
        <v>9.4600000000000009</v>
      </c>
      <c r="D435" s="8">
        <v>0.25</v>
      </c>
      <c r="E435">
        <v>3</v>
      </c>
      <c r="F435" s="10">
        <f>(WYNAJEM4[[#This Row],[data_wyjazdu]]-WYNAJEM4[[#This Row],[data_przyjazdu]])</f>
        <v>26</v>
      </c>
      <c r="G435" s="9">
        <f xml:space="preserve"> WYNAJEM4[[#This Row],[energia]] + WYNAJEM4[[#This Row],[woda]]</f>
        <v>9.7100000000000009</v>
      </c>
      <c r="H435" s="8">
        <f xml:space="preserve"> (10 * WYNAJEM4[[#This Row],[typ]] * WYNAJEM4[[#This Row],[czas wynajecia domku]])</f>
        <v>780</v>
      </c>
      <c r="I435" s="9">
        <f xml:space="preserve"> WYNAJEM4[[#This Row],[suma energia i woda]] + WYNAJEM4[[#This Row],[czynsz]]</f>
        <v>789.71</v>
      </c>
    </row>
    <row r="436" spans="1:9" x14ac:dyDescent="0.25">
      <c r="A436" s="1">
        <v>41845</v>
      </c>
      <c r="B436" s="1">
        <v>41853</v>
      </c>
      <c r="C436" s="8">
        <v>11.69</v>
      </c>
      <c r="D436" s="8">
        <v>0.31</v>
      </c>
      <c r="E436">
        <v>4</v>
      </c>
      <c r="F436" s="10">
        <f>(WYNAJEM4[[#This Row],[data_wyjazdu]]-WYNAJEM4[[#This Row],[data_przyjazdu]])</f>
        <v>8</v>
      </c>
      <c r="G436" s="9">
        <f xml:space="preserve"> WYNAJEM4[[#This Row],[energia]] + WYNAJEM4[[#This Row],[woda]]</f>
        <v>12</v>
      </c>
      <c r="H436" s="8">
        <f xml:space="preserve"> (10 * WYNAJEM4[[#This Row],[typ]] * WYNAJEM4[[#This Row],[czas wynajecia domku]])</f>
        <v>320</v>
      </c>
      <c r="I436" s="9">
        <f xml:space="preserve"> WYNAJEM4[[#This Row],[suma energia i woda]] + WYNAJEM4[[#This Row],[czynsz]]</f>
        <v>332</v>
      </c>
    </row>
    <row r="437" spans="1:9" x14ac:dyDescent="0.25">
      <c r="A437" s="1">
        <v>41845</v>
      </c>
      <c r="B437" s="1">
        <v>41870</v>
      </c>
      <c r="C437" s="8">
        <v>8.83</v>
      </c>
      <c r="D437" s="8">
        <v>0.23</v>
      </c>
      <c r="E437">
        <v>2</v>
      </c>
      <c r="F437" s="10">
        <f>(WYNAJEM4[[#This Row],[data_wyjazdu]]-WYNAJEM4[[#This Row],[data_przyjazdu]])</f>
        <v>25</v>
      </c>
      <c r="G437" s="9">
        <f xml:space="preserve"> WYNAJEM4[[#This Row],[energia]] + WYNAJEM4[[#This Row],[woda]]</f>
        <v>9.06</v>
      </c>
      <c r="H437" s="8">
        <f xml:space="preserve"> (10 * WYNAJEM4[[#This Row],[typ]] * WYNAJEM4[[#This Row],[czas wynajecia domku]])</f>
        <v>500</v>
      </c>
      <c r="I437" s="9">
        <f xml:space="preserve"> WYNAJEM4[[#This Row],[suma energia i woda]] + WYNAJEM4[[#This Row],[czynsz]]</f>
        <v>509.06</v>
      </c>
    </row>
    <row r="438" spans="1:9" x14ac:dyDescent="0.25">
      <c r="A438" s="1">
        <v>41845</v>
      </c>
      <c r="B438" s="1">
        <v>41866</v>
      </c>
      <c r="C438" s="8">
        <v>8.83</v>
      </c>
      <c r="D438" s="8">
        <v>0.23</v>
      </c>
      <c r="E438">
        <v>6</v>
      </c>
      <c r="F438" s="10">
        <f>(WYNAJEM4[[#This Row],[data_wyjazdu]]-WYNAJEM4[[#This Row],[data_przyjazdu]])</f>
        <v>21</v>
      </c>
      <c r="G438" s="9">
        <f xml:space="preserve"> WYNAJEM4[[#This Row],[energia]] + WYNAJEM4[[#This Row],[woda]]</f>
        <v>9.06</v>
      </c>
      <c r="H438" s="8">
        <f xml:space="preserve"> (10 * WYNAJEM4[[#This Row],[typ]] * WYNAJEM4[[#This Row],[czas wynajecia domku]])</f>
        <v>1260</v>
      </c>
      <c r="I438" s="9">
        <f xml:space="preserve"> WYNAJEM4[[#This Row],[suma energia i woda]] + WYNAJEM4[[#This Row],[czynsz]]</f>
        <v>1269.06</v>
      </c>
    </row>
    <row r="439" spans="1:9" x14ac:dyDescent="0.25">
      <c r="A439" s="1">
        <v>41845</v>
      </c>
      <c r="B439" s="1">
        <v>41866</v>
      </c>
      <c r="C439" s="8">
        <v>9.1300000000000008</v>
      </c>
      <c r="D439" s="8">
        <v>0.24</v>
      </c>
      <c r="E439">
        <v>4</v>
      </c>
      <c r="F439" s="10">
        <f>(WYNAJEM4[[#This Row],[data_wyjazdu]]-WYNAJEM4[[#This Row],[data_przyjazdu]])</f>
        <v>21</v>
      </c>
      <c r="G439" s="9">
        <f xml:space="preserve"> WYNAJEM4[[#This Row],[energia]] + WYNAJEM4[[#This Row],[woda]]</f>
        <v>9.370000000000001</v>
      </c>
      <c r="H439" s="8">
        <f xml:space="preserve"> (10 * WYNAJEM4[[#This Row],[typ]] * WYNAJEM4[[#This Row],[czas wynajecia domku]])</f>
        <v>840</v>
      </c>
      <c r="I439" s="9">
        <f xml:space="preserve"> WYNAJEM4[[#This Row],[suma energia i woda]] + WYNAJEM4[[#This Row],[czynsz]]</f>
        <v>849.37</v>
      </c>
    </row>
    <row r="440" spans="1:9" x14ac:dyDescent="0.25">
      <c r="A440" s="1">
        <v>41845</v>
      </c>
      <c r="B440" s="1">
        <v>41873</v>
      </c>
      <c r="C440" s="8">
        <v>9.06</v>
      </c>
      <c r="D440" s="8">
        <v>0.24</v>
      </c>
      <c r="E440">
        <v>5</v>
      </c>
      <c r="F440" s="10">
        <f>(WYNAJEM4[[#This Row],[data_wyjazdu]]-WYNAJEM4[[#This Row],[data_przyjazdu]])</f>
        <v>28</v>
      </c>
      <c r="G440" s="9">
        <f xml:space="preserve"> WYNAJEM4[[#This Row],[energia]] + WYNAJEM4[[#This Row],[woda]]</f>
        <v>9.3000000000000007</v>
      </c>
      <c r="H440" s="8">
        <f xml:space="preserve"> (10 * WYNAJEM4[[#This Row],[typ]] * WYNAJEM4[[#This Row],[czas wynajecia domku]])</f>
        <v>1400</v>
      </c>
      <c r="I440" s="9">
        <f xml:space="preserve"> WYNAJEM4[[#This Row],[suma energia i woda]] + WYNAJEM4[[#This Row],[czynsz]]</f>
        <v>1409.3</v>
      </c>
    </row>
    <row r="441" spans="1:9" x14ac:dyDescent="0.25">
      <c r="A441" s="1">
        <v>41851</v>
      </c>
      <c r="B441" s="1">
        <v>41873</v>
      </c>
      <c r="C441" s="8">
        <v>10.19</v>
      </c>
      <c r="D441" s="8">
        <v>0.27</v>
      </c>
      <c r="E441">
        <v>5</v>
      </c>
      <c r="F441" s="10">
        <f>(WYNAJEM4[[#This Row],[data_wyjazdu]]-WYNAJEM4[[#This Row],[data_przyjazdu]])</f>
        <v>22</v>
      </c>
      <c r="G441" s="9">
        <f xml:space="preserve"> WYNAJEM4[[#This Row],[energia]] + WYNAJEM4[[#This Row],[woda]]</f>
        <v>10.459999999999999</v>
      </c>
      <c r="H441" s="8">
        <f xml:space="preserve"> (10 * WYNAJEM4[[#This Row],[typ]] * WYNAJEM4[[#This Row],[czas wynajecia domku]])</f>
        <v>1100</v>
      </c>
      <c r="I441" s="9">
        <f xml:space="preserve"> WYNAJEM4[[#This Row],[suma energia i woda]] + WYNAJEM4[[#This Row],[czynsz]]</f>
        <v>1110.46</v>
      </c>
    </row>
    <row r="442" spans="1:9" x14ac:dyDescent="0.25">
      <c r="A442" s="1">
        <v>41851</v>
      </c>
      <c r="B442" s="1">
        <v>41872</v>
      </c>
      <c r="C442" s="8">
        <v>14</v>
      </c>
      <c r="D442" s="8">
        <v>0.37</v>
      </c>
      <c r="E442">
        <v>4</v>
      </c>
      <c r="F442" s="10">
        <f>(WYNAJEM4[[#This Row],[data_wyjazdu]]-WYNAJEM4[[#This Row],[data_przyjazdu]])</f>
        <v>21</v>
      </c>
      <c r="G442" s="9">
        <f xml:space="preserve"> WYNAJEM4[[#This Row],[energia]] + WYNAJEM4[[#This Row],[woda]]</f>
        <v>14.37</v>
      </c>
      <c r="H442" s="8">
        <f xml:space="preserve"> (10 * WYNAJEM4[[#This Row],[typ]] * WYNAJEM4[[#This Row],[czas wynajecia domku]])</f>
        <v>840</v>
      </c>
      <c r="I442" s="9">
        <f xml:space="preserve"> WYNAJEM4[[#This Row],[suma energia i woda]] + WYNAJEM4[[#This Row],[czynsz]]</f>
        <v>854.37</v>
      </c>
    </row>
    <row r="443" spans="1:9" x14ac:dyDescent="0.25">
      <c r="A443" s="1">
        <v>41851</v>
      </c>
      <c r="B443" s="1">
        <v>41858</v>
      </c>
      <c r="C443" s="8">
        <v>11.44</v>
      </c>
      <c r="D443" s="8">
        <v>0.3</v>
      </c>
      <c r="E443">
        <v>5</v>
      </c>
      <c r="F443" s="10">
        <f>(WYNAJEM4[[#This Row],[data_wyjazdu]]-WYNAJEM4[[#This Row],[data_przyjazdu]])</f>
        <v>7</v>
      </c>
      <c r="G443" s="9">
        <f xml:space="preserve"> WYNAJEM4[[#This Row],[energia]] + WYNAJEM4[[#This Row],[woda]]</f>
        <v>11.74</v>
      </c>
      <c r="H443" s="8">
        <f xml:space="preserve"> (10 * WYNAJEM4[[#This Row],[typ]] * WYNAJEM4[[#This Row],[czas wynajecia domku]])</f>
        <v>350</v>
      </c>
      <c r="I443" s="9">
        <f xml:space="preserve"> WYNAJEM4[[#This Row],[suma energia i woda]] + WYNAJEM4[[#This Row],[czynsz]]</f>
        <v>361.74</v>
      </c>
    </row>
    <row r="444" spans="1:9" x14ac:dyDescent="0.25">
      <c r="A444" s="1">
        <v>41851</v>
      </c>
      <c r="B444" s="1">
        <v>41871</v>
      </c>
      <c r="C444" s="8">
        <v>7.31</v>
      </c>
      <c r="D444" s="8">
        <v>0.19</v>
      </c>
      <c r="E444">
        <v>2</v>
      </c>
      <c r="F444" s="10">
        <f>(WYNAJEM4[[#This Row],[data_wyjazdu]]-WYNAJEM4[[#This Row],[data_przyjazdu]])</f>
        <v>20</v>
      </c>
      <c r="G444" s="9">
        <f xml:space="preserve"> WYNAJEM4[[#This Row],[energia]] + WYNAJEM4[[#This Row],[woda]]</f>
        <v>7.5</v>
      </c>
      <c r="H444" s="8">
        <f xml:space="preserve"> (10 * WYNAJEM4[[#This Row],[typ]] * WYNAJEM4[[#This Row],[czas wynajecia domku]])</f>
        <v>400</v>
      </c>
      <c r="I444" s="9">
        <f xml:space="preserve"> WYNAJEM4[[#This Row],[suma energia i woda]] + WYNAJEM4[[#This Row],[czynsz]]</f>
        <v>407.5</v>
      </c>
    </row>
    <row r="445" spans="1:9" x14ac:dyDescent="0.25">
      <c r="A445" s="1">
        <v>41851</v>
      </c>
      <c r="B445" s="1">
        <v>41863</v>
      </c>
      <c r="C445" s="8">
        <v>9.4600000000000009</v>
      </c>
      <c r="D445" s="8">
        <v>0.25</v>
      </c>
      <c r="E445">
        <v>2</v>
      </c>
      <c r="F445" s="10">
        <f>(WYNAJEM4[[#This Row],[data_wyjazdu]]-WYNAJEM4[[#This Row],[data_przyjazdu]])</f>
        <v>12</v>
      </c>
      <c r="G445" s="9">
        <f xml:space="preserve"> WYNAJEM4[[#This Row],[energia]] + WYNAJEM4[[#This Row],[woda]]</f>
        <v>9.7100000000000009</v>
      </c>
      <c r="H445" s="8">
        <f xml:space="preserve"> (10 * WYNAJEM4[[#This Row],[typ]] * WYNAJEM4[[#This Row],[czas wynajecia domku]])</f>
        <v>240</v>
      </c>
      <c r="I445" s="9">
        <f xml:space="preserve"> WYNAJEM4[[#This Row],[suma energia i woda]] + WYNAJEM4[[#This Row],[czynsz]]</f>
        <v>249.71</v>
      </c>
    </row>
    <row r="446" spans="1:9" x14ac:dyDescent="0.25">
      <c r="A446" s="1">
        <v>41851</v>
      </c>
      <c r="B446" s="1">
        <v>41856</v>
      </c>
      <c r="C446" s="8">
        <v>8.83</v>
      </c>
      <c r="D446" s="8">
        <v>0.23</v>
      </c>
      <c r="E446">
        <v>3</v>
      </c>
      <c r="F446" s="10">
        <f>(WYNAJEM4[[#This Row],[data_wyjazdu]]-WYNAJEM4[[#This Row],[data_przyjazdu]])</f>
        <v>5</v>
      </c>
      <c r="G446" s="9">
        <f xml:space="preserve"> WYNAJEM4[[#This Row],[energia]] + WYNAJEM4[[#This Row],[woda]]</f>
        <v>9.06</v>
      </c>
      <c r="H446" s="8">
        <f xml:space="preserve"> (10 * WYNAJEM4[[#This Row],[typ]] * WYNAJEM4[[#This Row],[czas wynajecia domku]])</f>
        <v>150</v>
      </c>
      <c r="I446" s="9">
        <f xml:space="preserve"> WYNAJEM4[[#This Row],[suma energia i woda]] + WYNAJEM4[[#This Row],[czynsz]]</f>
        <v>159.06</v>
      </c>
    </row>
    <row r="447" spans="1:9" x14ac:dyDescent="0.25">
      <c r="A447" s="1">
        <v>41851</v>
      </c>
      <c r="B447" s="1">
        <v>41855</v>
      </c>
      <c r="C447" s="8">
        <v>6.88</v>
      </c>
      <c r="D447" s="8">
        <v>0.18</v>
      </c>
      <c r="E447">
        <v>2</v>
      </c>
      <c r="F447" s="10">
        <f>(WYNAJEM4[[#This Row],[data_wyjazdu]]-WYNAJEM4[[#This Row],[data_przyjazdu]])</f>
        <v>4</v>
      </c>
      <c r="G447" s="9">
        <f xml:space="preserve"> WYNAJEM4[[#This Row],[energia]] + WYNAJEM4[[#This Row],[woda]]</f>
        <v>7.06</v>
      </c>
      <c r="H447" s="8">
        <f xml:space="preserve"> (10 * WYNAJEM4[[#This Row],[typ]] * WYNAJEM4[[#This Row],[czas wynajecia domku]])</f>
        <v>80</v>
      </c>
      <c r="I447" s="9">
        <f xml:space="preserve"> WYNAJEM4[[#This Row],[suma energia i woda]] + WYNAJEM4[[#This Row],[czynsz]]</f>
        <v>87.06</v>
      </c>
    </row>
    <row r="448" spans="1:9" x14ac:dyDescent="0.25">
      <c r="A448" s="1">
        <v>41851</v>
      </c>
      <c r="B448" s="1">
        <v>41853</v>
      </c>
      <c r="C448" s="8">
        <v>6.75</v>
      </c>
      <c r="D448" s="8">
        <v>0.18</v>
      </c>
      <c r="E448">
        <v>3</v>
      </c>
      <c r="F448" s="10">
        <f>(WYNAJEM4[[#This Row],[data_wyjazdu]]-WYNAJEM4[[#This Row],[data_przyjazdu]])</f>
        <v>2</v>
      </c>
      <c r="G448" s="9">
        <f xml:space="preserve"> WYNAJEM4[[#This Row],[energia]] + WYNAJEM4[[#This Row],[woda]]</f>
        <v>6.93</v>
      </c>
      <c r="H448" s="8">
        <f xml:space="preserve"> (10 * WYNAJEM4[[#This Row],[typ]] * WYNAJEM4[[#This Row],[czas wynajecia domku]])</f>
        <v>60</v>
      </c>
      <c r="I448" s="9">
        <f xml:space="preserve"> WYNAJEM4[[#This Row],[suma energia i woda]] + WYNAJEM4[[#This Row],[czynsz]]</f>
        <v>66.930000000000007</v>
      </c>
    </row>
    <row r="449" spans="1:9" x14ac:dyDescent="0.25">
      <c r="A449" s="1">
        <v>41851</v>
      </c>
      <c r="B449" s="1">
        <v>41869</v>
      </c>
      <c r="C449" s="8">
        <v>19.54</v>
      </c>
      <c r="D449" s="8">
        <v>0.51</v>
      </c>
      <c r="E449">
        <v>3</v>
      </c>
      <c r="F449" s="10">
        <f>(WYNAJEM4[[#This Row],[data_wyjazdu]]-WYNAJEM4[[#This Row],[data_przyjazdu]])</f>
        <v>18</v>
      </c>
      <c r="G449" s="9">
        <f xml:space="preserve"> WYNAJEM4[[#This Row],[energia]] + WYNAJEM4[[#This Row],[woda]]</f>
        <v>20.05</v>
      </c>
      <c r="H449" s="8">
        <f xml:space="preserve"> (10 * WYNAJEM4[[#This Row],[typ]] * WYNAJEM4[[#This Row],[czas wynajecia domku]])</f>
        <v>540</v>
      </c>
      <c r="I449" s="9">
        <f xml:space="preserve"> WYNAJEM4[[#This Row],[suma energia i woda]] + WYNAJEM4[[#This Row],[czynsz]]</f>
        <v>560.04999999999995</v>
      </c>
    </row>
    <row r="450" spans="1:9" x14ac:dyDescent="0.25">
      <c r="A450" s="1">
        <v>41851</v>
      </c>
      <c r="B450" s="1">
        <v>41856</v>
      </c>
      <c r="C450" s="8">
        <v>14.31</v>
      </c>
      <c r="D450" s="8">
        <v>0.38</v>
      </c>
      <c r="E450">
        <v>6</v>
      </c>
      <c r="F450" s="10">
        <f>(WYNAJEM4[[#This Row],[data_wyjazdu]]-WYNAJEM4[[#This Row],[data_przyjazdu]])</f>
        <v>5</v>
      </c>
      <c r="G450" s="9">
        <f xml:space="preserve"> WYNAJEM4[[#This Row],[energia]] + WYNAJEM4[[#This Row],[woda]]</f>
        <v>14.690000000000001</v>
      </c>
      <c r="H450" s="8">
        <f xml:space="preserve"> (10 * WYNAJEM4[[#This Row],[typ]] * WYNAJEM4[[#This Row],[czas wynajecia domku]])</f>
        <v>300</v>
      </c>
      <c r="I450" s="9">
        <f xml:space="preserve"> WYNAJEM4[[#This Row],[suma energia i woda]] + WYNAJEM4[[#This Row],[czynsz]]</f>
        <v>314.69</v>
      </c>
    </row>
    <row r="451" spans="1:9" x14ac:dyDescent="0.25">
      <c r="A451" s="1">
        <v>41851</v>
      </c>
      <c r="B451" s="1">
        <v>41870</v>
      </c>
      <c r="C451" s="8">
        <v>3.79</v>
      </c>
      <c r="D451" s="8">
        <v>0.1</v>
      </c>
      <c r="E451">
        <v>2</v>
      </c>
      <c r="F451" s="10">
        <f>(WYNAJEM4[[#This Row],[data_wyjazdu]]-WYNAJEM4[[#This Row],[data_przyjazdu]])</f>
        <v>19</v>
      </c>
      <c r="G451" s="9">
        <f xml:space="preserve"> WYNAJEM4[[#This Row],[energia]] + WYNAJEM4[[#This Row],[woda]]</f>
        <v>3.89</v>
      </c>
      <c r="H451" s="8">
        <f xml:space="preserve"> (10 * WYNAJEM4[[#This Row],[typ]] * WYNAJEM4[[#This Row],[czas wynajecia domku]])</f>
        <v>380</v>
      </c>
      <c r="I451" s="9">
        <f xml:space="preserve"> WYNAJEM4[[#This Row],[suma energia i woda]] + WYNAJEM4[[#This Row],[czynsz]]</f>
        <v>383.89</v>
      </c>
    </row>
    <row r="452" spans="1:9" x14ac:dyDescent="0.25">
      <c r="A452" s="1">
        <v>41851</v>
      </c>
      <c r="B452" s="1">
        <v>41868</v>
      </c>
      <c r="C452" s="8">
        <v>8.89</v>
      </c>
      <c r="D452" s="8">
        <v>0.23</v>
      </c>
      <c r="E452">
        <v>5</v>
      </c>
      <c r="F452" s="10">
        <f>(WYNAJEM4[[#This Row],[data_wyjazdu]]-WYNAJEM4[[#This Row],[data_przyjazdu]])</f>
        <v>17</v>
      </c>
      <c r="G452" s="9">
        <f xml:space="preserve"> WYNAJEM4[[#This Row],[energia]] + WYNAJEM4[[#This Row],[woda]]</f>
        <v>9.120000000000001</v>
      </c>
      <c r="H452" s="8">
        <f xml:space="preserve"> (10 * WYNAJEM4[[#This Row],[typ]] * WYNAJEM4[[#This Row],[czas wynajecia domku]])</f>
        <v>850</v>
      </c>
      <c r="I452" s="9">
        <f xml:space="preserve"> WYNAJEM4[[#This Row],[suma energia i woda]] + WYNAJEM4[[#This Row],[czynsz]]</f>
        <v>859.12</v>
      </c>
    </row>
    <row r="453" spans="1:9" x14ac:dyDescent="0.25">
      <c r="A453" s="1">
        <v>41851</v>
      </c>
      <c r="B453" s="1">
        <v>41867</v>
      </c>
      <c r="C453" s="8">
        <v>7.71</v>
      </c>
      <c r="D453" s="8">
        <v>0.2</v>
      </c>
      <c r="E453">
        <v>5</v>
      </c>
      <c r="F453" s="10">
        <f>(WYNAJEM4[[#This Row],[data_wyjazdu]]-WYNAJEM4[[#This Row],[data_przyjazdu]])</f>
        <v>16</v>
      </c>
      <c r="G453" s="9">
        <f xml:space="preserve"> WYNAJEM4[[#This Row],[energia]] + WYNAJEM4[[#This Row],[woda]]</f>
        <v>7.91</v>
      </c>
      <c r="H453" s="8">
        <f xml:space="preserve"> (10 * WYNAJEM4[[#This Row],[typ]] * WYNAJEM4[[#This Row],[czas wynajecia domku]])</f>
        <v>800</v>
      </c>
      <c r="I453" s="9">
        <f xml:space="preserve"> WYNAJEM4[[#This Row],[suma energia i woda]] + WYNAJEM4[[#This Row],[czynsz]]</f>
        <v>807.91</v>
      </c>
    </row>
    <row r="454" spans="1:9" x14ac:dyDescent="0.25">
      <c r="A454" s="1">
        <v>41851</v>
      </c>
      <c r="B454" s="1">
        <v>41864</v>
      </c>
      <c r="C454" s="8">
        <v>16.829999999999998</v>
      </c>
      <c r="D454" s="8">
        <v>0.44</v>
      </c>
      <c r="E454">
        <v>6</v>
      </c>
      <c r="F454" s="10">
        <f>(WYNAJEM4[[#This Row],[data_wyjazdu]]-WYNAJEM4[[#This Row],[data_przyjazdu]])</f>
        <v>13</v>
      </c>
      <c r="G454" s="9">
        <f xml:space="preserve"> WYNAJEM4[[#This Row],[energia]] + WYNAJEM4[[#This Row],[woda]]</f>
        <v>17.27</v>
      </c>
      <c r="H454" s="8">
        <f xml:space="preserve"> (10 * WYNAJEM4[[#This Row],[typ]] * WYNAJEM4[[#This Row],[czas wynajecia domku]])</f>
        <v>780</v>
      </c>
      <c r="I454" s="9">
        <f xml:space="preserve"> WYNAJEM4[[#This Row],[suma energia i woda]] + WYNAJEM4[[#This Row],[czynsz]]</f>
        <v>797.27</v>
      </c>
    </row>
    <row r="455" spans="1:9" x14ac:dyDescent="0.25">
      <c r="A455" s="1">
        <v>41851</v>
      </c>
      <c r="B455" s="1">
        <v>41857</v>
      </c>
      <c r="C455" s="8">
        <v>5.23</v>
      </c>
      <c r="D455" s="8">
        <v>0.14000000000000001</v>
      </c>
      <c r="E455">
        <v>6</v>
      </c>
      <c r="F455" s="10">
        <f>(WYNAJEM4[[#This Row],[data_wyjazdu]]-WYNAJEM4[[#This Row],[data_przyjazdu]])</f>
        <v>6</v>
      </c>
      <c r="G455" s="9">
        <f xml:space="preserve"> WYNAJEM4[[#This Row],[energia]] + WYNAJEM4[[#This Row],[woda]]</f>
        <v>5.37</v>
      </c>
      <c r="H455" s="8">
        <f xml:space="preserve"> (10 * WYNAJEM4[[#This Row],[typ]] * WYNAJEM4[[#This Row],[czas wynajecia domku]])</f>
        <v>360</v>
      </c>
      <c r="I455" s="9">
        <f xml:space="preserve"> WYNAJEM4[[#This Row],[suma energia i woda]] + WYNAJEM4[[#This Row],[czynsz]]</f>
        <v>365.37</v>
      </c>
    </row>
    <row r="456" spans="1:9" x14ac:dyDescent="0.25">
      <c r="A456" s="1">
        <v>41851</v>
      </c>
      <c r="B456" s="1">
        <v>41853</v>
      </c>
      <c r="C456" s="8">
        <v>10.79</v>
      </c>
      <c r="D456" s="8">
        <v>0.28000000000000003</v>
      </c>
      <c r="E456">
        <v>5</v>
      </c>
      <c r="F456" s="10">
        <f>(WYNAJEM4[[#This Row],[data_wyjazdu]]-WYNAJEM4[[#This Row],[data_przyjazdu]])</f>
        <v>2</v>
      </c>
      <c r="G456" s="9">
        <f xml:space="preserve"> WYNAJEM4[[#This Row],[energia]] + WYNAJEM4[[#This Row],[woda]]</f>
        <v>11.069999999999999</v>
      </c>
      <c r="H456" s="8">
        <f xml:space="preserve"> (10 * WYNAJEM4[[#This Row],[typ]] * WYNAJEM4[[#This Row],[czas wynajecia domku]])</f>
        <v>100</v>
      </c>
      <c r="I456" s="9">
        <f xml:space="preserve"> WYNAJEM4[[#This Row],[suma energia i woda]] + WYNAJEM4[[#This Row],[czynsz]]</f>
        <v>111.07</v>
      </c>
    </row>
    <row r="457" spans="1:9" x14ac:dyDescent="0.25">
      <c r="A457" s="1">
        <v>41851</v>
      </c>
      <c r="B457" s="1">
        <v>41868</v>
      </c>
      <c r="C457" s="8">
        <v>12.23</v>
      </c>
      <c r="D457" s="8">
        <v>0.32</v>
      </c>
      <c r="E457">
        <v>2</v>
      </c>
      <c r="F457" s="10">
        <f>(WYNAJEM4[[#This Row],[data_wyjazdu]]-WYNAJEM4[[#This Row],[data_przyjazdu]])</f>
        <v>17</v>
      </c>
      <c r="G457" s="9">
        <f xml:space="preserve"> WYNAJEM4[[#This Row],[energia]] + WYNAJEM4[[#This Row],[woda]]</f>
        <v>12.55</v>
      </c>
      <c r="H457" s="8">
        <f xml:space="preserve"> (10 * WYNAJEM4[[#This Row],[typ]] * WYNAJEM4[[#This Row],[czas wynajecia domku]])</f>
        <v>340</v>
      </c>
      <c r="I457" s="9">
        <f xml:space="preserve"> WYNAJEM4[[#This Row],[suma energia i woda]] + WYNAJEM4[[#This Row],[czynsz]]</f>
        <v>352.55</v>
      </c>
    </row>
    <row r="458" spans="1:9" x14ac:dyDescent="0.25">
      <c r="A458" s="1">
        <v>41851</v>
      </c>
      <c r="B458" s="1">
        <v>41870</v>
      </c>
      <c r="C458" s="8">
        <v>5.78</v>
      </c>
      <c r="D458" s="8">
        <v>0.15</v>
      </c>
      <c r="E458">
        <v>6</v>
      </c>
      <c r="F458" s="10">
        <f>(WYNAJEM4[[#This Row],[data_wyjazdu]]-WYNAJEM4[[#This Row],[data_przyjazdu]])</f>
        <v>19</v>
      </c>
      <c r="G458" s="9">
        <f xml:space="preserve"> WYNAJEM4[[#This Row],[energia]] + WYNAJEM4[[#This Row],[woda]]</f>
        <v>5.9300000000000006</v>
      </c>
      <c r="H458" s="8">
        <f xml:space="preserve"> (10 * WYNAJEM4[[#This Row],[typ]] * WYNAJEM4[[#This Row],[czas wynajecia domku]])</f>
        <v>1140</v>
      </c>
      <c r="I458" s="9">
        <f xml:space="preserve"> WYNAJEM4[[#This Row],[suma energia i woda]] + WYNAJEM4[[#This Row],[czynsz]]</f>
        <v>1145.93</v>
      </c>
    </row>
    <row r="459" spans="1:9" x14ac:dyDescent="0.25">
      <c r="A459" s="1">
        <v>41857</v>
      </c>
      <c r="B459" s="1">
        <v>41865</v>
      </c>
      <c r="C459" s="8">
        <v>5.23</v>
      </c>
      <c r="D459" s="8">
        <v>0.14000000000000001</v>
      </c>
      <c r="E459">
        <v>3</v>
      </c>
      <c r="F459" s="10">
        <f>(WYNAJEM4[[#This Row],[data_wyjazdu]]-WYNAJEM4[[#This Row],[data_przyjazdu]])</f>
        <v>8</v>
      </c>
      <c r="G459" s="9">
        <f xml:space="preserve"> WYNAJEM4[[#This Row],[energia]] + WYNAJEM4[[#This Row],[woda]]</f>
        <v>5.37</v>
      </c>
      <c r="H459" s="8">
        <f xml:space="preserve"> (10 * WYNAJEM4[[#This Row],[typ]] * WYNAJEM4[[#This Row],[czas wynajecia domku]])</f>
        <v>240</v>
      </c>
      <c r="I459" s="9">
        <f xml:space="preserve"> WYNAJEM4[[#This Row],[suma energia i woda]] + WYNAJEM4[[#This Row],[czynsz]]</f>
        <v>245.37</v>
      </c>
    </row>
    <row r="460" spans="1:9" x14ac:dyDescent="0.25">
      <c r="A460" s="1">
        <v>41857</v>
      </c>
      <c r="B460" s="1">
        <v>41868</v>
      </c>
      <c r="C460" s="8">
        <v>9.06</v>
      </c>
      <c r="D460" s="8">
        <v>0.24</v>
      </c>
      <c r="E460">
        <v>2</v>
      </c>
      <c r="F460" s="10">
        <f>(WYNAJEM4[[#This Row],[data_wyjazdu]]-WYNAJEM4[[#This Row],[data_przyjazdu]])</f>
        <v>11</v>
      </c>
      <c r="G460" s="9">
        <f xml:space="preserve"> WYNAJEM4[[#This Row],[energia]] + WYNAJEM4[[#This Row],[woda]]</f>
        <v>9.3000000000000007</v>
      </c>
      <c r="H460" s="8">
        <f xml:space="preserve"> (10 * WYNAJEM4[[#This Row],[typ]] * WYNAJEM4[[#This Row],[czas wynajecia domku]])</f>
        <v>220</v>
      </c>
      <c r="I460" s="9">
        <f xml:space="preserve"> WYNAJEM4[[#This Row],[suma energia i woda]] + WYNAJEM4[[#This Row],[czynsz]]</f>
        <v>229.3</v>
      </c>
    </row>
    <row r="461" spans="1:9" x14ac:dyDescent="0.25">
      <c r="A461" s="1">
        <v>41857</v>
      </c>
      <c r="B461" s="1">
        <v>41885</v>
      </c>
      <c r="C461" s="8">
        <v>12.23</v>
      </c>
      <c r="D461" s="8">
        <v>0.32</v>
      </c>
      <c r="E461">
        <v>4</v>
      </c>
      <c r="F461" s="10">
        <f>(WYNAJEM4[[#This Row],[data_wyjazdu]]-WYNAJEM4[[#This Row],[data_przyjazdu]])</f>
        <v>28</v>
      </c>
      <c r="G461" s="9">
        <f xml:space="preserve"> WYNAJEM4[[#This Row],[energia]] + WYNAJEM4[[#This Row],[woda]]</f>
        <v>12.55</v>
      </c>
      <c r="H461" s="8">
        <f xml:space="preserve"> (10 * WYNAJEM4[[#This Row],[typ]] * WYNAJEM4[[#This Row],[czas wynajecia domku]])</f>
        <v>1120</v>
      </c>
      <c r="I461" s="9">
        <f xml:space="preserve"> WYNAJEM4[[#This Row],[suma energia i woda]] + WYNAJEM4[[#This Row],[czynsz]]</f>
        <v>1132.55</v>
      </c>
    </row>
    <row r="462" spans="1:9" x14ac:dyDescent="0.25">
      <c r="A462" s="1">
        <v>41857</v>
      </c>
      <c r="B462" s="1">
        <v>41881</v>
      </c>
      <c r="C462" s="8">
        <v>8.83</v>
      </c>
      <c r="D462" s="8">
        <v>0.23</v>
      </c>
      <c r="E462">
        <v>4</v>
      </c>
      <c r="F462" s="10">
        <f>(WYNAJEM4[[#This Row],[data_wyjazdu]]-WYNAJEM4[[#This Row],[data_przyjazdu]])</f>
        <v>24</v>
      </c>
      <c r="G462" s="9">
        <f xml:space="preserve"> WYNAJEM4[[#This Row],[energia]] + WYNAJEM4[[#This Row],[woda]]</f>
        <v>9.06</v>
      </c>
      <c r="H462" s="8">
        <f xml:space="preserve"> (10 * WYNAJEM4[[#This Row],[typ]] * WYNAJEM4[[#This Row],[czas wynajecia domku]])</f>
        <v>960</v>
      </c>
      <c r="I462" s="9">
        <f xml:space="preserve"> WYNAJEM4[[#This Row],[suma energia i woda]] + WYNAJEM4[[#This Row],[czynsz]]</f>
        <v>969.06</v>
      </c>
    </row>
    <row r="463" spans="1:9" x14ac:dyDescent="0.25">
      <c r="A463" s="1">
        <v>41857</v>
      </c>
      <c r="B463" s="1">
        <v>41876</v>
      </c>
      <c r="C463" s="8">
        <v>10.93</v>
      </c>
      <c r="D463" s="8">
        <v>0.28999999999999998</v>
      </c>
      <c r="E463">
        <v>5</v>
      </c>
      <c r="F463" s="10">
        <f>(WYNAJEM4[[#This Row],[data_wyjazdu]]-WYNAJEM4[[#This Row],[data_przyjazdu]])</f>
        <v>19</v>
      </c>
      <c r="G463" s="9">
        <f xml:space="preserve"> WYNAJEM4[[#This Row],[energia]] + WYNAJEM4[[#This Row],[woda]]</f>
        <v>11.219999999999999</v>
      </c>
      <c r="H463" s="8">
        <f xml:space="preserve"> (10 * WYNAJEM4[[#This Row],[typ]] * WYNAJEM4[[#This Row],[czas wynajecia domku]])</f>
        <v>950</v>
      </c>
      <c r="I463" s="9">
        <f xml:space="preserve"> WYNAJEM4[[#This Row],[suma energia i woda]] + WYNAJEM4[[#This Row],[czynsz]]</f>
        <v>961.22</v>
      </c>
    </row>
    <row r="464" spans="1:9" x14ac:dyDescent="0.25">
      <c r="A464" s="1">
        <v>41860</v>
      </c>
      <c r="B464" s="1">
        <v>41874</v>
      </c>
      <c r="C464" s="8">
        <v>3.94</v>
      </c>
      <c r="D464" s="8">
        <v>0.1</v>
      </c>
      <c r="E464">
        <v>2</v>
      </c>
      <c r="F464" s="10">
        <f>(WYNAJEM4[[#This Row],[data_wyjazdu]]-WYNAJEM4[[#This Row],[data_przyjazdu]])</f>
        <v>14</v>
      </c>
      <c r="G464" s="9">
        <f xml:space="preserve"> WYNAJEM4[[#This Row],[energia]] + WYNAJEM4[[#This Row],[woda]]</f>
        <v>4.04</v>
      </c>
      <c r="H464" s="8">
        <f xml:space="preserve"> (10 * WYNAJEM4[[#This Row],[typ]] * WYNAJEM4[[#This Row],[czas wynajecia domku]])</f>
        <v>280</v>
      </c>
      <c r="I464" s="9">
        <f xml:space="preserve"> WYNAJEM4[[#This Row],[suma energia i woda]] + WYNAJEM4[[#This Row],[czynsz]]</f>
        <v>284.04000000000002</v>
      </c>
    </row>
    <row r="465" spans="1:9" x14ac:dyDescent="0.25">
      <c r="A465" s="1">
        <v>41863</v>
      </c>
      <c r="B465" s="1">
        <v>41885</v>
      </c>
      <c r="C465" s="8">
        <v>19.54</v>
      </c>
      <c r="D465" s="8">
        <v>0.51</v>
      </c>
      <c r="E465">
        <v>6</v>
      </c>
      <c r="F465" s="10">
        <f>(WYNAJEM4[[#This Row],[data_wyjazdu]]-WYNAJEM4[[#This Row],[data_przyjazdu]])</f>
        <v>22</v>
      </c>
      <c r="G465" s="9">
        <f xml:space="preserve"> WYNAJEM4[[#This Row],[energia]] + WYNAJEM4[[#This Row],[woda]]</f>
        <v>20.05</v>
      </c>
      <c r="H465" s="8">
        <f xml:space="preserve"> (10 * WYNAJEM4[[#This Row],[typ]] * WYNAJEM4[[#This Row],[czas wynajecia domku]])</f>
        <v>1320</v>
      </c>
      <c r="I465" s="9">
        <f xml:space="preserve"> WYNAJEM4[[#This Row],[suma energia i woda]] + WYNAJEM4[[#This Row],[czynsz]]</f>
        <v>1340.05</v>
      </c>
    </row>
    <row r="466" spans="1:9" x14ac:dyDescent="0.25">
      <c r="A466" s="1">
        <v>41863</v>
      </c>
      <c r="B466" s="1">
        <v>41872</v>
      </c>
      <c r="C466" s="8">
        <v>6.75</v>
      </c>
      <c r="D466" s="8">
        <v>0.18</v>
      </c>
      <c r="E466">
        <v>2</v>
      </c>
      <c r="F466" s="10">
        <f>(WYNAJEM4[[#This Row],[data_wyjazdu]]-WYNAJEM4[[#This Row],[data_przyjazdu]])</f>
        <v>9</v>
      </c>
      <c r="G466" s="9">
        <f xml:space="preserve"> WYNAJEM4[[#This Row],[energia]] + WYNAJEM4[[#This Row],[woda]]</f>
        <v>6.93</v>
      </c>
      <c r="H466" s="8">
        <f xml:space="preserve"> (10 * WYNAJEM4[[#This Row],[typ]] * WYNAJEM4[[#This Row],[czas wynajecia domku]])</f>
        <v>180</v>
      </c>
      <c r="I466" s="9">
        <f xml:space="preserve"> WYNAJEM4[[#This Row],[suma energia i woda]] + WYNAJEM4[[#This Row],[czynsz]]</f>
        <v>186.93</v>
      </c>
    </row>
    <row r="467" spans="1:9" x14ac:dyDescent="0.25">
      <c r="A467" s="1">
        <v>41863</v>
      </c>
      <c r="B467" s="1">
        <v>41888</v>
      </c>
      <c r="C467" s="8">
        <v>7.55</v>
      </c>
      <c r="D467" s="8">
        <v>0.2</v>
      </c>
      <c r="E467">
        <v>5</v>
      </c>
      <c r="F467" s="10">
        <f>(WYNAJEM4[[#This Row],[data_wyjazdu]]-WYNAJEM4[[#This Row],[data_przyjazdu]])</f>
        <v>25</v>
      </c>
      <c r="G467" s="9">
        <f xml:space="preserve"> WYNAJEM4[[#This Row],[energia]] + WYNAJEM4[[#This Row],[woda]]</f>
        <v>7.75</v>
      </c>
      <c r="H467" s="8">
        <f xml:space="preserve"> (10 * WYNAJEM4[[#This Row],[typ]] * WYNAJEM4[[#This Row],[czas wynajecia domku]])</f>
        <v>1250</v>
      </c>
      <c r="I467" s="9">
        <f xml:space="preserve"> WYNAJEM4[[#This Row],[suma energia i woda]] + WYNAJEM4[[#This Row],[czynsz]]</f>
        <v>1257.75</v>
      </c>
    </row>
    <row r="468" spans="1:9" x14ac:dyDescent="0.25">
      <c r="A468" s="1">
        <v>41863</v>
      </c>
      <c r="B468" s="1">
        <v>41886</v>
      </c>
      <c r="C468" s="8">
        <v>3.73</v>
      </c>
      <c r="D468" s="8">
        <v>0.1</v>
      </c>
      <c r="E468">
        <v>5</v>
      </c>
      <c r="F468" s="10">
        <f>(WYNAJEM4[[#This Row],[data_wyjazdu]]-WYNAJEM4[[#This Row],[data_przyjazdu]])</f>
        <v>23</v>
      </c>
      <c r="G468" s="9">
        <f xml:space="preserve"> WYNAJEM4[[#This Row],[energia]] + WYNAJEM4[[#This Row],[woda]]</f>
        <v>3.83</v>
      </c>
      <c r="H468" s="8">
        <f xml:space="preserve"> (10 * WYNAJEM4[[#This Row],[typ]] * WYNAJEM4[[#This Row],[czas wynajecia domku]])</f>
        <v>1150</v>
      </c>
      <c r="I468" s="9">
        <f xml:space="preserve"> WYNAJEM4[[#This Row],[suma energia i woda]] + WYNAJEM4[[#This Row],[czynsz]]</f>
        <v>1153.83</v>
      </c>
    </row>
    <row r="469" spans="1:9" x14ac:dyDescent="0.25">
      <c r="A469" s="1">
        <v>41863</v>
      </c>
      <c r="B469" s="1">
        <v>41874</v>
      </c>
      <c r="C469" s="8">
        <v>8.51</v>
      </c>
      <c r="D469" s="8">
        <v>0.22</v>
      </c>
      <c r="E469">
        <v>2</v>
      </c>
      <c r="F469" s="10">
        <f>(WYNAJEM4[[#This Row],[data_wyjazdu]]-WYNAJEM4[[#This Row],[data_przyjazdu]])</f>
        <v>11</v>
      </c>
      <c r="G469" s="9">
        <f xml:space="preserve"> WYNAJEM4[[#This Row],[energia]] + WYNAJEM4[[#This Row],[woda]]</f>
        <v>8.73</v>
      </c>
      <c r="H469" s="8">
        <f xml:space="preserve"> (10 * WYNAJEM4[[#This Row],[typ]] * WYNAJEM4[[#This Row],[czas wynajecia domku]])</f>
        <v>220</v>
      </c>
      <c r="I469" s="9">
        <f xml:space="preserve"> WYNAJEM4[[#This Row],[suma energia i woda]] + WYNAJEM4[[#This Row],[czynsz]]</f>
        <v>228.73</v>
      </c>
    </row>
    <row r="470" spans="1:9" x14ac:dyDescent="0.25">
      <c r="A470" s="1">
        <v>41863</v>
      </c>
      <c r="B470" s="1">
        <v>41878</v>
      </c>
      <c r="C470" s="8">
        <v>6.88</v>
      </c>
      <c r="D470" s="8">
        <v>0.18</v>
      </c>
      <c r="E470">
        <v>3</v>
      </c>
      <c r="F470" s="10">
        <f>(WYNAJEM4[[#This Row],[data_wyjazdu]]-WYNAJEM4[[#This Row],[data_przyjazdu]])</f>
        <v>15</v>
      </c>
      <c r="G470" s="9">
        <f xml:space="preserve"> WYNAJEM4[[#This Row],[energia]] + WYNAJEM4[[#This Row],[woda]]</f>
        <v>7.06</v>
      </c>
      <c r="H470" s="8">
        <f xml:space="preserve"> (10 * WYNAJEM4[[#This Row],[typ]] * WYNAJEM4[[#This Row],[czas wynajecia domku]])</f>
        <v>450</v>
      </c>
      <c r="I470" s="9">
        <f xml:space="preserve"> WYNAJEM4[[#This Row],[suma energia i woda]] + WYNAJEM4[[#This Row],[czynsz]]</f>
        <v>457.06</v>
      </c>
    </row>
    <row r="471" spans="1:9" x14ac:dyDescent="0.25">
      <c r="A471" s="1">
        <v>41863</v>
      </c>
      <c r="B471" s="1">
        <v>41874</v>
      </c>
      <c r="C471" s="8">
        <v>6.75</v>
      </c>
      <c r="D471" s="8">
        <v>0.18</v>
      </c>
      <c r="E471">
        <v>4</v>
      </c>
      <c r="F471" s="10">
        <f>(WYNAJEM4[[#This Row],[data_wyjazdu]]-WYNAJEM4[[#This Row],[data_przyjazdu]])</f>
        <v>11</v>
      </c>
      <c r="G471" s="9">
        <f xml:space="preserve"> WYNAJEM4[[#This Row],[energia]] + WYNAJEM4[[#This Row],[woda]]</f>
        <v>6.93</v>
      </c>
      <c r="H471" s="8">
        <f xml:space="preserve"> (10 * WYNAJEM4[[#This Row],[typ]] * WYNAJEM4[[#This Row],[czas wynajecia domku]])</f>
        <v>440</v>
      </c>
      <c r="I471" s="9">
        <f xml:space="preserve"> WYNAJEM4[[#This Row],[suma energia i woda]] + WYNAJEM4[[#This Row],[czynsz]]</f>
        <v>446.93</v>
      </c>
    </row>
    <row r="472" spans="1:9" x14ac:dyDescent="0.25">
      <c r="A472" s="1">
        <v>41863</v>
      </c>
      <c r="B472" s="1">
        <v>41875</v>
      </c>
      <c r="C472" s="8">
        <v>11.42</v>
      </c>
      <c r="D472" s="8">
        <v>0.3</v>
      </c>
      <c r="E472">
        <v>5</v>
      </c>
      <c r="F472" s="10">
        <f>(WYNAJEM4[[#This Row],[data_wyjazdu]]-WYNAJEM4[[#This Row],[data_przyjazdu]])</f>
        <v>12</v>
      </c>
      <c r="G472" s="9">
        <f xml:space="preserve"> WYNAJEM4[[#This Row],[energia]] + WYNAJEM4[[#This Row],[woda]]</f>
        <v>11.72</v>
      </c>
      <c r="H472" s="8">
        <f xml:space="preserve"> (10 * WYNAJEM4[[#This Row],[typ]] * WYNAJEM4[[#This Row],[czas wynajecia domku]])</f>
        <v>600</v>
      </c>
      <c r="I472" s="9">
        <f xml:space="preserve"> WYNAJEM4[[#This Row],[suma energia i woda]] + WYNAJEM4[[#This Row],[czynsz]]</f>
        <v>611.72</v>
      </c>
    </row>
    <row r="473" spans="1:9" x14ac:dyDescent="0.25">
      <c r="A473" s="1">
        <v>41863</v>
      </c>
      <c r="B473" s="1">
        <v>41866</v>
      </c>
      <c r="C473" s="8">
        <v>16.940000000000001</v>
      </c>
      <c r="D473" s="8">
        <v>0.45</v>
      </c>
      <c r="E473">
        <v>3</v>
      </c>
      <c r="F473" s="10">
        <f>(WYNAJEM4[[#This Row],[data_wyjazdu]]-WYNAJEM4[[#This Row],[data_przyjazdu]])</f>
        <v>3</v>
      </c>
      <c r="G473" s="9">
        <f xml:space="preserve"> WYNAJEM4[[#This Row],[energia]] + WYNAJEM4[[#This Row],[woda]]</f>
        <v>17.39</v>
      </c>
      <c r="H473" s="8">
        <f xml:space="preserve"> (10 * WYNAJEM4[[#This Row],[typ]] * WYNAJEM4[[#This Row],[czas wynajecia domku]])</f>
        <v>90</v>
      </c>
      <c r="I473" s="9">
        <f xml:space="preserve"> WYNAJEM4[[#This Row],[suma energia i woda]] + WYNAJEM4[[#This Row],[czynsz]]</f>
        <v>107.39</v>
      </c>
    </row>
    <row r="474" spans="1:9" x14ac:dyDescent="0.25">
      <c r="A474" s="1">
        <v>41863</v>
      </c>
      <c r="B474" s="1">
        <v>41867</v>
      </c>
      <c r="C474" s="8">
        <v>6.34</v>
      </c>
      <c r="D474" s="8">
        <v>0.17</v>
      </c>
      <c r="E474">
        <v>6</v>
      </c>
      <c r="F474" s="10">
        <f>(WYNAJEM4[[#This Row],[data_wyjazdu]]-WYNAJEM4[[#This Row],[data_przyjazdu]])</f>
        <v>4</v>
      </c>
      <c r="G474" s="9">
        <f xml:space="preserve"> WYNAJEM4[[#This Row],[energia]] + WYNAJEM4[[#This Row],[woda]]</f>
        <v>6.51</v>
      </c>
      <c r="H474" s="8">
        <f xml:space="preserve"> (10 * WYNAJEM4[[#This Row],[typ]] * WYNAJEM4[[#This Row],[czas wynajecia domku]])</f>
        <v>240</v>
      </c>
      <c r="I474" s="9">
        <f xml:space="preserve"> WYNAJEM4[[#This Row],[suma energia i woda]] + WYNAJEM4[[#This Row],[czynsz]]</f>
        <v>246.51</v>
      </c>
    </row>
    <row r="475" spans="1:9" x14ac:dyDescent="0.25">
      <c r="A475" s="1">
        <v>41863</v>
      </c>
      <c r="B475" s="1">
        <v>41870</v>
      </c>
      <c r="C475" s="8">
        <v>8.83</v>
      </c>
      <c r="D475" s="8">
        <v>0.23</v>
      </c>
      <c r="E475">
        <v>4</v>
      </c>
      <c r="F475" s="10">
        <f>(WYNAJEM4[[#This Row],[data_wyjazdu]]-WYNAJEM4[[#This Row],[data_przyjazdu]])</f>
        <v>7</v>
      </c>
      <c r="G475" s="9">
        <f xml:space="preserve"> WYNAJEM4[[#This Row],[energia]] + WYNAJEM4[[#This Row],[woda]]</f>
        <v>9.06</v>
      </c>
      <c r="H475" s="8">
        <f xml:space="preserve"> (10 * WYNAJEM4[[#This Row],[typ]] * WYNAJEM4[[#This Row],[czas wynajecia domku]])</f>
        <v>280</v>
      </c>
      <c r="I475" s="9">
        <f xml:space="preserve"> WYNAJEM4[[#This Row],[suma energia i woda]] + WYNAJEM4[[#This Row],[czynsz]]</f>
        <v>289.06</v>
      </c>
    </row>
    <row r="476" spans="1:9" x14ac:dyDescent="0.25">
      <c r="A476" s="1">
        <v>41863</v>
      </c>
      <c r="B476" s="1">
        <v>41876</v>
      </c>
      <c r="C476" s="8">
        <v>6.34</v>
      </c>
      <c r="D476" s="8">
        <v>0.17</v>
      </c>
      <c r="E476">
        <v>3</v>
      </c>
      <c r="F476" s="10">
        <f>(WYNAJEM4[[#This Row],[data_wyjazdu]]-WYNAJEM4[[#This Row],[data_przyjazdu]])</f>
        <v>13</v>
      </c>
      <c r="G476" s="9">
        <f xml:space="preserve"> WYNAJEM4[[#This Row],[energia]] + WYNAJEM4[[#This Row],[woda]]</f>
        <v>6.51</v>
      </c>
      <c r="H476" s="8">
        <f xml:space="preserve"> (10 * WYNAJEM4[[#This Row],[typ]] * WYNAJEM4[[#This Row],[czas wynajecia domku]])</f>
        <v>390</v>
      </c>
      <c r="I476" s="9">
        <f xml:space="preserve"> WYNAJEM4[[#This Row],[suma energia i woda]] + WYNAJEM4[[#This Row],[czynsz]]</f>
        <v>396.51</v>
      </c>
    </row>
    <row r="477" spans="1:9" x14ac:dyDescent="0.25">
      <c r="A477" s="1">
        <v>41863</v>
      </c>
      <c r="B477" s="1">
        <v>41880</v>
      </c>
      <c r="C477" s="8">
        <v>8.84</v>
      </c>
      <c r="D477" s="8">
        <v>0.23</v>
      </c>
      <c r="E477">
        <v>3</v>
      </c>
      <c r="F477" s="10">
        <f>(WYNAJEM4[[#This Row],[data_wyjazdu]]-WYNAJEM4[[#This Row],[data_przyjazdu]])</f>
        <v>17</v>
      </c>
      <c r="G477" s="9">
        <f xml:space="preserve"> WYNAJEM4[[#This Row],[energia]] + WYNAJEM4[[#This Row],[woda]]</f>
        <v>9.07</v>
      </c>
      <c r="H477" s="8">
        <f xml:space="preserve"> (10 * WYNAJEM4[[#This Row],[typ]] * WYNAJEM4[[#This Row],[czas wynajecia domku]])</f>
        <v>510</v>
      </c>
      <c r="I477" s="9">
        <f xml:space="preserve"> WYNAJEM4[[#This Row],[suma energia i woda]] + WYNAJEM4[[#This Row],[czynsz]]</f>
        <v>519.07000000000005</v>
      </c>
    </row>
    <row r="478" spans="1:9" x14ac:dyDescent="0.25">
      <c r="A478" s="1">
        <v>41863</v>
      </c>
      <c r="B478" s="1">
        <v>41869</v>
      </c>
      <c r="C478" s="8">
        <v>8.65</v>
      </c>
      <c r="D478" s="8">
        <v>0.23</v>
      </c>
      <c r="E478">
        <v>2</v>
      </c>
      <c r="F478" s="10">
        <f>(WYNAJEM4[[#This Row],[data_wyjazdu]]-WYNAJEM4[[#This Row],[data_przyjazdu]])</f>
        <v>6</v>
      </c>
      <c r="G478" s="9">
        <f xml:space="preserve"> WYNAJEM4[[#This Row],[energia]] + WYNAJEM4[[#This Row],[woda]]</f>
        <v>8.8800000000000008</v>
      </c>
      <c r="H478" s="8">
        <f xml:space="preserve"> (10 * WYNAJEM4[[#This Row],[typ]] * WYNAJEM4[[#This Row],[czas wynajecia domku]])</f>
        <v>120</v>
      </c>
      <c r="I478" s="9">
        <f xml:space="preserve"> WYNAJEM4[[#This Row],[suma energia i woda]] + WYNAJEM4[[#This Row],[czynsz]]</f>
        <v>128.88</v>
      </c>
    </row>
    <row r="479" spans="1:9" x14ac:dyDescent="0.25">
      <c r="A479" s="1">
        <v>41863</v>
      </c>
      <c r="B479" s="1">
        <v>41887</v>
      </c>
      <c r="C479" s="8">
        <v>8.51</v>
      </c>
      <c r="D479" s="8">
        <v>0.22</v>
      </c>
      <c r="E479">
        <v>4</v>
      </c>
      <c r="F479" s="10">
        <f>(WYNAJEM4[[#This Row],[data_wyjazdu]]-WYNAJEM4[[#This Row],[data_przyjazdu]])</f>
        <v>24</v>
      </c>
      <c r="G479" s="9">
        <f xml:space="preserve"> WYNAJEM4[[#This Row],[energia]] + WYNAJEM4[[#This Row],[woda]]</f>
        <v>8.73</v>
      </c>
      <c r="H479" s="8">
        <f xml:space="preserve"> (10 * WYNAJEM4[[#This Row],[typ]] * WYNAJEM4[[#This Row],[czas wynajecia domku]])</f>
        <v>960</v>
      </c>
      <c r="I479" s="9">
        <f xml:space="preserve"> WYNAJEM4[[#This Row],[suma energia i woda]] + WYNAJEM4[[#This Row],[czynsz]]</f>
        <v>968.73</v>
      </c>
    </row>
    <row r="480" spans="1:9" x14ac:dyDescent="0.25">
      <c r="A480" s="1">
        <v>41863</v>
      </c>
      <c r="B480" s="1">
        <v>41890</v>
      </c>
      <c r="C480" s="8">
        <v>9.74</v>
      </c>
      <c r="D480" s="8">
        <v>0.26</v>
      </c>
      <c r="E480">
        <v>5</v>
      </c>
      <c r="F480" s="10">
        <f>(WYNAJEM4[[#This Row],[data_wyjazdu]]-WYNAJEM4[[#This Row],[data_przyjazdu]])</f>
        <v>27</v>
      </c>
      <c r="G480" s="9">
        <f xml:space="preserve"> WYNAJEM4[[#This Row],[energia]] + WYNAJEM4[[#This Row],[woda]]</f>
        <v>10</v>
      </c>
      <c r="H480" s="8">
        <f xml:space="preserve"> (10 * WYNAJEM4[[#This Row],[typ]] * WYNAJEM4[[#This Row],[czas wynajecia domku]])</f>
        <v>1350</v>
      </c>
      <c r="I480" s="9">
        <f xml:space="preserve"> WYNAJEM4[[#This Row],[suma energia i woda]] + WYNAJEM4[[#This Row],[czynsz]]</f>
        <v>1360</v>
      </c>
    </row>
    <row r="481" spans="1:9" x14ac:dyDescent="0.25">
      <c r="A481" s="1">
        <v>41863</v>
      </c>
      <c r="B481" s="1">
        <v>41887</v>
      </c>
      <c r="C481" s="8">
        <v>13.02</v>
      </c>
      <c r="D481" s="8">
        <v>0.34</v>
      </c>
      <c r="E481">
        <v>2</v>
      </c>
      <c r="F481" s="10">
        <f>(WYNAJEM4[[#This Row],[data_wyjazdu]]-WYNAJEM4[[#This Row],[data_przyjazdu]])</f>
        <v>24</v>
      </c>
      <c r="G481" s="9">
        <f xml:space="preserve"> WYNAJEM4[[#This Row],[energia]] + WYNAJEM4[[#This Row],[woda]]</f>
        <v>13.36</v>
      </c>
      <c r="H481" s="8">
        <f xml:space="preserve"> (10 * WYNAJEM4[[#This Row],[typ]] * WYNAJEM4[[#This Row],[czas wynajecia domku]])</f>
        <v>480</v>
      </c>
      <c r="I481" s="9">
        <f xml:space="preserve"> WYNAJEM4[[#This Row],[suma energia i woda]] + WYNAJEM4[[#This Row],[czynsz]]</f>
        <v>493.36</v>
      </c>
    </row>
    <row r="482" spans="1:9" x14ac:dyDescent="0.25">
      <c r="A482" s="1">
        <v>41865</v>
      </c>
      <c r="B482" s="1">
        <v>41869</v>
      </c>
      <c r="C482" s="8">
        <v>4.66</v>
      </c>
      <c r="D482" s="8">
        <v>0.12</v>
      </c>
      <c r="E482">
        <v>3</v>
      </c>
      <c r="F482" s="10">
        <f>(WYNAJEM4[[#This Row],[data_wyjazdu]]-WYNAJEM4[[#This Row],[data_przyjazdu]])</f>
        <v>4</v>
      </c>
      <c r="G482" s="9">
        <f xml:space="preserve"> WYNAJEM4[[#This Row],[energia]] + WYNAJEM4[[#This Row],[woda]]</f>
        <v>4.78</v>
      </c>
      <c r="H482" s="8">
        <f xml:space="preserve"> (10 * WYNAJEM4[[#This Row],[typ]] * WYNAJEM4[[#This Row],[czas wynajecia domku]])</f>
        <v>120</v>
      </c>
      <c r="I482" s="9">
        <f xml:space="preserve"> WYNAJEM4[[#This Row],[suma energia i woda]] + WYNAJEM4[[#This Row],[czynsz]]</f>
        <v>124.78</v>
      </c>
    </row>
    <row r="483" spans="1:9" x14ac:dyDescent="0.25">
      <c r="A483" s="1">
        <v>41869</v>
      </c>
      <c r="B483" s="1">
        <v>41884</v>
      </c>
      <c r="C483" s="8">
        <v>14.13</v>
      </c>
      <c r="D483" s="8">
        <v>0.37</v>
      </c>
      <c r="E483">
        <v>4</v>
      </c>
      <c r="F483" s="10">
        <f>(WYNAJEM4[[#This Row],[data_wyjazdu]]-WYNAJEM4[[#This Row],[data_przyjazdu]])</f>
        <v>15</v>
      </c>
      <c r="G483" s="9">
        <f xml:space="preserve"> WYNAJEM4[[#This Row],[energia]] + WYNAJEM4[[#This Row],[woda]]</f>
        <v>14.5</v>
      </c>
      <c r="H483" s="8">
        <f xml:space="preserve"> (10 * WYNAJEM4[[#This Row],[typ]] * WYNAJEM4[[#This Row],[czas wynajecia domku]])</f>
        <v>600</v>
      </c>
      <c r="I483" s="9">
        <f xml:space="preserve"> WYNAJEM4[[#This Row],[suma energia i woda]] + WYNAJEM4[[#This Row],[czynsz]]</f>
        <v>614.5</v>
      </c>
    </row>
    <row r="484" spans="1:9" x14ac:dyDescent="0.25">
      <c r="A484" s="1">
        <v>41869</v>
      </c>
      <c r="B484" s="1">
        <v>41892</v>
      </c>
      <c r="C484" s="8">
        <v>11.37</v>
      </c>
      <c r="D484" s="8">
        <v>0.3</v>
      </c>
      <c r="E484">
        <v>2</v>
      </c>
      <c r="F484" s="10">
        <f>(WYNAJEM4[[#This Row],[data_wyjazdu]]-WYNAJEM4[[#This Row],[data_przyjazdu]])</f>
        <v>23</v>
      </c>
      <c r="G484" s="9">
        <f xml:space="preserve"> WYNAJEM4[[#This Row],[energia]] + WYNAJEM4[[#This Row],[woda]]</f>
        <v>11.67</v>
      </c>
      <c r="H484" s="8">
        <f xml:space="preserve"> (10 * WYNAJEM4[[#This Row],[typ]] * WYNAJEM4[[#This Row],[czas wynajecia domku]])</f>
        <v>460</v>
      </c>
      <c r="I484" s="9">
        <f xml:space="preserve"> WYNAJEM4[[#This Row],[suma energia i woda]] + WYNAJEM4[[#This Row],[czynsz]]</f>
        <v>471.67</v>
      </c>
    </row>
    <row r="485" spans="1:9" x14ac:dyDescent="0.25">
      <c r="A485" s="1">
        <v>41869</v>
      </c>
      <c r="B485" s="1">
        <v>41890</v>
      </c>
      <c r="C485" s="8">
        <v>3.79</v>
      </c>
      <c r="D485" s="8">
        <v>0.1</v>
      </c>
      <c r="E485">
        <v>3</v>
      </c>
      <c r="F485" s="10">
        <f>(WYNAJEM4[[#This Row],[data_wyjazdu]]-WYNAJEM4[[#This Row],[data_przyjazdu]])</f>
        <v>21</v>
      </c>
      <c r="G485" s="9">
        <f xml:space="preserve"> WYNAJEM4[[#This Row],[energia]] + WYNAJEM4[[#This Row],[woda]]</f>
        <v>3.89</v>
      </c>
      <c r="H485" s="8">
        <f xml:space="preserve"> (10 * WYNAJEM4[[#This Row],[typ]] * WYNAJEM4[[#This Row],[czas wynajecia domku]])</f>
        <v>630</v>
      </c>
      <c r="I485" s="9">
        <f xml:space="preserve"> WYNAJEM4[[#This Row],[suma energia i woda]] + WYNAJEM4[[#This Row],[czynsz]]</f>
        <v>633.89</v>
      </c>
    </row>
    <row r="486" spans="1:9" x14ac:dyDescent="0.25">
      <c r="A486" s="1">
        <v>41869</v>
      </c>
      <c r="B486" s="1">
        <v>41875</v>
      </c>
      <c r="C486" s="8">
        <v>11.42</v>
      </c>
      <c r="D486" s="8">
        <v>0.3</v>
      </c>
      <c r="E486">
        <v>6</v>
      </c>
      <c r="F486" s="10">
        <f>(WYNAJEM4[[#This Row],[data_wyjazdu]]-WYNAJEM4[[#This Row],[data_przyjazdu]])</f>
        <v>6</v>
      </c>
      <c r="G486" s="9">
        <f xml:space="preserve"> WYNAJEM4[[#This Row],[energia]] + WYNAJEM4[[#This Row],[woda]]</f>
        <v>11.72</v>
      </c>
      <c r="H486" s="8">
        <f xml:space="preserve"> (10 * WYNAJEM4[[#This Row],[typ]] * WYNAJEM4[[#This Row],[czas wynajecia domku]])</f>
        <v>360</v>
      </c>
      <c r="I486" s="9">
        <f xml:space="preserve"> WYNAJEM4[[#This Row],[suma energia i woda]] + WYNAJEM4[[#This Row],[czynsz]]</f>
        <v>371.72</v>
      </c>
    </row>
    <row r="487" spans="1:9" x14ac:dyDescent="0.25">
      <c r="A487" s="1">
        <v>41869</v>
      </c>
      <c r="B487" s="1">
        <v>41892</v>
      </c>
      <c r="C487" s="8">
        <v>8.84</v>
      </c>
      <c r="D487" s="8">
        <v>0.23</v>
      </c>
      <c r="E487">
        <v>3</v>
      </c>
      <c r="F487" s="10">
        <f>(WYNAJEM4[[#This Row],[data_wyjazdu]]-WYNAJEM4[[#This Row],[data_przyjazdu]])</f>
        <v>23</v>
      </c>
      <c r="G487" s="9">
        <f xml:space="preserve"> WYNAJEM4[[#This Row],[energia]] + WYNAJEM4[[#This Row],[woda]]</f>
        <v>9.07</v>
      </c>
      <c r="H487" s="8">
        <f xml:space="preserve"> (10 * WYNAJEM4[[#This Row],[typ]] * WYNAJEM4[[#This Row],[czas wynajecia domku]])</f>
        <v>690</v>
      </c>
      <c r="I487" s="9">
        <f xml:space="preserve"> WYNAJEM4[[#This Row],[suma energia i woda]] + WYNAJEM4[[#This Row],[czynsz]]</f>
        <v>699.07</v>
      </c>
    </row>
    <row r="488" spans="1:9" x14ac:dyDescent="0.25">
      <c r="A488" s="1">
        <v>41869</v>
      </c>
      <c r="B488" s="1">
        <v>41875</v>
      </c>
      <c r="C488" s="8">
        <v>11.69</v>
      </c>
      <c r="D488" s="8">
        <v>0.31</v>
      </c>
      <c r="E488">
        <v>6</v>
      </c>
      <c r="F488" s="10">
        <f>(WYNAJEM4[[#This Row],[data_wyjazdu]]-WYNAJEM4[[#This Row],[data_przyjazdu]])</f>
        <v>6</v>
      </c>
      <c r="G488" s="9">
        <f xml:space="preserve"> WYNAJEM4[[#This Row],[energia]] + WYNAJEM4[[#This Row],[woda]]</f>
        <v>12</v>
      </c>
      <c r="H488" s="8">
        <f xml:space="preserve"> (10 * WYNAJEM4[[#This Row],[typ]] * WYNAJEM4[[#This Row],[czas wynajecia domku]])</f>
        <v>360</v>
      </c>
      <c r="I488" s="9">
        <f xml:space="preserve"> WYNAJEM4[[#This Row],[suma energia i woda]] + WYNAJEM4[[#This Row],[czynsz]]</f>
        <v>372</v>
      </c>
    </row>
    <row r="489" spans="1:9" x14ac:dyDescent="0.25">
      <c r="A489" s="1">
        <v>41875</v>
      </c>
      <c r="B489" s="1">
        <v>41879</v>
      </c>
      <c r="C489" s="8">
        <v>5.78</v>
      </c>
      <c r="D489" s="8">
        <v>0.15</v>
      </c>
      <c r="E489">
        <v>4</v>
      </c>
      <c r="F489" s="10">
        <f>(WYNAJEM4[[#This Row],[data_wyjazdu]]-WYNAJEM4[[#This Row],[data_przyjazdu]])</f>
        <v>4</v>
      </c>
      <c r="G489" s="9">
        <f xml:space="preserve"> WYNAJEM4[[#This Row],[energia]] + WYNAJEM4[[#This Row],[woda]]</f>
        <v>5.9300000000000006</v>
      </c>
      <c r="H489" s="8">
        <f xml:space="preserve"> (10 * WYNAJEM4[[#This Row],[typ]] * WYNAJEM4[[#This Row],[czas wynajecia domku]])</f>
        <v>160</v>
      </c>
      <c r="I489" s="9">
        <f xml:space="preserve"> WYNAJEM4[[#This Row],[suma energia i woda]] + WYNAJEM4[[#This Row],[czynsz]]</f>
        <v>165.93</v>
      </c>
    </row>
    <row r="490" spans="1:9" x14ac:dyDescent="0.25">
      <c r="A490" s="1">
        <v>41875</v>
      </c>
      <c r="B490" s="1">
        <v>41877</v>
      </c>
      <c r="C490" s="8">
        <v>19.54</v>
      </c>
      <c r="D490" s="8">
        <v>0.51</v>
      </c>
      <c r="E490">
        <v>5</v>
      </c>
      <c r="F490" s="10">
        <f>(WYNAJEM4[[#This Row],[data_wyjazdu]]-WYNAJEM4[[#This Row],[data_przyjazdu]])</f>
        <v>2</v>
      </c>
      <c r="G490" s="9">
        <f xml:space="preserve"> WYNAJEM4[[#This Row],[energia]] + WYNAJEM4[[#This Row],[woda]]</f>
        <v>20.05</v>
      </c>
      <c r="H490" s="8">
        <f xml:space="preserve"> (10 * WYNAJEM4[[#This Row],[typ]] * WYNAJEM4[[#This Row],[czas wynajecia domku]])</f>
        <v>100</v>
      </c>
      <c r="I490" s="9">
        <f xml:space="preserve"> WYNAJEM4[[#This Row],[suma energia i woda]] + WYNAJEM4[[#This Row],[czynsz]]</f>
        <v>120.05</v>
      </c>
    </row>
    <row r="491" spans="1:9" x14ac:dyDescent="0.25">
      <c r="A491" s="1">
        <v>41875</v>
      </c>
      <c r="B491" s="1">
        <v>41891</v>
      </c>
      <c r="C491" s="8">
        <v>9.06</v>
      </c>
      <c r="D491" s="8">
        <v>0.24</v>
      </c>
      <c r="E491">
        <v>2</v>
      </c>
      <c r="F491" s="10">
        <f>(WYNAJEM4[[#This Row],[data_wyjazdu]]-WYNAJEM4[[#This Row],[data_przyjazdu]])</f>
        <v>16</v>
      </c>
      <c r="G491" s="9">
        <f xml:space="preserve"> WYNAJEM4[[#This Row],[energia]] + WYNAJEM4[[#This Row],[woda]]</f>
        <v>9.3000000000000007</v>
      </c>
      <c r="H491" s="8">
        <f xml:space="preserve"> (10 * WYNAJEM4[[#This Row],[typ]] * WYNAJEM4[[#This Row],[czas wynajecia domku]])</f>
        <v>320</v>
      </c>
      <c r="I491" s="9">
        <f xml:space="preserve"> WYNAJEM4[[#This Row],[suma energia i woda]] + WYNAJEM4[[#This Row],[czynsz]]</f>
        <v>329.3</v>
      </c>
    </row>
    <row r="492" spans="1:9" x14ac:dyDescent="0.25">
      <c r="A492" s="1">
        <v>41875</v>
      </c>
      <c r="B492" s="1">
        <v>41890</v>
      </c>
      <c r="C492" s="8">
        <v>13.81</v>
      </c>
      <c r="D492" s="8">
        <v>0.36</v>
      </c>
      <c r="E492">
        <v>6</v>
      </c>
      <c r="F492" s="10">
        <f>(WYNAJEM4[[#This Row],[data_wyjazdu]]-WYNAJEM4[[#This Row],[data_przyjazdu]])</f>
        <v>15</v>
      </c>
      <c r="G492" s="9">
        <f xml:space="preserve"> WYNAJEM4[[#This Row],[energia]] + WYNAJEM4[[#This Row],[woda]]</f>
        <v>14.17</v>
      </c>
      <c r="H492" s="8">
        <f xml:space="preserve"> (10 * WYNAJEM4[[#This Row],[typ]] * WYNAJEM4[[#This Row],[czas wynajecia domku]])</f>
        <v>900</v>
      </c>
      <c r="I492" s="9">
        <f xml:space="preserve"> WYNAJEM4[[#This Row],[suma energia i woda]] + WYNAJEM4[[#This Row],[czynsz]]</f>
        <v>914.17</v>
      </c>
    </row>
    <row r="493" spans="1:9" x14ac:dyDescent="0.25">
      <c r="A493" s="1">
        <v>41875</v>
      </c>
      <c r="B493" s="1">
        <v>41886</v>
      </c>
      <c r="C493" s="8">
        <v>11.42</v>
      </c>
      <c r="D493" s="8">
        <v>0.3</v>
      </c>
      <c r="E493">
        <v>5</v>
      </c>
      <c r="F493" s="10">
        <f>(WYNAJEM4[[#This Row],[data_wyjazdu]]-WYNAJEM4[[#This Row],[data_przyjazdu]])</f>
        <v>11</v>
      </c>
      <c r="G493" s="9">
        <f xml:space="preserve"> WYNAJEM4[[#This Row],[energia]] + WYNAJEM4[[#This Row],[woda]]</f>
        <v>11.72</v>
      </c>
      <c r="H493" s="8">
        <f xml:space="preserve"> (10 * WYNAJEM4[[#This Row],[typ]] * WYNAJEM4[[#This Row],[czas wynajecia domku]])</f>
        <v>550</v>
      </c>
      <c r="I493" s="9">
        <f xml:space="preserve"> WYNAJEM4[[#This Row],[suma energia i woda]] + WYNAJEM4[[#This Row],[czynsz]]</f>
        <v>561.72</v>
      </c>
    </row>
    <row r="494" spans="1:9" x14ac:dyDescent="0.25">
      <c r="A494" s="1">
        <v>41875</v>
      </c>
      <c r="B494" s="1">
        <v>41881</v>
      </c>
      <c r="C494" s="8">
        <v>14.31</v>
      </c>
      <c r="D494" s="8">
        <v>0.38</v>
      </c>
      <c r="E494">
        <v>2</v>
      </c>
      <c r="F494" s="10">
        <f>(WYNAJEM4[[#This Row],[data_wyjazdu]]-WYNAJEM4[[#This Row],[data_przyjazdu]])</f>
        <v>6</v>
      </c>
      <c r="G494" s="9">
        <f xml:space="preserve"> WYNAJEM4[[#This Row],[energia]] + WYNAJEM4[[#This Row],[woda]]</f>
        <v>14.690000000000001</v>
      </c>
      <c r="H494" s="8">
        <f xml:space="preserve"> (10 * WYNAJEM4[[#This Row],[typ]] * WYNAJEM4[[#This Row],[czas wynajecia domku]])</f>
        <v>120</v>
      </c>
      <c r="I494" s="9">
        <f xml:space="preserve"> WYNAJEM4[[#This Row],[suma energia i woda]] + WYNAJEM4[[#This Row],[czynsz]]</f>
        <v>134.69</v>
      </c>
    </row>
    <row r="495" spans="1:9" x14ac:dyDescent="0.25">
      <c r="A495" s="1">
        <v>41875</v>
      </c>
      <c r="B495" s="1">
        <v>41894</v>
      </c>
      <c r="C495" s="8">
        <v>8.83</v>
      </c>
      <c r="D495" s="8">
        <v>0.23</v>
      </c>
      <c r="E495">
        <v>3</v>
      </c>
      <c r="F495" s="10">
        <f>(WYNAJEM4[[#This Row],[data_wyjazdu]]-WYNAJEM4[[#This Row],[data_przyjazdu]])</f>
        <v>19</v>
      </c>
      <c r="G495" s="9">
        <f xml:space="preserve"> WYNAJEM4[[#This Row],[energia]] + WYNAJEM4[[#This Row],[woda]]</f>
        <v>9.06</v>
      </c>
      <c r="H495" s="8">
        <f xml:space="preserve"> (10 * WYNAJEM4[[#This Row],[typ]] * WYNAJEM4[[#This Row],[czas wynajecia domku]])</f>
        <v>570</v>
      </c>
      <c r="I495" s="9">
        <f xml:space="preserve"> WYNAJEM4[[#This Row],[suma energia i woda]] + WYNAJEM4[[#This Row],[czynsz]]</f>
        <v>579.05999999999995</v>
      </c>
    </row>
    <row r="496" spans="1:9" x14ac:dyDescent="0.25">
      <c r="A496" s="1">
        <v>41875</v>
      </c>
      <c r="B496" s="1">
        <v>41885</v>
      </c>
      <c r="C496" s="8">
        <v>14.31</v>
      </c>
      <c r="D496" s="8">
        <v>0.38</v>
      </c>
      <c r="E496">
        <v>3</v>
      </c>
      <c r="F496" s="10">
        <f>(WYNAJEM4[[#This Row],[data_wyjazdu]]-WYNAJEM4[[#This Row],[data_przyjazdu]])</f>
        <v>10</v>
      </c>
      <c r="G496" s="9">
        <f xml:space="preserve"> WYNAJEM4[[#This Row],[energia]] + WYNAJEM4[[#This Row],[woda]]</f>
        <v>14.690000000000001</v>
      </c>
      <c r="H496" s="8">
        <f xml:space="preserve"> (10 * WYNAJEM4[[#This Row],[typ]] * WYNAJEM4[[#This Row],[czas wynajecia domku]])</f>
        <v>300</v>
      </c>
      <c r="I496" s="9">
        <f xml:space="preserve"> WYNAJEM4[[#This Row],[suma energia i woda]] + WYNAJEM4[[#This Row],[czynsz]]</f>
        <v>314.69</v>
      </c>
    </row>
    <row r="497" spans="1:9" x14ac:dyDescent="0.25">
      <c r="A497" s="1">
        <v>41875</v>
      </c>
      <c r="B497" s="1">
        <v>41895</v>
      </c>
      <c r="C497" s="8">
        <v>11.37</v>
      </c>
      <c r="D497" s="8">
        <v>0.3</v>
      </c>
      <c r="E497">
        <v>2</v>
      </c>
      <c r="F497" s="10">
        <f>(WYNAJEM4[[#This Row],[data_wyjazdu]]-WYNAJEM4[[#This Row],[data_przyjazdu]])</f>
        <v>20</v>
      </c>
      <c r="G497" s="9">
        <f xml:space="preserve"> WYNAJEM4[[#This Row],[energia]] + WYNAJEM4[[#This Row],[woda]]</f>
        <v>11.67</v>
      </c>
      <c r="H497" s="8">
        <f xml:space="preserve"> (10 * WYNAJEM4[[#This Row],[typ]] * WYNAJEM4[[#This Row],[czas wynajecia domku]])</f>
        <v>400</v>
      </c>
      <c r="I497" s="9">
        <f xml:space="preserve"> WYNAJEM4[[#This Row],[suma energia i woda]] + WYNAJEM4[[#This Row],[czynsz]]</f>
        <v>411.67</v>
      </c>
    </row>
    <row r="498" spans="1:9" x14ac:dyDescent="0.25">
      <c r="A498" s="1">
        <v>41875</v>
      </c>
      <c r="B498" s="1">
        <v>41894</v>
      </c>
      <c r="C498" s="8">
        <v>11.44</v>
      </c>
      <c r="D498" s="8">
        <v>0.3</v>
      </c>
      <c r="E498">
        <v>2</v>
      </c>
      <c r="F498" s="10">
        <f>(WYNAJEM4[[#This Row],[data_wyjazdu]]-WYNAJEM4[[#This Row],[data_przyjazdu]])</f>
        <v>19</v>
      </c>
      <c r="G498" s="9">
        <f xml:space="preserve"> WYNAJEM4[[#This Row],[energia]] + WYNAJEM4[[#This Row],[woda]]</f>
        <v>11.74</v>
      </c>
      <c r="H498" s="8">
        <f xml:space="preserve"> (10 * WYNAJEM4[[#This Row],[typ]] * WYNAJEM4[[#This Row],[czas wynajecia domku]])</f>
        <v>380</v>
      </c>
      <c r="I498" s="9">
        <f xml:space="preserve"> WYNAJEM4[[#This Row],[suma energia i woda]] + WYNAJEM4[[#This Row],[czynsz]]</f>
        <v>391.74</v>
      </c>
    </row>
    <row r="499" spans="1:9" x14ac:dyDescent="0.25">
      <c r="A499" s="1">
        <v>41875</v>
      </c>
      <c r="B499" s="1">
        <v>41902</v>
      </c>
      <c r="C499" s="8">
        <v>8.65</v>
      </c>
      <c r="D499" s="8">
        <v>0.23</v>
      </c>
      <c r="E499">
        <v>4</v>
      </c>
      <c r="F499" s="10">
        <f>(WYNAJEM4[[#This Row],[data_wyjazdu]]-WYNAJEM4[[#This Row],[data_przyjazdu]])</f>
        <v>27</v>
      </c>
      <c r="G499" s="9">
        <f xml:space="preserve"> WYNAJEM4[[#This Row],[energia]] + WYNAJEM4[[#This Row],[woda]]</f>
        <v>8.8800000000000008</v>
      </c>
      <c r="H499" s="8">
        <f xml:space="preserve"> (10 * WYNAJEM4[[#This Row],[typ]] * WYNAJEM4[[#This Row],[czas wynajecia domku]])</f>
        <v>1080</v>
      </c>
      <c r="I499" s="9">
        <f xml:space="preserve"> WYNAJEM4[[#This Row],[suma energia i woda]] + WYNAJEM4[[#This Row],[czynsz]]</f>
        <v>1088.8800000000001</v>
      </c>
    </row>
    <row r="500" spans="1:9" x14ac:dyDescent="0.25">
      <c r="A500" s="1">
        <v>41876</v>
      </c>
      <c r="B500" s="1">
        <v>41886</v>
      </c>
      <c r="C500" s="8">
        <v>11.42</v>
      </c>
      <c r="D500" s="8">
        <v>0.3</v>
      </c>
      <c r="E500">
        <v>5</v>
      </c>
      <c r="F500" s="10">
        <f>(WYNAJEM4[[#This Row],[data_wyjazdu]]-WYNAJEM4[[#This Row],[data_przyjazdu]])</f>
        <v>10</v>
      </c>
      <c r="G500" s="9">
        <f xml:space="preserve"> WYNAJEM4[[#This Row],[energia]] + WYNAJEM4[[#This Row],[woda]]</f>
        <v>11.72</v>
      </c>
      <c r="H500" s="8">
        <f xml:space="preserve"> (10 * WYNAJEM4[[#This Row],[typ]] * WYNAJEM4[[#This Row],[czas wynajecia domku]])</f>
        <v>500</v>
      </c>
      <c r="I500" s="9">
        <f xml:space="preserve"> WYNAJEM4[[#This Row],[suma energia i woda]] + WYNAJEM4[[#This Row],[czynsz]]</f>
        <v>511.72</v>
      </c>
    </row>
    <row r="501" spans="1:9" x14ac:dyDescent="0.25">
      <c r="A501" s="1">
        <v>41876</v>
      </c>
      <c r="B501" s="1">
        <v>41886</v>
      </c>
      <c r="C501" s="8">
        <v>8.39</v>
      </c>
      <c r="D501" s="8">
        <v>0.22</v>
      </c>
      <c r="E501">
        <v>2</v>
      </c>
      <c r="F501" s="10">
        <f>(WYNAJEM4[[#This Row],[data_wyjazdu]]-WYNAJEM4[[#This Row],[data_przyjazdu]])</f>
        <v>10</v>
      </c>
      <c r="G501" s="9">
        <f xml:space="preserve"> WYNAJEM4[[#This Row],[energia]] + WYNAJEM4[[#This Row],[woda]]</f>
        <v>8.6100000000000012</v>
      </c>
      <c r="H501" s="8">
        <f xml:space="preserve"> (10 * WYNAJEM4[[#This Row],[typ]] * WYNAJEM4[[#This Row],[czas wynajecia domku]])</f>
        <v>200</v>
      </c>
      <c r="I501" s="9">
        <f xml:space="preserve"> WYNAJEM4[[#This Row],[suma energia i woda]] + WYNAJEM4[[#This Row],[czynsz]]</f>
        <v>208.61</v>
      </c>
    </row>
    <row r="502" spans="1:9" x14ac:dyDescent="0.25">
      <c r="A502" s="1">
        <v>41876</v>
      </c>
      <c r="B502" s="1">
        <v>41887</v>
      </c>
      <c r="C502" s="8">
        <v>9.74</v>
      </c>
      <c r="D502" s="8">
        <v>0.26</v>
      </c>
      <c r="E502">
        <v>4</v>
      </c>
      <c r="F502" s="10">
        <f>(WYNAJEM4[[#This Row],[data_wyjazdu]]-WYNAJEM4[[#This Row],[data_przyjazdu]])</f>
        <v>11</v>
      </c>
      <c r="G502" s="9">
        <f xml:space="preserve"> WYNAJEM4[[#This Row],[energia]] + WYNAJEM4[[#This Row],[woda]]</f>
        <v>10</v>
      </c>
      <c r="H502" s="8">
        <f xml:space="preserve"> (10 * WYNAJEM4[[#This Row],[typ]] * WYNAJEM4[[#This Row],[czas wynajecia domku]])</f>
        <v>440</v>
      </c>
      <c r="I502" s="9">
        <f xml:space="preserve"> WYNAJEM4[[#This Row],[suma energia i woda]] + WYNAJEM4[[#This Row],[czynsz]]</f>
        <v>450</v>
      </c>
    </row>
    <row r="503" spans="1:9" x14ac:dyDescent="0.25">
      <c r="A503" s="1">
        <v>41876</v>
      </c>
      <c r="B503" s="1">
        <v>41903</v>
      </c>
      <c r="C503" s="8">
        <v>5.23</v>
      </c>
      <c r="D503" s="8">
        <v>0.14000000000000001</v>
      </c>
      <c r="E503">
        <v>6</v>
      </c>
      <c r="F503" s="10">
        <f>(WYNAJEM4[[#This Row],[data_wyjazdu]]-WYNAJEM4[[#This Row],[data_przyjazdu]])</f>
        <v>27</v>
      </c>
      <c r="G503" s="9">
        <f xml:space="preserve"> WYNAJEM4[[#This Row],[energia]] + WYNAJEM4[[#This Row],[woda]]</f>
        <v>5.37</v>
      </c>
      <c r="H503" s="8">
        <f xml:space="preserve"> (10 * WYNAJEM4[[#This Row],[typ]] * WYNAJEM4[[#This Row],[czas wynajecia domku]])</f>
        <v>1620</v>
      </c>
      <c r="I503" s="9">
        <f xml:space="preserve"> WYNAJEM4[[#This Row],[suma energia i woda]] + WYNAJEM4[[#This Row],[czynsz]]</f>
        <v>1625.37</v>
      </c>
    </row>
    <row r="504" spans="1:9" x14ac:dyDescent="0.25">
      <c r="A504" s="1">
        <v>41876</v>
      </c>
      <c r="B504" s="1">
        <v>41894</v>
      </c>
      <c r="C504" s="8">
        <v>8.39</v>
      </c>
      <c r="D504" s="8">
        <v>0.22</v>
      </c>
      <c r="E504">
        <v>3</v>
      </c>
      <c r="F504" s="10">
        <f>(WYNAJEM4[[#This Row],[data_wyjazdu]]-WYNAJEM4[[#This Row],[data_przyjazdu]])</f>
        <v>18</v>
      </c>
      <c r="G504" s="9">
        <f xml:space="preserve"> WYNAJEM4[[#This Row],[energia]] + WYNAJEM4[[#This Row],[woda]]</f>
        <v>8.6100000000000012</v>
      </c>
      <c r="H504" s="8">
        <f xml:space="preserve"> (10 * WYNAJEM4[[#This Row],[typ]] * WYNAJEM4[[#This Row],[czas wynajecia domku]])</f>
        <v>540</v>
      </c>
      <c r="I504" s="9">
        <f xml:space="preserve"> WYNAJEM4[[#This Row],[suma energia i woda]] + WYNAJEM4[[#This Row],[czynsz]]</f>
        <v>548.61</v>
      </c>
    </row>
    <row r="505" spans="1:9" x14ac:dyDescent="0.25">
      <c r="A505" s="1">
        <v>41877</v>
      </c>
      <c r="B505" s="1">
        <v>41896</v>
      </c>
      <c r="C505" s="8">
        <v>5.23</v>
      </c>
      <c r="D505" s="8">
        <v>0.14000000000000001</v>
      </c>
      <c r="E505">
        <v>4</v>
      </c>
      <c r="F505" s="10">
        <f>(WYNAJEM4[[#This Row],[data_wyjazdu]]-WYNAJEM4[[#This Row],[data_przyjazdu]])</f>
        <v>19</v>
      </c>
      <c r="G505" s="9">
        <f xml:space="preserve"> WYNAJEM4[[#This Row],[energia]] + WYNAJEM4[[#This Row],[woda]]</f>
        <v>5.37</v>
      </c>
      <c r="H505" s="8">
        <f xml:space="preserve"> (10 * WYNAJEM4[[#This Row],[typ]] * WYNAJEM4[[#This Row],[czas wynajecia domku]])</f>
        <v>760</v>
      </c>
      <c r="I505" s="9">
        <f xml:space="preserve"> WYNAJEM4[[#This Row],[suma energia i woda]] + WYNAJEM4[[#This Row],[czynsz]]</f>
        <v>765.37</v>
      </c>
    </row>
    <row r="506" spans="1:9" x14ac:dyDescent="0.25">
      <c r="A506" s="1">
        <v>41878</v>
      </c>
      <c r="B506" s="1">
        <v>41884</v>
      </c>
      <c r="C506" s="8">
        <v>6.34</v>
      </c>
      <c r="D506" s="8">
        <v>0.17</v>
      </c>
      <c r="E506">
        <v>4</v>
      </c>
      <c r="F506" s="10">
        <f>(WYNAJEM4[[#This Row],[data_wyjazdu]]-WYNAJEM4[[#This Row],[data_przyjazdu]])</f>
        <v>6</v>
      </c>
      <c r="G506" s="9">
        <f xml:space="preserve"> WYNAJEM4[[#This Row],[energia]] + WYNAJEM4[[#This Row],[woda]]</f>
        <v>6.51</v>
      </c>
      <c r="H506" s="8">
        <f xml:space="preserve"> (10 * WYNAJEM4[[#This Row],[typ]] * WYNAJEM4[[#This Row],[czas wynajecia domku]])</f>
        <v>240</v>
      </c>
      <c r="I506" s="9">
        <f xml:space="preserve"> WYNAJEM4[[#This Row],[suma energia i woda]] + WYNAJEM4[[#This Row],[czynsz]]</f>
        <v>246.51</v>
      </c>
    </row>
    <row r="507" spans="1:9" x14ac:dyDescent="0.25">
      <c r="A507" s="1">
        <v>41881</v>
      </c>
      <c r="B507" s="1">
        <v>41908</v>
      </c>
      <c r="C507" s="8">
        <v>10.93</v>
      </c>
      <c r="D507" s="8">
        <v>0.28999999999999998</v>
      </c>
      <c r="E507">
        <v>4</v>
      </c>
      <c r="F507" s="10">
        <f>(WYNAJEM4[[#This Row],[data_wyjazdu]]-WYNAJEM4[[#This Row],[data_przyjazdu]])</f>
        <v>27</v>
      </c>
      <c r="G507" s="9">
        <f xml:space="preserve"> WYNAJEM4[[#This Row],[energia]] + WYNAJEM4[[#This Row],[woda]]</f>
        <v>11.219999999999999</v>
      </c>
      <c r="H507" s="8">
        <f xml:space="preserve"> (10 * WYNAJEM4[[#This Row],[typ]] * WYNAJEM4[[#This Row],[czas wynajecia domku]])</f>
        <v>1080</v>
      </c>
      <c r="I507" s="9">
        <f xml:space="preserve"> WYNAJEM4[[#This Row],[suma energia i woda]] + WYNAJEM4[[#This Row],[czynsz]]</f>
        <v>1091.22</v>
      </c>
    </row>
    <row r="508" spans="1:9" x14ac:dyDescent="0.25">
      <c r="A508" s="1">
        <v>41881</v>
      </c>
      <c r="B508" s="1">
        <v>41894</v>
      </c>
      <c r="C508" s="8">
        <v>8.89</v>
      </c>
      <c r="D508" s="8">
        <v>0.23</v>
      </c>
      <c r="E508">
        <v>2</v>
      </c>
      <c r="F508" s="10">
        <f>(WYNAJEM4[[#This Row],[data_wyjazdu]]-WYNAJEM4[[#This Row],[data_przyjazdu]])</f>
        <v>13</v>
      </c>
      <c r="G508" s="9">
        <f xml:space="preserve"> WYNAJEM4[[#This Row],[energia]] + WYNAJEM4[[#This Row],[woda]]</f>
        <v>9.120000000000001</v>
      </c>
      <c r="H508" s="8">
        <f xml:space="preserve"> (10 * WYNAJEM4[[#This Row],[typ]] * WYNAJEM4[[#This Row],[czas wynajecia domku]])</f>
        <v>260</v>
      </c>
      <c r="I508" s="9">
        <f xml:space="preserve"> WYNAJEM4[[#This Row],[suma energia i woda]] + WYNAJEM4[[#This Row],[czynsz]]</f>
        <v>269.12</v>
      </c>
    </row>
    <row r="509" spans="1:9" x14ac:dyDescent="0.25">
      <c r="A509" s="1">
        <v>41881</v>
      </c>
      <c r="B509" s="1">
        <v>41883</v>
      </c>
      <c r="C509" s="8">
        <v>5.57</v>
      </c>
      <c r="D509" s="8">
        <v>0.15</v>
      </c>
      <c r="E509">
        <v>2</v>
      </c>
      <c r="F509" s="10">
        <f>(WYNAJEM4[[#This Row],[data_wyjazdu]]-WYNAJEM4[[#This Row],[data_przyjazdu]])</f>
        <v>2</v>
      </c>
      <c r="G509" s="9">
        <f xml:space="preserve"> WYNAJEM4[[#This Row],[energia]] + WYNAJEM4[[#This Row],[woda]]</f>
        <v>5.7200000000000006</v>
      </c>
      <c r="H509" s="8">
        <f xml:space="preserve"> (10 * WYNAJEM4[[#This Row],[typ]] * WYNAJEM4[[#This Row],[czas wynajecia domku]])</f>
        <v>40</v>
      </c>
      <c r="I509" s="9">
        <f xml:space="preserve"> WYNAJEM4[[#This Row],[suma energia i woda]] + WYNAJEM4[[#This Row],[czynsz]]</f>
        <v>45.72</v>
      </c>
    </row>
    <row r="510" spans="1:9" x14ac:dyDescent="0.25">
      <c r="A510" s="1">
        <v>41881</v>
      </c>
      <c r="B510" s="1">
        <v>41907</v>
      </c>
      <c r="C510" s="8">
        <v>6.23</v>
      </c>
      <c r="D510" s="8">
        <v>0.16</v>
      </c>
      <c r="E510">
        <v>3</v>
      </c>
      <c r="F510" s="10">
        <f>(WYNAJEM4[[#This Row],[data_wyjazdu]]-WYNAJEM4[[#This Row],[data_przyjazdu]])</f>
        <v>26</v>
      </c>
      <c r="G510" s="9">
        <f xml:space="preserve"> WYNAJEM4[[#This Row],[energia]] + WYNAJEM4[[#This Row],[woda]]</f>
        <v>6.3900000000000006</v>
      </c>
      <c r="H510" s="8">
        <f xml:space="preserve"> (10 * WYNAJEM4[[#This Row],[typ]] * WYNAJEM4[[#This Row],[czas wynajecia domku]])</f>
        <v>780</v>
      </c>
      <c r="I510" s="9">
        <f xml:space="preserve"> WYNAJEM4[[#This Row],[suma energia i woda]] + WYNAJEM4[[#This Row],[czynsz]]</f>
        <v>786.39</v>
      </c>
    </row>
    <row r="511" spans="1:9" x14ac:dyDescent="0.25">
      <c r="A511" s="1">
        <v>41881</v>
      </c>
      <c r="B511" s="1">
        <v>41896</v>
      </c>
      <c r="C511" s="8">
        <v>11.42</v>
      </c>
      <c r="D511" s="8">
        <v>0.3</v>
      </c>
      <c r="E511">
        <v>4</v>
      </c>
      <c r="F511" s="10">
        <f>(WYNAJEM4[[#This Row],[data_wyjazdu]]-WYNAJEM4[[#This Row],[data_przyjazdu]])</f>
        <v>15</v>
      </c>
      <c r="G511" s="9">
        <f xml:space="preserve"> WYNAJEM4[[#This Row],[energia]] + WYNAJEM4[[#This Row],[woda]]</f>
        <v>11.72</v>
      </c>
      <c r="H511" s="8">
        <f xml:space="preserve"> (10 * WYNAJEM4[[#This Row],[typ]] * WYNAJEM4[[#This Row],[czas wynajecia domku]])</f>
        <v>600</v>
      </c>
      <c r="I511" s="9">
        <f xml:space="preserve"> WYNAJEM4[[#This Row],[suma energia i woda]] + WYNAJEM4[[#This Row],[czynsz]]</f>
        <v>611.72</v>
      </c>
    </row>
    <row r="512" spans="1:9" x14ac:dyDescent="0.25">
      <c r="A512" s="1">
        <v>41881</v>
      </c>
      <c r="B512" s="1">
        <v>41903</v>
      </c>
      <c r="C512" s="8">
        <v>16.940000000000001</v>
      </c>
      <c r="D512" s="8">
        <v>0.45</v>
      </c>
      <c r="E512">
        <v>3</v>
      </c>
      <c r="F512" s="10">
        <f>(WYNAJEM4[[#This Row],[data_wyjazdu]]-WYNAJEM4[[#This Row],[data_przyjazdu]])</f>
        <v>22</v>
      </c>
      <c r="G512" s="9">
        <f xml:space="preserve"> WYNAJEM4[[#This Row],[energia]] + WYNAJEM4[[#This Row],[woda]]</f>
        <v>17.39</v>
      </c>
      <c r="H512" s="8">
        <f xml:space="preserve"> (10 * WYNAJEM4[[#This Row],[typ]] * WYNAJEM4[[#This Row],[czas wynajecia domku]])</f>
        <v>660</v>
      </c>
      <c r="I512" s="9">
        <f xml:space="preserve"> WYNAJEM4[[#This Row],[suma energia i woda]] + WYNAJEM4[[#This Row],[czynsz]]</f>
        <v>677.39</v>
      </c>
    </row>
    <row r="513" spans="1:9" x14ac:dyDescent="0.25">
      <c r="A513" s="1">
        <v>41885</v>
      </c>
      <c r="B513" s="1">
        <v>41901</v>
      </c>
      <c r="C513" s="8">
        <v>7.06</v>
      </c>
      <c r="D513" s="8">
        <v>0.19</v>
      </c>
      <c r="E513">
        <v>4</v>
      </c>
      <c r="F513" s="10">
        <f>(WYNAJEM4[[#This Row],[data_wyjazdu]]-WYNAJEM4[[#This Row],[data_przyjazdu]])</f>
        <v>16</v>
      </c>
      <c r="G513" s="9">
        <f xml:space="preserve"> WYNAJEM4[[#This Row],[energia]] + WYNAJEM4[[#This Row],[woda]]</f>
        <v>7.25</v>
      </c>
      <c r="H513" s="8">
        <f xml:space="preserve"> (10 * WYNAJEM4[[#This Row],[typ]] * WYNAJEM4[[#This Row],[czas wynajecia domku]])</f>
        <v>640</v>
      </c>
      <c r="I513" s="9">
        <f xml:space="preserve"> WYNAJEM4[[#This Row],[suma energia i woda]] + WYNAJEM4[[#This Row],[czynsz]]</f>
        <v>647.25</v>
      </c>
    </row>
    <row r="514" spans="1:9" x14ac:dyDescent="0.25">
      <c r="A514" s="1">
        <v>41886</v>
      </c>
      <c r="B514" s="1">
        <v>41899</v>
      </c>
      <c r="C514" s="8">
        <v>5.64</v>
      </c>
      <c r="D514" s="8">
        <v>0.15</v>
      </c>
      <c r="E514">
        <v>4</v>
      </c>
      <c r="F514" s="10">
        <f>(WYNAJEM4[[#This Row],[data_wyjazdu]]-WYNAJEM4[[#This Row],[data_przyjazdu]])</f>
        <v>13</v>
      </c>
      <c r="G514" s="9">
        <f xml:space="preserve"> WYNAJEM4[[#This Row],[energia]] + WYNAJEM4[[#This Row],[woda]]</f>
        <v>5.79</v>
      </c>
      <c r="H514" s="8">
        <f xml:space="preserve"> (10 * WYNAJEM4[[#This Row],[typ]] * WYNAJEM4[[#This Row],[czas wynajecia domku]])</f>
        <v>520</v>
      </c>
      <c r="I514" s="9">
        <f xml:space="preserve"> WYNAJEM4[[#This Row],[suma energia i woda]] + WYNAJEM4[[#This Row],[czynsz]]</f>
        <v>525.79</v>
      </c>
    </row>
    <row r="515" spans="1:9" x14ac:dyDescent="0.25">
      <c r="A515" s="1">
        <v>41886</v>
      </c>
      <c r="B515" s="1">
        <v>41898</v>
      </c>
      <c r="C515" s="8">
        <v>7.3</v>
      </c>
      <c r="D515" s="8">
        <v>0.19</v>
      </c>
      <c r="E515">
        <v>3</v>
      </c>
      <c r="F515" s="10">
        <f>(WYNAJEM4[[#This Row],[data_wyjazdu]]-WYNAJEM4[[#This Row],[data_przyjazdu]])</f>
        <v>12</v>
      </c>
      <c r="G515" s="9">
        <f xml:space="preserve"> WYNAJEM4[[#This Row],[energia]] + WYNAJEM4[[#This Row],[woda]]</f>
        <v>7.49</v>
      </c>
      <c r="H515" s="8">
        <f xml:space="preserve"> (10 * WYNAJEM4[[#This Row],[typ]] * WYNAJEM4[[#This Row],[czas wynajecia domku]])</f>
        <v>360</v>
      </c>
      <c r="I515" s="9">
        <f xml:space="preserve"> WYNAJEM4[[#This Row],[suma energia i woda]] + WYNAJEM4[[#This Row],[czynsz]]</f>
        <v>367.49</v>
      </c>
    </row>
    <row r="516" spans="1:9" x14ac:dyDescent="0.25">
      <c r="A516" s="1">
        <v>41886</v>
      </c>
      <c r="B516" s="1">
        <v>41896</v>
      </c>
      <c r="C516" s="8">
        <v>7.06</v>
      </c>
      <c r="D516" s="8">
        <v>0.19</v>
      </c>
      <c r="E516">
        <v>3</v>
      </c>
      <c r="F516" s="10">
        <f>(WYNAJEM4[[#This Row],[data_wyjazdu]]-WYNAJEM4[[#This Row],[data_przyjazdu]])</f>
        <v>10</v>
      </c>
      <c r="G516" s="9">
        <f xml:space="preserve"> WYNAJEM4[[#This Row],[energia]] + WYNAJEM4[[#This Row],[woda]]</f>
        <v>7.25</v>
      </c>
      <c r="H516" s="8">
        <f xml:space="preserve"> (10 * WYNAJEM4[[#This Row],[typ]] * WYNAJEM4[[#This Row],[czas wynajecia domku]])</f>
        <v>300</v>
      </c>
      <c r="I516" s="9">
        <f xml:space="preserve"> WYNAJEM4[[#This Row],[suma energia i woda]] + WYNAJEM4[[#This Row],[czynsz]]</f>
        <v>307.25</v>
      </c>
    </row>
    <row r="517" spans="1:9" x14ac:dyDescent="0.25">
      <c r="A517" s="1">
        <v>41886</v>
      </c>
      <c r="B517" s="1">
        <v>41896</v>
      </c>
      <c r="C517" s="8">
        <v>5.64</v>
      </c>
      <c r="D517" s="8">
        <v>0.15</v>
      </c>
      <c r="E517">
        <v>5</v>
      </c>
      <c r="F517" s="10">
        <f>(WYNAJEM4[[#This Row],[data_wyjazdu]]-WYNAJEM4[[#This Row],[data_przyjazdu]])</f>
        <v>10</v>
      </c>
      <c r="G517" s="9">
        <f xml:space="preserve"> WYNAJEM4[[#This Row],[energia]] + WYNAJEM4[[#This Row],[woda]]</f>
        <v>5.79</v>
      </c>
      <c r="H517" s="8">
        <f xml:space="preserve"> (10 * WYNAJEM4[[#This Row],[typ]] * WYNAJEM4[[#This Row],[czas wynajecia domku]])</f>
        <v>500</v>
      </c>
      <c r="I517" s="9">
        <f xml:space="preserve"> WYNAJEM4[[#This Row],[suma energia i woda]] + WYNAJEM4[[#This Row],[czynsz]]</f>
        <v>505.79</v>
      </c>
    </row>
    <row r="518" spans="1:9" x14ac:dyDescent="0.25">
      <c r="A518" s="1">
        <v>41886</v>
      </c>
      <c r="B518" s="1">
        <v>41889</v>
      </c>
      <c r="C518" s="8">
        <v>3.73</v>
      </c>
      <c r="D518" s="8">
        <v>0.1</v>
      </c>
      <c r="E518">
        <v>6</v>
      </c>
      <c r="F518" s="10">
        <f>(WYNAJEM4[[#This Row],[data_wyjazdu]]-WYNAJEM4[[#This Row],[data_przyjazdu]])</f>
        <v>3</v>
      </c>
      <c r="G518" s="9">
        <f xml:space="preserve"> WYNAJEM4[[#This Row],[energia]] + WYNAJEM4[[#This Row],[woda]]</f>
        <v>3.83</v>
      </c>
      <c r="H518" s="8">
        <f xml:space="preserve"> (10 * WYNAJEM4[[#This Row],[typ]] * WYNAJEM4[[#This Row],[czas wynajecia domku]])</f>
        <v>180</v>
      </c>
      <c r="I518" s="9">
        <f xml:space="preserve"> WYNAJEM4[[#This Row],[suma energia i woda]] + WYNAJEM4[[#This Row],[czynsz]]</f>
        <v>183.83</v>
      </c>
    </row>
    <row r="519" spans="1:9" x14ac:dyDescent="0.25">
      <c r="A519" s="1">
        <v>41886</v>
      </c>
      <c r="B519" s="1">
        <v>41908</v>
      </c>
      <c r="C519" s="8">
        <v>13.81</v>
      </c>
      <c r="D519" s="8">
        <v>0.36</v>
      </c>
      <c r="E519">
        <v>6</v>
      </c>
      <c r="F519" s="10">
        <f>(WYNAJEM4[[#This Row],[data_wyjazdu]]-WYNAJEM4[[#This Row],[data_przyjazdu]])</f>
        <v>22</v>
      </c>
      <c r="G519" s="9">
        <f xml:space="preserve"> WYNAJEM4[[#This Row],[energia]] + WYNAJEM4[[#This Row],[woda]]</f>
        <v>14.17</v>
      </c>
      <c r="H519" s="8">
        <f xml:space="preserve"> (10 * WYNAJEM4[[#This Row],[typ]] * WYNAJEM4[[#This Row],[czas wynajecia domku]])</f>
        <v>1320</v>
      </c>
      <c r="I519" s="9">
        <f xml:space="preserve"> WYNAJEM4[[#This Row],[suma energia i woda]] + WYNAJEM4[[#This Row],[czynsz]]</f>
        <v>1334.17</v>
      </c>
    </row>
    <row r="520" spans="1:9" x14ac:dyDescent="0.25">
      <c r="A520" s="1">
        <v>41886</v>
      </c>
      <c r="B520" s="1">
        <v>41896</v>
      </c>
      <c r="C520" s="8">
        <v>5.47</v>
      </c>
      <c r="D520" s="8">
        <v>0.14000000000000001</v>
      </c>
      <c r="E520">
        <v>2</v>
      </c>
      <c r="F520" s="10">
        <f>(WYNAJEM4[[#This Row],[data_wyjazdu]]-WYNAJEM4[[#This Row],[data_przyjazdu]])</f>
        <v>10</v>
      </c>
      <c r="G520" s="9">
        <f xml:space="preserve"> WYNAJEM4[[#This Row],[energia]] + WYNAJEM4[[#This Row],[woda]]</f>
        <v>5.6099999999999994</v>
      </c>
      <c r="H520" s="8">
        <f xml:space="preserve"> (10 * WYNAJEM4[[#This Row],[typ]] * WYNAJEM4[[#This Row],[czas wynajecia domku]])</f>
        <v>200</v>
      </c>
      <c r="I520" s="9">
        <f xml:space="preserve"> WYNAJEM4[[#This Row],[suma energia i woda]] + WYNAJEM4[[#This Row],[czynsz]]</f>
        <v>205.61</v>
      </c>
    </row>
    <row r="521" spans="1:9" x14ac:dyDescent="0.25">
      <c r="A521" s="1">
        <v>41886</v>
      </c>
      <c r="B521" s="1">
        <v>41914</v>
      </c>
      <c r="C521" s="8">
        <v>7.31</v>
      </c>
      <c r="D521" s="8">
        <v>0.19</v>
      </c>
      <c r="E521">
        <v>6</v>
      </c>
      <c r="F521" s="10">
        <f>(WYNAJEM4[[#This Row],[data_wyjazdu]]-WYNAJEM4[[#This Row],[data_przyjazdu]])</f>
        <v>28</v>
      </c>
      <c r="G521" s="9">
        <f xml:space="preserve"> WYNAJEM4[[#This Row],[energia]] + WYNAJEM4[[#This Row],[woda]]</f>
        <v>7.5</v>
      </c>
      <c r="H521" s="8">
        <f xml:space="preserve"> (10 * WYNAJEM4[[#This Row],[typ]] * WYNAJEM4[[#This Row],[czas wynajecia domku]])</f>
        <v>1680</v>
      </c>
      <c r="I521" s="9">
        <f xml:space="preserve"> WYNAJEM4[[#This Row],[suma energia i woda]] + WYNAJEM4[[#This Row],[czynsz]]</f>
        <v>1687.5</v>
      </c>
    </row>
    <row r="522" spans="1:9" x14ac:dyDescent="0.25">
      <c r="A522" s="1">
        <v>41886</v>
      </c>
      <c r="B522" s="1">
        <v>41888</v>
      </c>
      <c r="C522" s="8">
        <v>3.73</v>
      </c>
      <c r="D522" s="8">
        <v>0.1</v>
      </c>
      <c r="E522">
        <v>3</v>
      </c>
      <c r="F522" s="10">
        <f>(WYNAJEM4[[#This Row],[data_wyjazdu]]-WYNAJEM4[[#This Row],[data_przyjazdu]])</f>
        <v>2</v>
      </c>
      <c r="G522" s="9">
        <f xml:space="preserve"> WYNAJEM4[[#This Row],[energia]] + WYNAJEM4[[#This Row],[woda]]</f>
        <v>3.83</v>
      </c>
      <c r="H522" s="8">
        <f xml:space="preserve"> (10 * WYNAJEM4[[#This Row],[typ]] * WYNAJEM4[[#This Row],[czas wynajecia domku]])</f>
        <v>60</v>
      </c>
      <c r="I522" s="9">
        <f xml:space="preserve"> WYNAJEM4[[#This Row],[suma energia i woda]] + WYNAJEM4[[#This Row],[czynsz]]</f>
        <v>63.83</v>
      </c>
    </row>
    <row r="523" spans="1:9" x14ac:dyDescent="0.25">
      <c r="A523" s="1">
        <v>41886</v>
      </c>
      <c r="B523" s="1">
        <v>41907</v>
      </c>
      <c r="C523" s="8">
        <v>8.39</v>
      </c>
      <c r="D523" s="8">
        <v>0.22</v>
      </c>
      <c r="E523">
        <v>4</v>
      </c>
      <c r="F523" s="10">
        <f>(WYNAJEM4[[#This Row],[data_wyjazdu]]-WYNAJEM4[[#This Row],[data_przyjazdu]])</f>
        <v>21</v>
      </c>
      <c r="G523" s="9">
        <f xml:space="preserve"> WYNAJEM4[[#This Row],[energia]] + WYNAJEM4[[#This Row],[woda]]</f>
        <v>8.6100000000000012</v>
      </c>
      <c r="H523" s="8">
        <f xml:space="preserve"> (10 * WYNAJEM4[[#This Row],[typ]] * WYNAJEM4[[#This Row],[czas wynajecia domku]])</f>
        <v>840</v>
      </c>
      <c r="I523" s="9">
        <f xml:space="preserve"> WYNAJEM4[[#This Row],[suma energia i woda]] + WYNAJEM4[[#This Row],[czynsz]]</f>
        <v>848.61</v>
      </c>
    </row>
    <row r="524" spans="1:9" x14ac:dyDescent="0.25">
      <c r="A524" s="1">
        <v>41886</v>
      </c>
      <c r="B524" s="1">
        <v>41897</v>
      </c>
      <c r="C524" s="8">
        <v>13.07</v>
      </c>
      <c r="D524" s="8">
        <v>0.34</v>
      </c>
      <c r="E524">
        <v>2</v>
      </c>
      <c r="F524" s="10">
        <f>(WYNAJEM4[[#This Row],[data_wyjazdu]]-WYNAJEM4[[#This Row],[data_przyjazdu]])</f>
        <v>11</v>
      </c>
      <c r="G524" s="9">
        <f xml:space="preserve"> WYNAJEM4[[#This Row],[energia]] + WYNAJEM4[[#This Row],[woda]]</f>
        <v>13.41</v>
      </c>
      <c r="H524" s="8">
        <f xml:space="preserve"> (10 * WYNAJEM4[[#This Row],[typ]] * WYNAJEM4[[#This Row],[czas wynajecia domku]])</f>
        <v>220</v>
      </c>
      <c r="I524" s="9">
        <f xml:space="preserve"> WYNAJEM4[[#This Row],[suma energia i woda]] + WYNAJEM4[[#This Row],[czynsz]]</f>
        <v>233.41</v>
      </c>
    </row>
    <row r="525" spans="1:9" x14ac:dyDescent="0.25">
      <c r="A525" s="1">
        <v>41886</v>
      </c>
      <c r="B525" s="1">
        <v>41891</v>
      </c>
      <c r="C525" s="8">
        <v>7.35</v>
      </c>
      <c r="D525" s="8">
        <v>0.19</v>
      </c>
      <c r="E525">
        <v>3</v>
      </c>
      <c r="F525" s="10">
        <f>(WYNAJEM4[[#This Row],[data_wyjazdu]]-WYNAJEM4[[#This Row],[data_przyjazdu]])</f>
        <v>5</v>
      </c>
      <c r="G525" s="9">
        <f xml:space="preserve"> WYNAJEM4[[#This Row],[energia]] + WYNAJEM4[[#This Row],[woda]]</f>
        <v>7.54</v>
      </c>
      <c r="H525" s="8">
        <f xml:space="preserve"> (10 * WYNAJEM4[[#This Row],[typ]] * WYNAJEM4[[#This Row],[czas wynajecia domku]])</f>
        <v>150</v>
      </c>
      <c r="I525" s="9">
        <f xml:space="preserve"> WYNAJEM4[[#This Row],[suma energia i woda]] + WYNAJEM4[[#This Row],[czynsz]]</f>
        <v>157.54</v>
      </c>
    </row>
    <row r="526" spans="1:9" x14ac:dyDescent="0.25">
      <c r="A526" s="1">
        <v>41886</v>
      </c>
      <c r="B526" s="1">
        <v>41896</v>
      </c>
      <c r="C526" s="8">
        <v>14.31</v>
      </c>
      <c r="D526" s="8">
        <v>0.38</v>
      </c>
      <c r="E526">
        <v>5</v>
      </c>
      <c r="F526" s="10">
        <f>(WYNAJEM4[[#This Row],[data_wyjazdu]]-WYNAJEM4[[#This Row],[data_przyjazdu]])</f>
        <v>10</v>
      </c>
      <c r="G526" s="9">
        <f xml:space="preserve"> WYNAJEM4[[#This Row],[energia]] + WYNAJEM4[[#This Row],[woda]]</f>
        <v>14.690000000000001</v>
      </c>
      <c r="H526" s="8">
        <f xml:space="preserve"> (10 * WYNAJEM4[[#This Row],[typ]] * WYNAJEM4[[#This Row],[czas wynajecia domku]])</f>
        <v>500</v>
      </c>
      <c r="I526" s="9">
        <f xml:space="preserve"> WYNAJEM4[[#This Row],[suma energia i woda]] + WYNAJEM4[[#This Row],[czynsz]]</f>
        <v>514.69000000000005</v>
      </c>
    </row>
    <row r="527" spans="1:9" x14ac:dyDescent="0.25">
      <c r="A527" s="1">
        <v>41886</v>
      </c>
      <c r="B527" s="1">
        <v>41914</v>
      </c>
      <c r="C527" s="8">
        <v>5.57</v>
      </c>
      <c r="D527" s="8">
        <v>0.15</v>
      </c>
      <c r="E527">
        <v>4</v>
      </c>
      <c r="F527" s="10">
        <f>(WYNAJEM4[[#This Row],[data_wyjazdu]]-WYNAJEM4[[#This Row],[data_przyjazdu]])</f>
        <v>28</v>
      </c>
      <c r="G527" s="9">
        <f xml:space="preserve"> WYNAJEM4[[#This Row],[energia]] + WYNAJEM4[[#This Row],[woda]]</f>
        <v>5.7200000000000006</v>
      </c>
      <c r="H527" s="8">
        <f xml:space="preserve"> (10 * WYNAJEM4[[#This Row],[typ]] * WYNAJEM4[[#This Row],[czas wynajecia domku]])</f>
        <v>1120</v>
      </c>
      <c r="I527" s="9">
        <f xml:space="preserve"> WYNAJEM4[[#This Row],[suma energia i woda]] + WYNAJEM4[[#This Row],[czynsz]]</f>
        <v>1125.72</v>
      </c>
    </row>
    <row r="528" spans="1:9" x14ac:dyDescent="0.25">
      <c r="A528" s="1">
        <v>41886</v>
      </c>
      <c r="B528" s="1">
        <v>41888</v>
      </c>
      <c r="C528" s="8">
        <v>5.23</v>
      </c>
      <c r="D528" s="8">
        <v>0.14000000000000001</v>
      </c>
      <c r="E528">
        <v>2</v>
      </c>
      <c r="F528" s="10">
        <f>(WYNAJEM4[[#This Row],[data_wyjazdu]]-WYNAJEM4[[#This Row],[data_przyjazdu]])</f>
        <v>2</v>
      </c>
      <c r="G528" s="9">
        <f xml:space="preserve"> WYNAJEM4[[#This Row],[energia]] + WYNAJEM4[[#This Row],[woda]]</f>
        <v>5.37</v>
      </c>
      <c r="H528" s="8">
        <f xml:space="preserve"> (10 * WYNAJEM4[[#This Row],[typ]] * WYNAJEM4[[#This Row],[czas wynajecia domku]])</f>
        <v>40</v>
      </c>
      <c r="I528" s="9">
        <f xml:space="preserve"> WYNAJEM4[[#This Row],[suma energia i woda]] + WYNAJEM4[[#This Row],[czynsz]]</f>
        <v>45.37</v>
      </c>
    </row>
    <row r="529" spans="1:9" x14ac:dyDescent="0.25">
      <c r="A529" s="1">
        <v>41886</v>
      </c>
      <c r="B529" s="1">
        <v>41900</v>
      </c>
      <c r="C529" s="8">
        <v>10.79</v>
      </c>
      <c r="D529" s="8">
        <v>0.28000000000000003</v>
      </c>
      <c r="E529">
        <v>4</v>
      </c>
      <c r="F529" s="10">
        <f>(WYNAJEM4[[#This Row],[data_wyjazdu]]-WYNAJEM4[[#This Row],[data_przyjazdu]])</f>
        <v>14</v>
      </c>
      <c r="G529" s="9">
        <f xml:space="preserve"> WYNAJEM4[[#This Row],[energia]] + WYNAJEM4[[#This Row],[woda]]</f>
        <v>11.069999999999999</v>
      </c>
      <c r="H529" s="8">
        <f xml:space="preserve"> (10 * WYNAJEM4[[#This Row],[typ]] * WYNAJEM4[[#This Row],[czas wynajecia domku]])</f>
        <v>560</v>
      </c>
      <c r="I529" s="9">
        <f xml:space="preserve"> WYNAJEM4[[#This Row],[suma energia i woda]] + WYNAJEM4[[#This Row],[czynsz]]</f>
        <v>571.07000000000005</v>
      </c>
    </row>
    <row r="530" spans="1:9" x14ac:dyDescent="0.25">
      <c r="A530" s="1">
        <v>41886</v>
      </c>
      <c r="B530" s="1">
        <v>41892</v>
      </c>
      <c r="C530" s="8">
        <v>2.72</v>
      </c>
      <c r="D530" s="8">
        <v>7.0000000000000007E-2</v>
      </c>
      <c r="E530">
        <v>2</v>
      </c>
      <c r="F530" s="10">
        <f>(WYNAJEM4[[#This Row],[data_wyjazdu]]-WYNAJEM4[[#This Row],[data_przyjazdu]])</f>
        <v>6</v>
      </c>
      <c r="G530" s="9">
        <f xml:space="preserve"> WYNAJEM4[[#This Row],[energia]] + WYNAJEM4[[#This Row],[woda]]</f>
        <v>2.79</v>
      </c>
      <c r="H530" s="8">
        <f xml:space="preserve"> (10 * WYNAJEM4[[#This Row],[typ]] * WYNAJEM4[[#This Row],[czas wynajecia domku]])</f>
        <v>120</v>
      </c>
      <c r="I530" s="9">
        <f xml:space="preserve"> WYNAJEM4[[#This Row],[suma energia i woda]] + WYNAJEM4[[#This Row],[czynsz]]</f>
        <v>122.79</v>
      </c>
    </row>
    <row r="531" spans="1:9" x14ac:dyDescent="0.25">
      <c r="A531" s="1">
        <v>41887</v>
      </c>
      <c r="B531" s="1">
        <v>41913</v>
      </c>
      <c r="C531" s="8">
        <v>7.55</v>
      </c>
      <c r="D531" s="8">
        <v>0.2</v>
      </c>
      <c r="E531">
        <v>3</v>
      </c>
      <c r="F531" s="10">
        <f>(WYNAJEM4[[#This Row],[data_wyjazdu]]-WYNAJEM4[[#This Row],[data_przyjazdu]])</f>
        <v>26</v>
      </c>
      <c r="G531" s="9">
        <f xml:space="preserve"> WYNAJEM4[[#This Row],[energia]] + WYNAJEM4[[#This Row],[woda]]</f>
        <v>7.75</v>
      </c>
      <c r="H531" s="8">
        <f xml:space="preserve"> (10 * WYNAJEM4[[#This Row],[typ]] * WYNAJEM4[[#This Row],[czas wynajecia domku]])</f>
        <v>780</v>
      </c>
      <c r="I531" s="9">
        <f xml:space="preserve"> WYNAJEM4[[#This Row],[suma energia i woda]] + WYNAJEM4[[#This Row],[czynsz]]</f>
        <v>787.75</v>
      </c>
    </row>
    <row r="532" spans="1:9" x14ac:dyDescent="0.25">
      <c r="A532" s="1">
        <v>41887</v>
      </c>
      <c r="B532" s="1">
        <v>41906</v>
      </c>
      <c r="C532" s="8">
        <v>6.43</v>
      </c>
      <c r="D532" s="8">
        <v>0.17</v>
      </c>
      <c r="E532">
        <v>2</v>
      </c>
      <c r="F532" s="10">
        <f>(WYNAJEM4[[#This Row],[data_wyjazdu]]-WYNAJEM4[[#This Row],[data_przyjazdu]])</f>
        <v>19</v>
      </c>
      <c r="G532" s="9">
        <f xml:space="preserve"> WYNAJEM4[[#This Row],[energia]] + WYNAJEM4[[#This Row],[woda]]</f>
        <v>6.6</v>
      </c>
      <c r="H532" s="8">
        <f xml:space="preserve"> (10 * WYNAJEM4[[#This Row],[typ]] * WYNAJEM4[[#This Row],[czas wynajecia domku]])</f>
        <v>380</v>
      </c>
      <c r="I532" s="9">
        <f xml:space="preserve"> WYNAJEM4[[#This Row],[suma energia i woda]] + WYNAJEM4[[#This Row],[czynsz]]</f>
        <v>386.6</v>
      </c>
    </row>
    <row r="533" spans="1:9" x14ac:dyDescent="0.25">
      <c r="A533" s="1">
        <v>41887</v>
      </c>
      <c r="B533" s="1">
        <v>41905</v>
      </c>
      <c r="C533" s="8">
        <v>3.88</v>
      </c>
      <c r="D533" s="8">
        <v>0.1</v>
      </c>
      <c r="E533">
        <v>6</v>
      </c>
      <c r="F533" s="10">
        <f>(WYNAJEM4[[#This Row],[data_wyjazdu]]-WYNAJEM4[[#This Row],[data_przyjazdu]])</f>
        <v>18</v>
      </c>
      <c r="G533" s="9">
        <f xml:space="preserve"> WYNAJEM4[[#This Row],[energia]] + WYNAJEM4[[#This Row],[woda]]</f>
        <v>3.98</v>
      </c>
      <c r="H533" s="8">
        <f xml:space="preserve"> (10 * WYNAJEM4[[#This Row],[typ]] * WYNAJEM4[[#This Row],[czas wynajecia domku]])</f>
        <v>1080</v>
      </c>
      <c r="I533" s="9">
        <f xml:space="preserve"> WYNAJEM4[[#This Row],[suma energia i woda]] + WYNAJEM4[[#This Row],[czynsz]]</f>
        <v>1083.98</v>
      </c>
    </row>
    <row r="534" spans="1:9" x14ac:dyDescent="0.25">
      <c r="A534" s="1">
        <v>41887</v>
      </c>
      <c r="B534" s="1">
        <v>41889</v>
      </c>
      <c r="C534" s="8">
        <v>5.67</v>
      </c>
      <c r="D534" s="8">
        <v>0.15</v>
      </c>
      <c r="E534">
        <v>4</v>
      </c>
      <c r="F534" s="10">
        <f>(WYNAJEM4[[#This Row],[data_wyjazdu]]-WYNAJEM4[[#This Row],[data_przyjazdu]])</f>
        <v>2</v>
      </c>
      <c r="G534" s="9">
        <f xml:space="preserve"> WYNAJEM4[[#This Row],[energia]] + WYNAJEM4[[#This Row],[woda]]</f>
        <v>5.82</v>
      </c>
      <c r="H534" s="8">
        <f xml:space="preserve"> (10 * WYNAJEM4[[#This Row],[typ]] * WYNAJEM4[[#This Row],[czas wynajecia domku]])</f>
        <v>80</v>
      </c>
      <c r="I534" s="9">
        <f xml:space="preserve"> WYNAJEM4[[#This Row],[suma energia i woda]] + WYNAJEM4[[#This Row],[czynsz]]</f>
        <v>85.82</v>
      </c>
    </row>
    <row r="535" spans="1:9" x14ac:dyDescent="0.25">
      <c r="A535" s="1">
        <v>41887</v>
      </c>
      <c r="B535" s="1">
        <v>41889</v>
      </c>
      <c r="C535" s="8">
        <v>12.01</v>
      </c>
      <c r="D535" s="8">
        <v>0.32</v>
      </c>
      <c r="E535">
        <v>4</v>
      </c>
      <c r="F535" s="10">
        <f>(WYNAJEM4[[#This Row],[data_wyjazdu]]-WYNAJEM4[[#This Row],[data_przyjazdu]])</f>
        <v>2</v>
      </c>
      <c r="G535" s="9">
        <f xml:space="preserve"> WYNAJEM4[[#This Row],[energia]] + WYNAJEM4[[#This Row],[woda]]</f>
        <v>12.33</v>
      </c>
      <c r="H535" s="8">
        <f xml:space="preserve"> (10 * WYNAJEM4[[#This Row],[typ]] * WYNAJEM4[[#This Row],[czas wynajecia domku]])</f>
        <v>80</v>
      </c>
      <c r="I535" s="9">
        <f xml:space="preserve"> WYNAJEM4[[#This Row],[suma energia i woda]] + WYNAJEM4[[#This Row],[czynsz]]</f>
        <v>92.33</v>
      </c>
    </row>
    <row r="536" spans="1:9" x14ac:dyDescent="0.25">
      <c r="A536" s="1">
        <v>41887</v>
      </c>
      <c r="B536" s="1">
        <v>41908</v>
      </c>
      <c r="C536" s="8">
        <v>6.58</v>
      </c>
      <c r="D536" s="8">
        <v>0.17</v>
      </c>
      <c r="E536">
        <v>6</v>
      </c>
      <c r="F536" s="10">
        <f>(WYNAJEM4[[#This Row],[data_wyjazdu]]-WYNAJEM4[[#This Row],[data_przyjazdu]])</f>
        <v>21</v>
      </c>
      <c r="G536" s="9">
        <f xml:space="preserve"> WYNAJEM4[[#This Row],[energia]] + WYNAJEM4[[#This Row],[woda]]</f>
        <v>6.75</v>
      </c>
      <c r="H536" s="8">
        <f xml:space="preserve"> (10 * WYNAJEM4[[#This Row],[typ]] * WYNAJEM4[[#This Row],[czas wynajecia domku]])</f>
        <v>1260</v>
      </c>
      <c r="I536" s="9">
        <f xml:space="preserve"> WYNAJEM4[[#This Row],[suma energia i woda]] + WYNAJEM4[[#This Row],[czynsz]]</f>
        <v>1266.75</v>
      </c>
    </row>
    <row r="537" spans="1:9" x14ac:dyDescent="0.25">
      <c r="A537" s="1">
        <v>41887</v>
      </c>
      <c r="B537" s="1">
        <v>41914</v>
      </c>
      <c r="C537" s="8">
        <v>3.79</v>
      </c>
      <c r="D537" s="8">
        <v>0.1</v>
      </c>
      <c r="E537">
        <v>3</v>
      </c>
      <c r="F537" s="10">
        <f>(WYNAJEM4[[#This Row],[data_wyjazdu]]-WYNAJEM4[[#This Row],[data_przyjazdu]])</f>
        <v>27</v>
      </c>
      <c r="G537" s="9">
        <f xml:space="preserve"> WYNAJEM4[[#This Row],[energia]] + WYNAJEM4[[#This Row],[woda]]</f>
        <v>3.89</v>
      </c>
      <c r="H537" s="8">
        <f xml:space="preserve"> (10 * WYNAJEM4[[#This Row],[typ]] * WYNAJEM4[[#This Row],[czas wynajecia domku]])</f>
        <v>810</v>
      </c>
      <c r="I537" s="9">
        <f xml:space="preserve"> WYNAJEM4[[#This Row],[suma energia i woda]] + WYNAJEM4[[#This Row],[czynsz]]</f>
        <v>813.89</v>
      </c>
    </row>
    <row r="538" spans="1:9" x14ac:dyDescent="0.25">
      <c r="A538" s="1">
        <v>41887</v>
      </c>
      <c r="B538" s="1">
        <v>41891</v>
      </c>
      <c r="C538" s="8">
        <v>8.83</v>
      </c>
      <c r="D538" s="8">
        <v>0.23</v>
      </c>
      <c r="E538">
        <v>2</v>
      </c>
      <c r="F538" s="10">
        <f>(WYNAJEM4[[#This Row],[data_wyjazdu]]-WYNAJEM4[[#This Row],[data_przyjazdu]])</f>
        <v>4</v>
      </c>
      <c r="G538" s="9">
        <f xml:space="preserve"> WYNAJEM4[[#This Row],[energia]] + WYNAJEM4[[#This Row],[woda]]</f>
        <v>9.06</v>
      </c>
      <c r="H538" s="8">
        <f xml:space="preserve"> (10 * WYNAJEM4[[#This Row],[typ]] * WYNAJEM4[[#This Row],[czas wynajecia domku]])</f>
        <v>80</v>
      </c>
      <c r="I538" s="9">
        <f xml:space="preserve"> WYNAJEM4[[#This Row],[suma energia i woda]] + WYNAJEM4[[#This Row],[czynsz]]</f>
        <v>89.06</v>
      </c>
    </row>
    <row r="539" spans="1:9" x14ac:dyDescent="0.25">
      <c r="A539" s="1">
        <v>41887</v>
      </c>
      <c r="B539" s="1">
        <v>41891</v>
      </c>
      <c r="C539" s="8">
        <v>14.31</v>
      </c>
      <c r="D539" s="8">
        <v>0.38</v>
      </c>
      <c r="E539">
        <v>3</v>
      </c>
      <c r="F539" s="10">
        <f>(WYNAJEM4[[#This Row],[data_wyjazdu]]-WYNAJEM4[[#This Row],[data_przyjazdu]])</f>
        <v>4</v>
      </c>
      <c r="G539" s="9">
        <f xml:space="preserve"> WYNAJEM4[[#This Row],[energia]] + WYNAJEM4[[#This Row],[woda]]</f>
        <v>14.690000000000001</v>
      </c>
      <c r="H539" s="8">
        <f xml:space="preserve"> (10 * WYNAJEM4[[#This Row],[typ]] * WYNAJEM4[[#This Row],[czas wynajecia domku]])</f>
        <v>120</v>
      </c>
      <c r="I539" s="9">
        <f xml:space="preserve"> WYNAJEM4[[#This Row],[suma energia i woda]] + WYNAJEM4[[#This Row],[czynsz]]</f>
        <v>134.69</v>
      </c>
    </row>
    <row r="540" spans="1:9" x14ac:dyDescent="0.25">
      <c r="A540" s="1">
        <v>41887</v>
      </c>
      <c r="B540" s="1">
        <v>41900</v>
      </c>
      <c r="C540" s="8">
        <v>5.47</v>
      </c>
      <c r="D540" s="8">
        <v>0.14000000000000001</v>
      </c>
      <c r="E540">
        <v>3</v>
      </c>
      <c r="F540" s="10">
        <f>(WYNAJEM4[[#This Row],[data_wyjazdu]]-WYNAJEM4[[#This Row],[data_przyjazdu]])</f>
        <v>13</v>
      </c>
      <c r="G540" s="9">
        <f xml:space="preserve"> WYNAJEM4[[#This Row],[energia]] + WYNAJEM4[[#This Row],[woda]]</f>
        <v>5.6099999999999994</v>
      </c>
      <c r="H540" s="8">
        <f xml:space="preserve"> (10 * WYNAJEM4[[#This Row],[typ]] * WYNAJEM4[[#This Row],[czas wynajecia domku]])</f>
        <v>390</v>
      </c>
      <c r="I540" s="9">
        <f xml:space="preserve"> WYNAJEM4[[#This Row],[suma energia i woda]] + WYNAJEM4[[#This Row],[czynsz]]</f>
        <v>395.61</v>
      </c>
    </row>
    <row r="541" spans="1:9" x14ac:dyDescent="0.25">
      <c r="A541" s="1">
        <v>41887</v>
      </c>
      <c r="B541" s="1">
        <v>41907</v>
      </c>
      <c r="C541" s="8">
        <v>8.9499999999999993</v>
      </c>
      <c r="D541" s="8">
        <v>0.24</v>
      </c>
      <c r="E541">
        <v>4</v>
      </c>
      <c r="F541" s="10">
        <f>(WYNAJEM4[[#This Row],[data_wyjazdu]]-WYNAJEM4[[#This Row],[data_przyjazdu]])</f>
        <v>20</v>
      </c>
      <c r="G541" s="9">
        <f xml:space="preserve"> WYNAJEM4[[#This Row],[energia]] + WYNAJEM4[[#This Row],[woda]]</f>
        <v>9.19</v>
      </c>
      <c r="H541" s="8">
        <f xml:space="preserve"> (10 * WYNAJEM4[[#This Row],[typ]] * WYNAJEM4[[#This Row],[czas wynajecia domku]])</f>
        <v>800</v>
      </c>
      <c r="I541" s="9">
        <f xml:space="preserve"> WYNAJEM4[[#This Row],[suma energia i woda]] + WYNAJEM4[[#This Row],[czynsz]]</f>
        <v>809.19</v>
      </c>
    </row>
    <row r="542" spans="1:9" x14ac:dyDescent="0.25">
      <c r="A542" s="1">
        <v>41887</v>
      </c>
      <c r="B542" s="1">
        <v>41912</v>
      </c>
      <c r="C542" s="8">
        <v>4.25</v>
      </c>
      <c r="D542" s="8">
        <v>0.11</v>
      </c>
      <c r="E542">
        <v>5</v>
      </c>
      <c r="F542" s="10">
        <f>(WYNAJEM4[[#This Row],[data_wyjazdu]]-WYNAJEM4[[#This Row],[data_przyjazdu]])</f>
        <v>25</v>
      </c>
      <c r="G542" s="9">
        <f xml:space="preserve"> WYNAJEM4[[#This Row],[energia]] + WYNAJEM4[[#This Row],[woda]]</f>
        <v>4.3600000000000003</v>
      </c>
      <c r="H542" s="8">
        <f xml:space="preserve"> (10 * WYNAJEM4[[#This Row],[typ]] * WYNAJEM4[[#This Row],[czas wynajecia domku]])</f>
        <v>1250</v>
      </c>
      <c r="I542" s="9">
        <f xml:space="preserve"> WYNAJEM4[[#This Row],[suma energia i woda]] + WYNAJEM4[[#This Row],[czynsz]]</f>
        <v>1254.3599999999999</v>
      </c>
    </row>
    <row r="543" spans="1:9" x14ac:dyDescent="0.25">
      <c r="A543" s="1">
        <v>41887</v>
      </c>
      <c r="B543" s="1">
        <v>41894</v>
      </c>
      <c r="C543" s="8">
        <v>6.88</v>
      </c>
      <c r="D543" s="8">
        <v>0.18</v>
      </c>
      <c r="E543">
        <v>5</v>
      </c>
      <c r="F543" s="10">
        <f>(WYNAJEM4[[#This Row],[data_wyjazdu]]-WYNAJEM4[[#This Row],[data_przyjazdu]])</f>
        <v>7</v>
      </c>
      <c r="G543" s="9">
        <f xml:space="preserve"> WYNAJEM4[[#This Row],[energia]] + WYNAJEM4[[#This Row],[woda]]</f>
        <v>7.06</v>
      </c>
      <c r="H543" s="8">
        <f xml:space="preserve"> (10 * WYNAJEM4[[#This Row],[typ]] * WYNAJEM4[[#This Row],[czas wynajecia domku]])</f>
        <v>350</v>
      </c>
      <c r="I543" s="9">
        <f xml:space="preserve"> WYNAJEM4[[#This Row],[suma energia i woda]] + WYNAJEM4[[#This Row],[czynsz]]</f>
        <v>357.06</v>
      </c>
    </row>
    <row r="544" spans="1:9" x14ac:dyDescent="0.25">
      <c r="A544" s="1">
        <v>41887</v>
      </c>
      <c r="B544" s="1">
        <v>41911</v>
      </c>
      <c r="C544" s="8">
        <v>8.89</v>
      </c>
      <c r="D544" s="8">
        <v>0.23</v>
      </c>
      <c r="E544">
        <v>3</v>
      </c>
      <c r="F544" s="10">
        <f>(WYNAJEM4[[#This Row],[data_wyjazdu]]-WYNAJEM4[[#This Row],[data_przyjazdu]])</f>
        <v>24</v>
      </c>
      <c r="G544" s="9">
        <f xml:space="preserve"> WYNAJEM4[[#This Row],[energia]] + WYNAJEM4[[#This Row],[woda]]</f>
        <v>9.120000000000001</v>
      </c>
      <c r="H544" s="8">
        <f xml:space="preserve"> (10 * WYNAJEM4[[#This Row],[typ]] * WYNAJEM4[[#This Row],[czas wynajecia domku]])</f>
        <v>720</v>
      </c>
      <c r="I544" s="9">
        <f xml:space="preserve"> WYNAJEM4[[#This Row],[suma energia i woda]] + WYNAJEM4[[#This Row],[czynsz]]</f>
        <v>729.12</v>
      </c>
    </row>
    <row r="545" spans="1:9" x14ac:dyDescent="0.25">
      <c r="A545" s="1">
        <v>41889</v>
      </c>
      <c r="B545" s="1">
        <v>41916</v>
      </c>
      <c r="C545" s="8">
        <v>6.43</v>
      </c>
      <c r="D545" s="8">
        <v>0.17</v>
      </c>
      <c r="E545">
        <v>5</v>
      </c>
      <c r="F545" s="10">
        <f>(WYNAJEM4[[#This Row],[data_wyjazdu]]-WYNAJEM4[[#This Row],[data_przyjazdu]])</f>
        <v>27</v>
      </c>
      <c r="G545" s="9">
        <f xml:space="preserve"> WYNAJEM4[[#This Row],[energia]] + WYNAJEM4[[#This Row],[woda]]</f>
        <v>6.6</v>
      </c>
      <c r="H545" s="8">
        <f xml:space="preserve"> (10 * WYNAJEM4[[#This Row],[typ]] * WYNAJEM4[[#This Row],[czas wynajecia domku]])</f>
        <v>1350</v>
      </c>
      <c r="I545" s="9">
        <f xml:space="preserve"> WYNAJEM4[[#This Row],[suma energia i woda]] + WYNAJEM4[[#This Row],[czynsz]]</f>
        <v>1356.6</v>
      </c>
    </row>
    <row r="546" spans="1:9" x14ac:dyDescent="0.25">
      <c r="A546" s="1">
        <v>41890</v>
      </c>
      <c r="B546" s="1">
        <v>41918</v>
      </c>
      <c r="C546" s="8">
        <v>6.58</v>
      </c>
      <c r="D546" s="8">
        <v>0.17</v>
      </c>
      <c r="E546">
        <v>5</v>
      </c>
      <c r="F546" s="10">
        <f>(WYNAJEM4[[#This Row],[data_wyjazdu]]-WYNAJEM4[[#This Row],[data_przyjazdu]])</f>
        <v>28</v>
      </c>
      <c r="G546" s="9">
        <f xml:space="preserve"> WYNAJEM4[[#This Row],[energia]] + WYNAJEM4[[#This Row],[woda]]</f>
        <v>6.75</v>
      </c>
      <c r="H546" s="8">
        <f xml:space="preserve"> (10 * WYNAJEM4[[#This Row],[typ]] * WYNAJEM4[[#This Row],[czas wynajecia domku]])</f>
        <v>1400</v>
      </c>
      <c r="I546" s="9">
        <f xml:space="preserve"> WYNAJEM4[[#This Row],[suma energia i woda]] + WYNAJEM4[[#This Row],[czynsz]]</f>
        <v>1406.75</v>
      </c>
    </row>
    <row r="547" spans="1:9" x14ac:dyDescent="0.25">
      <c r="A547" s="1">
        <v>41890</v>
      </c>
      <c r="B547" s="1">
        <v>41898</v>
      </c>
      <c r="C547" s="8">
        <v>5.67</v>
      </c>
      <c r="D547" s="8">
        <v>0.15</v>
      </c>
      <c r="E547">
        <v>2</v>
      </c>
      <c r="F547" s="10">
        <f>(WYNAJEM4[[#This Row],[data_wyjazdu]]-WYNAJEM4[[#This Row],[data_przyjazdu]])</f>
        <v>8</v>
      </c>
      <c r="G547" s="9">
        <f xml:space="preserve"> WYNAJEM4[[#This Row],[energia]] + WYNAJEM4[[#This Row],[woda]]</f>
        <v>5.82</v>
      </c>
      <c r="H547" s="8">
        <f xml:space="preserve"> (10 * WYNAJEM4[[#This Row],[typ]] * WYNAJEM4[[#This Row],[czas wynajecia domku]])</f>
        <v>160</v>
      </c>
      <c r="I547" s="9">
        <f xml:space="preserve"> WYNAJEM4[[#This Row],[suma energia i woda]] + WYNAJEM4[[#This Row],[czynsz]]</f>
        <v>165.82</v>
      </c>
    </row>
    <row r="548" spans="1:9" x14ac:dyDescent="0.25">
      <c r="A548" s="1">
        <v>41890</v>
      </c>
      <c r="B548" s="1">
        <v>41912</v>
      </c>
      <c r="C548" s="8">
        <v>3.57</v>
      </c>
      <c r="D548" s="8">
        <v>0.09</v>
      </c>
      <c r="E548">
        <v>3</v>
      </c>
      <c r="F548" s="10">
        <f>(WYNAJEM4[[#This Row],[data_wyjazdu]]-WYNAJEM4[[#This Row],[data_przyjazdu]])</f>
        <v>22</v>
      </c>
      <c r="G548" s="9">
        <f xml:space="preserve"> WYNAJEM4[[#This Row],[energia]] + WYNAJEM4[[#This Row],[woda]]</f>
        <v>3.6599999999999997</v>
      </c>
      <c r="H548" s="8">
        <f xml:space="preserve"> (10 * WYNAJEM4[[#This Row],[typ]] * WYNAJEM4[[#This Row],[czas wynajecia domku]])</f>
        <v>660</v>
      </c>
      <c r="I548" s="9">
        <f xml:space="preserve"> WYNAJEM4[[#This Row],[suma energia i woda]] + WYNAJEM4[[#This Row],[czynsz]]</f>
        <v>663.66</v>
      </c>
    </row>
    <row r="549" spans="1:9" x14ac:dyDescent="0.25">
      <c r="A549" s="1">
        <v>41890</v>
      </c>
      <c r="B549" s="1">
        <v>41895</v>
      </c>
      <c r="C549" s="8">
        <v>3.73</v>
      </c>
      <c r="D549" s="8">
        <v>0.1</v>
      </c>
      <c r="E549">
        <v>3</v>
      </c>
      <c r="F549" s="10">
        <f>(WYNAJEM4[[#This Row],[data_wyjazdu]]-WYNAJEM4[[#This Row],[data_przyjazdu]])</f>
        <v>5</v>
      </c>
      <c r="G549" s="9">
        <f xml:space="preserve"> WYNAJEM4[[#This Row],[energia]] + WYNAJEM4[[#This Row],[woda]]</f>
        <v>3.83</v>
      </c>
      <c r="H549" s="8">
        <f xml:space="preserve"> (10 * WYNAJEM4[[#This Row],[typ]] * WYNAJEM4[[#This Row],[czas wynajecia domku]])</f>
        <v>150</v>
      </c>
      <c r="I549" s="9">
        <f xml:space="preserve"> WYNAJEM4[[#This Row],[suma energia i woda]] + WYNAJEM4[[#This Row],[czynsz]]</f>
        <v>153.83000000000001</v>
      </c>
    </row>
    <row r="550" spans="1:9" x14ac:dyDescent="0.25">
      <c r="A550" s="1">
        <v>41893</v>
      </c>
      <c r="B550" s="1">
        <v>41900</v>
      </c>
      <c r="C550" s="8">
        <v>8.5399999999999991</v>
      </c>
      <c r="D550" s="8">
        <v>0.22</v>
      </c>
      <c r="E550">
        <v>4</v>
      </c>
      <c r="F550" s="10">
        <f>(WYNAJEM4[[#This Row],[data_wyjazdu]]-WYNAJEM4[[#This Row],[data_przyjazdu]])</f>
        <v>7</v>
      </c>
      <c r="G550" s="9">
        <f xml:space="preserve"> WYNAJEM4[[#This Row],[energia]] + WYNAJEM4[[#This Row],[woda]]</f>
        <v>8.76</v>
      </c>
      <c r="H550" s="8">
        <f xml:space="preserve"> (10 * WYNAJEM4[[#This Row],[typ]] * WYNAJEM4[[#This Row],[czas wynajecia domku]])</f>
        <v>280</v>
      </c>
      <c r="I550" s="9">
        <f xml:space="preserve"> WYNAJEM4[[#This Row],[suma energia i woda]] + WYNAJEM4[[#This Row],[czynsz]]</f>
        <v>288.76</v>
      </c>
    </row>
    <row r="551" spans="1:9" x14ac:dyDescent="0.25">
      <c r="A551" s="1">
        <v>41893</v>
      </c>
      <c r="B551" s="1">
        <v>41898</v>
      </c>
      <c r="C551" s="8">
        <v>16.829999999999998</v>
      </c>
      <c r="D551" s="8">
        <v>0.44</v>
      </c>
      <c r="E551">
        <v>3</v>
      </c>
      <c r="F551" s="10">
        <f>(WYNAJEM4[[#This Row],[data_wyjazdu]]-WYNAJEM4[[#This Row],[data_przyjazdu]])</f>
        <v>5</v>
      </c>
      <c r="G551" s="9">
        <f xml:space="preserve"> WYNAJEM4[[#This Row],[energia]] + WYNAJEM4[[#This Row],[woda]]</f>
        <v>17.27</v>
      </c>
      <c r="H551" s="8">
        <f xml:space="preserve"> (10 * WYNAJEM4[[#This Row],[typ]] * WYNAJEM4[[#This Row],[czas wynajecia domku]])</f>
        <v>150</v>
      </c>
      <c r="I551" s="9">
        <f xml:space="preserve"> WYNAJEM4[[#This Row],[suma energia i woda]] + WYNAJEM4[[#This Row],[czynsz]]</f>
        <v>167.27</v>
      </c>
    </row>
    <row r="552" spans="1:9" x14ac:dyDescent="0.25">
      <c r="A552" s="1">
        <v>41893</v>
      </c>
      <c r="B552" s="1">
        <v>41918</v>
      </c>
      <c r="C552" s="8">
        <v>11.42</v>
      </c>
      <c r="D552" s="8">
        <v>0.3</v>
      </c>
      <c r="E552">
        <v>6</v>
      </c>
      <c r="F552" s="10">
        <f>(WYNAJEM4[[#This Row],[data_wyjazdu]]-WYNAJEM4[[#This Row],[data_przyjazdu]])</f>
        <v>25</v>
      </c>
      <c r="G552" s="9">
        <f xml:space="preserve"> WYNAJEM4[[#This Row],[energia]] + WYNAJEM4[[#This Row],[woda]]</f>
        <v>11.72</v>
      </c>
      <c r="H552" s="8">
        <f xml:space="preserve"> (10 * WYNAJEM4[[#This Row],[typ]] * WYNAJEM4[[#This Row],[czas wynajecia domku]])</f>
        <v>1500</v>
      </c>
      <c r="I552" s="9">
        <f xml:space="preserve"> WYNAJEM4[[#This Row],[suma energia i woda]] + WYNAJEM4[[#This Row],[czynsz]]</f>
        <v>1511.72</v>
      </c>
    </row>
    <row r="553" spans="1:9" x14ac:dyDescent="0.25">
      <c r="A553" s="1">
        <v>41893</v>
      </c>
      <c r="B553" s="1">
        <v>41899</v>
      </c>
      <c r="C553" s="8">
        <v>8.84</v>
      </c>
      <c r="D553" s="8">
        <v>0.23</v>
      </c>
      <c r="E553">
        <v>2</v>
      </c>
      <c r="F553" s="10">
        <f>(WYNAJEM4[[#This Row],[data_wyjazdu]]-WYNAJEM4[[#This Row],[data_przyjazdu]])</f>
        <v>6</v>
      </c>
      <c r="G553" s="9">
        <f xml:space="preserve"> WYNAJEM4[[#This Row],[energia]] + WYNAJEM4[[#This Row],[woda]]</f>
        <v>9.07</v>
      </c>
      <c r="H553" s="8">
        <f xml:space="preserve"> (10 * WYNAJEM4[[#This Row],[typ]] * WYNAJEM4[[#This Row],[czas wynajecia domku]])</f>
        <v>120</v>
      </c>
      <c r="I553" s="9">
        <f xml:space="preserve"> WYNAJEM4[[#This Row],[suma energia i woda]] + WYNAJEM4[[#This Row],[czynsz]]</f>
        <v>129.07</v>
      </c>
    </row>
    <row r="554" spans="1:9" x14ac:dyDescent="0.25">
      <c r="A554" s="1">
        <v>41893</v>
      </c>
      <c r="B554" s="1">
        <v>41906</v>
      </c>
      <c r="C554" s="8">
        <v>6.75</v>
      </c>
      <c r="D554" s="8">
        <v>0.18</v>
      </c>
      <c r="E554">
        <v>6</v>
      </c>
      <c r="F554" s="10">
        <f>(WYNAJEM4[[#This Row],[data_wyjazdu]]-WYNAJEM4[[#This Row],[data_przyjazdu]])</f>
        <v>13</v>
      </c>
      <c r="G554" s="9">
        <f xml:space="preserve"> WYNAJEM4[[#This Row],[energia]] + WYNAJEM4[[#This Row],[woda]]</f>
        <v>6.93</v>
      </c>
      <c r="H554" s="8">
        <f xml:space="preserve"> (10 * WYNAJEM4[[#This Row],[typ]] * WYNAJEM4[[#This Row],[czas wynajecia domku]])</f>
        <v>780</v>
      </c>
      <c r="I554" s="9">
        <f xml:space="preserve"> WYNAJEM4[[#This Row],[suma energia i woda]] + WYNAJEM4[[#This Row],[czynsz]]</f>
        <v>786.93</v>
      </c>
    </row>
    <row r="555" spans="1:9" x14ac:dyDescent="0.25">
      <c r="A555" s="1">
        <v>41893</v>
      </c>
      <c r="B555" s="1">
        <v>41919</v>
      </c>
      <c r="C555" s="8">
        <v>7.35</v>
      </c>
      <c r="D555" s="8">
        <v>0.19</v>
      </c>
      <c r="E555">
        <v>5</v>
      </c>
      <c r="F555" s="10">
        <f>(WYNAJEM4[[#This Row],[data_wyjazdu]]-WYNAJEM4[[#This Row],[data_przyjazdu]])</f>
        <v>26</v>
      </c>
      <c r="G555" s="9">
        <f xml:space="preserve"> WYNAJEM4[[#This Row],[energia]] + WYNAJEM4[[#This Row],[woda]]</f>
        <v>7.54</v>
      </c>
      <c r="H555" s="8">
        <f xml:space="preserve"> (10 * WYNAJEM4[[#This Row],[typ]] * WYNAJEM4[[#This Row],[czas wynajecia domku]])</f>
        <v>1300</v>
      </c>
      <c r="I555" s="9">
        <f xml:space="preserve"> WYNAJEM4[[#This Row],[suma energia i woda]] + WYNAJEM4[[#This Row],[czynsz]]</f>
        <v>1307.54</v>
      </c>
    </row>
    <row r="556" spans="1:9" x14ac:dyDescent="0.25">
      <c r="A556" s="1">
        <v>41897</v>
      </c>
      <c r="B556" s="1">
        <v>41921</v>
      </c>
      <c r="C556" s="8">
        <v>3.57</v>
      </c>
      <c r="D556" s="8">
        <v>0.09</v>
      </c>
      <c r="E556">
        <v>4</v>
      </c>
      <c r="F556" s="10">
        <f>(WYNAJEM4[[#This Row],[data_wyjazdu]]-WYNAJEM4[[#This Row],[data_przyjazdu]])</f>
        <v>24</v>
      </c>
      <c r="G556" s="9">
        <f xml:space="preserve"> WYNAJEM4[[#This Row],[energia]] + WYNAJEM4[[#This Row],[woda]]</f>
        <v>3.6599999999999997</v>
      </c>
      <c r="H556" s="8">
        <f xml:space="preserve"> (10 * WYNAJEM4[[#This Row],[typ]] * WYNAJEM4[[#This Row],[czas wynajecia domku]])</f>
        <v>960</v>
      </c>
      <c r="I556" s="9">
        <f xml:space="preserve"> WYNAJEM4[[#This Row],[suma energia i woda]] + WYNAJEM4[[#This Row],[czynsz]]</f>
        <v>963.66</v>
      </c>
    </row>
    <row r="557" spans="1:9" x14ac:dyDescent="0.25">
      <c r="A557" s="1">
        <v>41897</v>
      </c>
      <c r="B557" s="1">
        <v>41905</v>
      </c>
      <c r="C557" s="8">
        <v>9.06</v>
      </c>
      <c r="D557" s="8">
        <v>0.24</v>
      </c>
      <c r="E557">
        <v>5</v>
      </c>
      <c r="F557" s="10">
        <f>(WYNAJEM4[[#This Row],[data_wyjazdu]]-WYNAJEM4[[#This Row],[data_przyjazdu]])</f>
        <v>8</v>
      </c>
      <c r="G557" s="9">
        <f xml:space="preserve"> WYNAJEM4[[#This Row],[energia]] + WYNAJEM4[[#This Row],[woda]]</f>
        <v>9.3000000000000007</v>
      </c>
      <c r="H557" s="8">
        <f xml:space="preserve"> (10 * WYNAJEM4[[#This Row],[typ]] * WYNAJEM4[[#This Row],[czas wynajecia domku]])</f>
        <v>400</v>
      </c>
      <c r="I557" s="9">
        <f xml:space="preserve"> WYNAJEM4[[#This Row],[suma energia i woda]] + WYNAJEM4[[#This Row],[czynsz]]</f>
        <v>409.3</v>
      </c>
    </row>
    <row r="558" spans="1:9" x14ac:dyDescent="0.25">
      <c r="A558" s="1">
        <v>41898</v>
      </c>
      <c r="B558" s="1">
        <v>41906</v>
      </c>
      <c r="C558" s="8">
        <v>9.4600000000000009</v>
      </c>
      <c r="D558" s="8">
        <v>0.25</v>
      </c>
      <c r="E558">
        <v>4</v>
      </c>
      <c r="F558" s="10">
        <f>(WYNAJEM4[[#This Row],[data_wyjazdu]]-WYNAJEM4[[#This Row],[data_przyjazdu]])</f>
        <v>8</v>
      </c>
      <c r="G558" s="9">
        <f xml:space="preserve"> WYNAJEM4[[#This Row],[energia]] + WYNAJEM4[[#This Row],[woda]]</f>
        <v>9.7100000000000009</v>
      </c>
      <c r="H558" s="8">
        <f xml:space="preserve"> (10 * WYNAJEM4[[#This Row],[typ]] * WYNAJEM4[[#This Row],[czas wynajecia domku]])</f>
        <v>320</v>
      </c>
      <c r="I558" s="9">
        <f xml:space="preserve"> WYNAJEM4[[#This Row],[suma energia i woda]] + WYNAJEM4[[#This Row],[czynsz]]</f>
        <v>329.71</v>
      </c>
    </row>
    <row r="559" spans="1:9" x14ac:dyDescent="0.25">
      <c r="A559" s="1">
        <v>41898</v>
      </c>
      <c r="B559" s="1">
        <v>41924</v>
      </c>
      <c r="C559" s="8">
        <v>8.9499999999999993</v>
      </c>
      <c r="D559" s="8">
        <v>0.24</v>
      </c>
      <c r="E559">
        <v>5</v>
      </c>
      <c r="F559" s="10">
        <f>(WYNAJEM4[[#This Row],[data_wyjazdu]]-WYNAJEM4[[#This Row],[data_przyjazdu]])</f>
        <v>26</v>
      </c>
      <c r="G559" s="9">
        <f xml:space="preserve"> WYNAJEM4[[#This Row],[energia]] + WYNAJEM4[[#This Row],[woda]]</f>
        <v>9.19</v>
      </c>
      <c r="H559" s="8">
        <f xml:space="preserve"> (10 * WYNAJEM4[[#This Row],[typ]] * WYNAJEM4[[#This Row],[czas wynajecia domku]])</f>
        <v>1300</v>
      </c>
      <c r="I559" s="9">
        <f xml:space="preserve"> WYNAJEM4[[#This Row],[suma energia i woda]] + WYNAJEM4[[#This Row],[czynsz]]</f>
        <v>1309.19</v>
      </c>
    </row>
    <row r="560" spans="1:9" x14ac:dyDescent="0.25">
      <c r="A560" s="1">
        <v>41898</v>
      </c>
      <c r="B560" s="1">
        <v>41923</v>
      </c>
      <c r="C560" s="8">
        <v>9.06</v>
      </c>
      <c r="D560" s="8">
        <v>0.24</v>
      </c>
      <c r="E560">
        <v>2</v>
      </c>
      <c r="F560" s="10">
        <f>(WYNAJEM4[[#This Row],[data_wyjazdu]]-WYNAJEM4[[#This Row],[data_przyjazdu]])</f>
        <v>25</v>
      </c>
      <c r="G560" s="9">
        <f xml:space="preserve"> WYNAJEM4[[#This Row],[energia]] + WYNAJEM4[[#This Row],[woda]]</f>
        <v>9.3000000000000007</v>
      </c>
      <c r="H560" s="8">
        <f xml:space="preserve"> (10 * WYNAJEM4[[#This Row],[typ]] * WYNAJEM4[[#This Row],[czas wynajecia domku]])</f>
        <v>500</v>
      </c>
      <c r="I560" s="9">
        <f xml:space="preserve"> WYNAJEM4[[#This Row],[suma energia i woda]] + WYNAJEM4[[#This Row],[czynsz]]</f>
        <v>509.3</v>
      </c>
    </row>
    <row r="561" spans="1:9" x14ac:dyDescent="0.25">
      <c r="A561" s="1">
        <v>41898</v>
      </c>
      <c r="B561" s="1">
        <v>41904</v>
      </c>
      <c r="C561" s="8">
        <v>6.88</v>
      </c>
      <c r="D561" s="8">
        <v>0.18</v>
      </c>
      <c r="E561">
        <v>3</v>
      </c>
      <c r="F561" s="10">
        <f>(WYNAJEM4[[#This Row],[data_wyjazdu]]-WYNAJEM4[[#This Row],[data_przyjazdu]])</f>
        <v>6</v>
      </c>
      <c r="G561" s="9">
        <f xml:space="preserve"> WYNAJEM4[[#This Row],[energia]] + WYNAJEM4[[#This Row],[woda]]</f>
        <v>7.06</v>
      </c>
      <c r="H561" s="8">
        <f xml:space="preserve"> (10 * WYNAJEM4[[#This Row],[typ]] * WYNAJEM4[[#This Row],[czas wynajecia domku]])</f>
        <v>180</v>
      </c>
      <c r="I561" s="9">
        <f xml:space="preserve"> WYNAJEM4[[#This Row],[suma energia i woda]] + WYNAJEM4[[#This Row],[czynsz]]</f>
        <v>187.06</v>
      </c>
    </row>
    <row r="562" spans="1:9" x14ac:dyDescent="0.25">
      <c r="A562" s="1">
        <v>41898</v>
      </c>
      <c r="B562" s="1">
        <v>41917</v>
      </c>
      <c r="C562" s="8">
        <v>9.1300000000000008</v>
      </c>
      <c r="D562" s="8">
        <v>0.24</v>
      </c>
      <c r="E562">
        <v>4</v>
      </c>
      <c r="F562" s="10">
        <f>(WYNAJEM4[[#This Row],[data_wyjazdu]]-WYNAJEM4[[#This Row],[data_przyjazdu]])</f>
        <v>19</v>
      </c>
      <c r="G562" s="9">
        <f xml:space="preserve"> WYNAJEM4[[#This Row],[energia]] + WYNAJEM4[[#This Row],[woda]]</f>
        <v>9.370000000000001</v>
      </c>
      <c r="H562" s="8">
        <f xml:space="preserve"> (10 * WYNAJEM4[[#This Row],[typ]] * WYNAJEM4[[#This Row],[czas wynajecia domku]])</f>
        <v>760</v>
      </c>
      <c r="I562" s="9">
        <f xml:space="preserve"> WYNAJEM4[[#This Row],[suma energia i woda]] + WYNAJEM4[[#This Row],[czynsz]]</f>
        <v>769.37</v>
      </c>
    </row>
    <row r="563" spans="1:9" x14ac:dyDescent="0.25">
      <c r="A563" s="1">
        <v>41898</v>
      </c>
      <c r="B563" s="1">
        <v>41924</v>
      </c>
      <c r="C563" s="8">
        <v>12.01</v>
      </c>
      <c r="D563" s="8">
        <v>0.32</v>
      </c>
      <c r="E563">
        <v>3</v>
      </c>
      <c r="F563" s="10">
        <f>(WYNAJEM4[[#This Row],[data_wyjazdu]]-WYNAJEM4[[#This Row],[data_przyjazdu]])</f>
        <v>26</v>
      </c>
      <c r="G563" s="9">
        <f xml:space="preserve"> WYNAJEM4[[#This Row],[energia]] + WYNAJEM4[[#This Row],[woda]]</f>
        <v>12.33</v>
      </c>
      <c r="H563" s="8">
        <f xml:space="preserve"> (10 * WYNAJEM4[[#This Row],[typ]] * WYNAJEM4[[#This Row],[czas wynajecia domku]])</f>
        <v>780</v>
      </c>
      <c r="I563" s="9">
        <f xml:space="preserve"> WYNAJEM4[[#This Row],[suma energia i woda]] + WYNAJEM4[[#This Row],[czynsz]]</f>
        <v>792.33</v>
      </c>
    </row>
    <row r="564" spans="1:9" x14ac:dyDescent="0.25">
      <c r="A564" s="1">
        <v>41898</v>
      </c>
      <c r="B564" s="1">
        <v>41920</v>
      </c>
      <c r="C564" s="8">
        <v>19.54</v>
      </c>
      <c r="D564" s="8">
        <v>0.51</v>
      </c>
      <c r="E564">
        <v>5</v>
      </c>
      <c r="F564" s="10">
        <f>(WYNAJEM4[[#This Row],[data_wyjazdu]]-WYNAJEM4[[#This Row],[data_przyjazdu]])</f>
        <v>22</v>
      </c>
      <c r="G564" s="9">
        <f xml:space="preserve"> WYNAJEM4[[#This Row],[energia]] + WYNAJEM4[[#This Row],[woda]]</f>
        <v>20.05</v>
      </c>
      <c r="H564" s="8">
        <f xml:space="preserve"> (10 * WYNAJEM4[[#This Row],[typ]] * WYNAJEM4[[#This Row],[czas wynajecia domku]])</f>
        <v>1100</v>
      </c>
      <c r="I564" s="9">
        <f xml:space="preserve"> WYNAJEM4[[#This Row],[suma energia i woda]] + WYNAJEM4[[#This Row],[czynsz]]</f>
        <v>1120.05</v>
      </c>
    </row>
    <row r="565" spans="1:9" x14ac:dyDescent="0.25">
      <c r="A565" s="1">
        <v>41898</v>
      </c>
      <c r="B565" s="1">
        <v>41918</v>
      </c>
      <c r="C565" s="8">
        <v>10.199999999999999</v>
      </c>
      <c r="D565" s="8">
        <v>0.27</v>
      </c>
      <c r="E565">
        <v>5</v>
      </c>
      <c r="F565" s="10">
        <f>(WYNAJEM4[[#This Row],[data_wyjazdu]]-WYNAJEM4[[#This Row],[data_przyjazdu]])</f>
        <v>20</v>
      </c>
      <c r="G565" s="9">
        <f xml:space="preserve"> WYNAJEM4[[#This Row],[energia]] + WYNAJEM4[[#This Row],[woda]]</f>
        <v>10.469999999999999</v>
      </c>
      <c r="H565" s="8">
        <f xml:space="preserve"> (10 * WYNAJEM4[[#This Row],[typ]] * WYNAJEM4[[#This Row],[czas wynajecia domku]])</f>
        <v>1000</v>
      </c>
      <c r="I565" s="9">
        <f xml:space="preserve"> WYNAJEM4[[#This Row],[suma energia i woda]] + WYNAJEM4[[#This Row],[czynsz]]</f>
        <v>1010.47</v>
      </c>
    </row>
    <row r="566" spans="1:9" x14ac:dyDescent="0.25">
      <c r="A566" s="1">
        <v>41898</v>
      </c>
      <c r="B566" s="1">
        <v>41910</v>
      </c>
      <c r="C566" s="8">
        <v>14.31</v>
      </c>
      <c r="D566" s="8">
        <v>0.38</v>
      </c>
      <c r="E566">
        <v>6</v>
      </c>
      <c r="F566" s="10">
        <f>(WYNAJEM4[[#This Row],[data_wyjazdu]]-WYNAJEM4[[#This Row],[data_przyjazdu]])</f>
        <v>12</v>
      </c>
      <c r="G566" s="9">
        <f xml:space="preserve"> WYNAJEM4[[#This Row],[energia]] + WYNAJEM4[[#This Row],[woda]]</f>
        <v>14.690000000000001</v>
      </c>
      <c r="H566" s="8">
        <f xml:space="preserve"> (10 * WYNAJEM4[[#This Row],[typ]] * WYNAJEM4[[#This Row],[czas wynajecia domku]])</f>
        <v>720</v>
      </c>
      <c r="I566" s="9">
        <f xml:space="preserve"> WYNAJEM4[[#This Row],[suma energia i woda]] + WYNAJEM4[[#This Row],[czynsz]]</f>
        <v>734.69</v>
      </c>
    </row>
    <row r="567" spans="1:9" x14ac:dyDescent="0.25">
      <c r="A567" s="1">
        <v>41898</v>
      </c>
      <c r="B567" s="1">
        <v>41924</v>
      </c>
      <c r="C567" s="8">
        <v>8.89</v>
      </c>
      <c r="D567" s="8">
        <v>0.23</v>
      </c>
      <c r="E567">
        <v>6</v>
      </c>
      <c r="F567" s="10">
        <f>(WYNAJEM4[[#This Row],[data_wyjazdu]]-WYNAJEM4[[#This Row],[data_przyjazdu]])</f>
        <v>26</v>
      </c>
      <c r="G567" s="9">
        <f xml:space="preserve"> WYNAJEM4[[#This Row],[energia]] + WYNAJEM4[[#This Row],[woda]]</f>
        <v>9.120000000000001</v>
      </c>
      <c r="H567" s="8">
        <f xml:space="preserve"> (10 * WYNAJEM4[[#This Row],[typ]] * WYNAJEM4[[#This Row],[czas wynajecia domku]])</f>
        <v>1560</v>
      </c>
      <c r="I567" s="9">
        <f xml:space="preserve"> WYNAJEM4[[#This Row],[suma energia i woda]] + WYNAJEM4[[#This Row],[czynsz]]</f>
        <v>1569.12</v>
      </c>
    </row>
    <row r="568" spans="1:9" x14ac:dyDescent="0.25">
      <c r="A568" s="1">
        <v>41898</v>
      </c>
      <c r="B568" s="1">
        <v>41925</v>
      </c>
      <c r="C568" s="8">
        <v>11.44</v>
      </c>
      <c r="D568" s="8">
        <v>0.3</v>
      </c>
      <c r="E568">
        <v>2</v>
      </c>
      <c r="F568" s="10">
        <f>(WYNAJEM4[[#This Row],[data_wyjazdu]]-WYNAJEM4[[#This Row],[data_przyjazdu]])</f>
        <v>27</v>
      </c>
      <c r="G568" s="9">
        <f xml:space="preserve"> WYNAJEM4[[#This Row],[energia]] + WYNAJEM4[[#This Row],[woda]]</f>
        <v>11.74</v>
      </c>
      <c r="H568" s="8">
        <f xml:space="preserve"> (10 * WYNAJEM4[[#This Row],[typ]] * WYNAJEM4[[#This Row],[czas wynajecia domku]])</f>
        <v>540</v>
      </c>
      <c r="I568" s="9">
        <f xml:space="preserve"> WYNAJEM4[[#This Row],[suma energia i woda]] + WYNAJEM4[[#This Row],[czynsz]]</f>
        <v>551.74</v>
      </c>
    </row>
    <row r="569" spans="1:9" x14ac:dyDescent="0.25">
      <c r="A569" s="1">
        <v>41898</v>
      </c>
      <c r="B569" s="1">
        <v>41911</v>
      </c>
      <c r="C569" s="8">
        <v>6.43</v>
      </c>
      <c r="D569" s="8">
        <v>0.17</v>
      </c>
      <c r="E569">
        <v>5</v>
      </c>
      <c r="F569" s="10">
        <f>(WYNAJEM4[[#This Row],[data_wyjazdu]]-WYNAJEM4[[#This Row],[data_przyjazdu]])</f>
        <v>13</v>
      </c>
      <c r="G569" s="9">
        <f xml:space="preserve"> WYNAJEM4[[#This Row],[energia]] + WYNAJEM4[[#This Row],[woda]]</f>
        <v>6.6</v>
      </c>
      <c r="H569" s="8">
        <f xml:space="preserve"> (10 * WYNAJEM4[[#This Row],[typ]] * WYNAJEM4[[#This Row],[czas wynajecia domku]])</f>
        <v>650</v>
      </c>
      <c r="I569" s="9">
        <f xml:space="preserve"> WYNAJEM4[[#This Row],[suma energia i woda]] + WYNAJEM4[[#This Row],[czynsz]]</f>
        <v>656.6</v>
      </c>
    </row>
    <row r="570" spans="1:9" x14ac:dyDescent="0.25">
      <c r="A570" s="1">
        <v>41898</v>
      </c>
      <c r="B570" s="1">
        <v>41907</v>
      </c>
      <c r="C570" s="8">
        <v>7.31</v>
      </c>
      <c r="D570" s="8">
        <v>0.19</v>
      </c>
      <c r="E570">
        <v>5</v>
      </c>
      <c r="F570" s="10">
        <f>(WYNAJEM4[[#This Row],[data_wyjazdu]]-WYNAJEM4[[#This Row],[data_przyjazdu]])</f>
        <v>9</v>
      </c>
      <c r="G570" s="9">
        <f xml:space="preserve"> WYNAJEM4[[#This Row],[energia]] + WYNAJEM4[[#This Row],[woda]]</f>
        <v>7.5</v>
      </c>
      <c r="H570" s="8">
        <f xml:space="preserve"> (10 * WYNAJEM4[[#This Row],[typ]] * WYNAJEM4[[#This Row],[czas wynajecia domku]])</f>
        <v>450</v>
      </c>
      <c r="I570" s="9">
        <f xml:space="preserve"> WYNAJEM4[[#This Row],[suma energia i woda]] + WYNAJEM4[[#This Row],[czynsz]]</f>
        <v>457.5</v>
      </c>
    </row>
    <row r="571" spans="1:9" x14ac:dyDescent="0.25">
      <c r="A571" s="1">
        <v>41898</v>
      </c>
      <c r="B571" s="1">
        <v>41924</v>
      </c>
      <c r="C571" s="8">
        <v>8.5399999999999991</v>
      </c>
      <c r="D571" s="8">
        <v>0.22</v>
      </c>
      <c r="E571">
        <v>4</v>
      </c>
      <c r="F571" s="10">
        <f>(WYNAJEM4[[#This Row],[data_wyjazdu]]-WYNAJEM4[[#This Row],[data_przyjazdu]])</f>
        <v>26</v>
      </c>
      <c r="G571" s="9">
        <f xml:space="preserve"> WYNAJEM4[[#This Row],[energia]] + WYNAJEM4[[#This Row],[woda]]</f>
        <v>8.76</v>
      </c>
      <c r="H571" s="8">
        <f xml:space="preserve"> (10 * WYNAJEM4[[#This Row],[typ]] * WYNAJEM4[[#This Row],[czas wynajecia domku]])</f>
        <v>1040</v>
      </c>
      <c r="I571" s="9">
        <f xml:space="preserve"> WYNAJEM4[[#This Row],[suma energia i woda]] + WYNAJEM4[[#This Row],[czynsz]]</f>
        <v>1048.76</v>
      </c>
    </row>
    <row r="572" spans="1:9" x14ac:dyDescent="0.25">
      <c r="A572" s="1">
        <v>41898</v>
      </c>
      <c r="B572" s="1">
        <v>41901</v>
      </c>
      <c r="C572" s="8">
        <v>4.25</v>
      </c>
      <c r="D572" s="8">
        <v>0.11</v>
      </c>
      <c r="E572">
        <v>6</v>
      </c>
      <c r="F572" s="10">
        <f>(WYNAJEM4[[#This Row],[data_wyjazdu]]-WYNAJEM4[[#This Row],[data_przyjazdu]])</f>
        <v>3</v>
      </c>
      <c r="G572" s="9">
        <f xml:space="preserve"> WYNAJEM4[[#This Row],[energia]] + WYNAJEM4[[#This Row],[woda]]</f>
        <v>4.3600000000000003</v>
      </c>
      <c r="H572" s="8">
        <f xml:space="preserve"> (10 * WYNAJEM4[[#This Row],[typ]] * WYNAJEM4[[#This Row],[czas wynajecia domku]])</f>
        <v>180</v>
      </c>
      <c r="I572" s="9">
        <f xml:space="preserve"> WYNAJEM4[[#This Row],[suma energia i woda]] + WYNAJEM4[[#This Row],[czynsz]]</f>
        <v>184.36</v>
      </c>
    </row>
    <row r="573" spans="1:9" x14ac:dyDescent="0.25">
      <c r="A573" s="1">
        <v>41898</v>
      </c>
      <c r="B573" s="1">
        <v>41922</v>
      </c>
      <c r="C573" s="8">
        <v>7.3</v>
      </c>
      <c r="D573" s="8">
        <v>0.19</v>
      </c>
      <c r="E573">
        <v>2</v>
      </c>
      <c r="F573" s="10">
        <f>(WYNAJEM4[[#This Row],[data_wyjazdu]]-WYNAJEM4[[#This Row],[data_przyjazdu]])</f>
        <v>24</v>
      </c>
      <c r="G573" s="9">
        <f xml:space="preserve"> WYNAJEM4[[#This Row],[energia]] + WYNAJEM4[[#This Row],[woda]]</f>
        <v>7.49</v>
      </c>
      <c r="H573" s="8">
        <f xml:space="preserve"> (10 * WYNAJEM4[[#This Row],[typ]] * WYNAJEM4[[#This Row],[czas wynajecia domku]])</f>
        <v>480</v>
      </c>
      <c r="I573" s="9">
        <f xml:space="preserve"> WYNAJEM4[[#This Row],[suma energia i woda]] + WYNAJEM4[[#This Row],[czynsz]]</f>
        <v>487.49</v>
      </c>
    </row>
    <row r="574" spans="1:9" x14ac:dyDescent="0.25">
      <c r="A574" s="1">
        <v>41898</v>
      </c>
      <c r="B574" s="1">
        <v>41919</v>
      </c>
      <c r="C574" s="8">
        <v>11.37</v>
      </c>
      <c r="D574" s="8">
        <v>0.3</v>
      </c>
      <c r="E574">
        <v>6</v>
      </c>
      <c r="F574" s="10">
        <f>(WYNAJEM4[[#This Row],[data_wyjazdu]]-WYNAJEM4[[#This Row],[data_przyjazdu]])</f>
        <v>21</v>
      </c>
      <c r="G574" s="9">
        <f xml:space="preserve"> WYNAJEM4[[#This Row],[energia]] + WYNAJEM4[[#This Row],[woda]]</f>
        <v>11.67</v>
      </c>
      <c r="H574" s="8">
        <f xml:space="preserve"> (10 * WYNAJEM4[[#This Row],[typ]] * WYNAJEM4[[#This Row],[czas wynajecia domku]])</f>
        <v>1260</v>
      </c>
      <c r="I574" s="9">
        <f xml:space="preserve"> WYNAJEM4[[#This Row],[suma energia i woda]] + WYNAJEM4[[#This Row],[czynsz]]</f>
        <v>1271.67</v>
      </c>
    </row>
    <row r="575" spans="1:9" x14ac:dyDescent="0.25">
      <c r="A575" s="1">
        <v>41898</v>
      </c>
      <c r="B575" s="1">
        <v>41903</v>
      </c>
      <c r="C575" s="8">
        <v>14.13</v>
      </c>
      <c r="D575" s="8">
        <v>0.37</v>
      </c>
      <c r="E575">
        <v>2</v>
      </c>
      <c r="F575" s="10">
        <f>(WYNAJEM4[[#This Row],[data_wyjazdu]]-WYNAJEM4[[#This Row],[data_przyjazdu]])</f>
        <v>5</v>
      </c>
      <c r="G575" s="9">
        <f xml:space="preserve"> WYNAJEM4[[#This Row],[energia]] + WYNAJEM4[[#This Row],[woda]]</f>
        <v>14.5</v>
      </c>
      <c r="H575" s="8">
        <f xml:space="preserve"> (10 * WYNAJEM4[[#This Row],[typ]] * WYNAJEM4[[#This Row],[czas wynajecia domku]])</f>
        <v>100</v>
      </c>
      <c r="I575" s="9">
        <f xml:space="preserve"> WYNAJEM4[[#This Row],[suma energia i woda]] + WYNAJEM4[[#This Row],[czynsz]]</f>
        <v>114.5</v>
      </c>
    </row>
    <row r="576" spans="1:9" x14ac:dyDescent="0.25">
      <c r="A576" s="1">
        <v>41898</v>
      </c>
      <c r="B576" s="1">
        <v>41925</v>
      </c>
      <c r="C576" s="8">
        <v>11.44</v>
      </c>
      <c r="D576" s="8">
        <v>0.3</v>
      </c>
      <c r="E576">
        <v>2</v>
      </c>
      <c r="F576" s="10">
        <f>(WYNAJEM4[[#This Row],[data_wyjazdu]]-WYNAJEM4[[#This Row],[data_przyjazdu]])</f>
        <v>27</v>
      </c>
      <c r="G576" s="9">
        <f xml:space="preserve"> WYNAJEM4[[#This Row],[energia]] + WYNAJEM4[[#This Row],[woda]]</f>
        <v>11.74</v>
      </c>
      <c r="H576" s="8">
        <f xml:space="preserve"> (10 * WYNAJEM4[[#This Row],[typ]] * WYNAJEM4[[#This Row],[czas wynajecia domku]])</f>
        <v>540</v>
      </c>
      <c r="I576" s="9">
        <f xml:space="preserve"> WYNAJEM4[[#This Row],[suma energia i woda]] + WYNAJEM4[[#This Row],[czynsz]]</f>
        <v>551.74</v>
      </c>
    </row>
    <row r="577" spans="1:9" x14ac:dyDescent="0.25">
      <c r="A577" s="1">
        <v>41899</v>
      </c>
      <c r="B577" s="1">
        <v>41927</v>
      </c>
      <c r="C577" s="8">
        <v>9.4600000000000009</v>
      </c>
      <c r="D577" s="8">
        <v>0.25</v>
      </c>
      <c r="E577">
        <v>6</v>
      </c>
      <c r="F577" s="10">
        <f>(WYNAJEM4[[#This Row],[data_wyjazdu]]-WYNAJEM4[[#This Row],[data_przyjazdu]])</f>
        <v>28</v>
      </c>
      <c r="G577" s="9">
        <f xml:space="preserve"> WYNAJEM4[[#This Row],[energia]] + WYNAJEM4[[#This Row],[woda]]</f>
        <v>9.7100000000000009</v>
      </c>
      <c r="H577" s="8">
        <f xml:space="preserve"> (10 * WYNAJEM4[[#This Row],[typ]] * WYNAJEM4[[#This Row],[czas wynajecia domku]])</f>
        <v>1680</v>
      </c>
      <c r="I577" s="9">
        <f xml:space="preserve"> WYNAJEM4[[#This Row],[suma energia i woda]] + WYNAJEM4[[#This Row],[czynsz]]</f>
        <v>1689.71</v>
      </c>
    </row>
    <row r="578" spans="1:9" x14ac:dyDescent="0.25">
      <c r="A578" s="1">
        <v>41899</v>
      </c>
      <c r="B578" s="1">
        <v>41902</v>
      </c>
      <c r="C578" s="8">
        <v>4.25</v>
      </c>
      <c r="D578" s="8">
        <v>0.11</v>
      </c>
      <c r="E578">
        <v>2</v>
      </c>
      <c r="F578" s="10">
        <f>(WYNAJEM4[[#This Row],[data_wyjazdu]]-WYNAJEM4[[#This Row],[data_przyjazdu]])</f>
        <v>3</v>
      </c>
      <c r="G578" s="9">
        <f xml:space="preserve"> WYNAJEM4[[#This Row],[energia]] + WYNAJEM4[[#This Row],[woda]]</f>
        <v>4.3600000000000003</v>
      </c>
      <c r="H578" s="8">
        <f xml:space="preserve"> (10 * WYNAJEM4[[#This Row],[typ]] * WYNAJEM4[[#This Row],[czas wynajecia domku]])</f>
        <v>60</v>
      </c>
      <c r="I578" s="9">
        <f xml:space="preserve"> WYNAJEM4[[#This Row],[suma energia i woda]] + WYNAJEM4[[#This Row],[czynsz]]</f>
        <v>64.36</v>
      </c>
    </row>
    <row r="579" spans="1:9" x14ac:dyDescent="0.25">
      <c r="A579" s="1">
        <v>41899</v>
      </c>
      <c r="B579" s="1">
        <v>41911</v>
      </c>
      <c r="C579" s="8">
        <v>7.31</v>
      </c>
      <c r="D579" s="8">
        <v>0.19</v>
      </c>
      <c r="E579">
        <v>4</v>
      </c>
      <c r="F579" s="10">
        <f>(WYNAJEM4[[#This Row],[data_wyjazdu]]-WYNAJEM4[[#This Row],[data_przyjazdu]])</f>
        <v>12</v>
      </c>
      <c r="G579" s="9">
        <f xml:space="preserve"> WYNAJEM4[[#This Row],[energia]] + WYNAJEM4[[#This Row],[woda]]</f>
        <v>7.5</v>
      </c>
      <c r="H579" s="8">
        <f xml:space="preserve"> (10 * WYNAJEM4[[#This Row],[typ]] * WYNAJEM4[[#This Row],[czas wynajecia domku]])</f>
        <v>480</v>
      </c>
      <c r="I579" s="9">
        <f xml:space="preserve"> WYNAJEM4[[#This Row],[suma energia i woda]] + WYNAJEM4[[#This Row],[czynsz]]</f>
        <v>487.5</v>
      </c>
    </row>
    <row r="580" spans="1:9" x14ac:dyDescent="0.25">
      <c r="A580" s="1">
        <v>41899</v>
      </c>
      <c r="B580" s="1">
        <v>41913</v>
      </c>
      <c r="C580" s="8">
        <v>14</v>
      </c>
      <c r="D580" s="8">
        <v>0.37</v>
      </c>
      <c r="E580">
        <v>6</v>
      </c>
      <c r="F580" s="10">
        <f>(WYNAJEM4[[#This Row],[data_wyjazdu]]-WYNAJEM4[[#This Row],[data_przyjazdu]])</f>
        <v>14</v>
      </c>
      <c r="G580" s="9">
        <f xml:space="preserve"> WYNAJEM4[[#This Row],[energia]] + WYNAJEM4[[#This Row],[woda]]</f>
        <v>14.37</v>
      </c>
      <c r="H580" s="8">
        <f xml:space="preserve"> (10 * WYNAJEM4[[#This Row],[typ]] * WYNAJEM4[[#This Row],[czas wynajecia domku]])</f>
        <v>840</v>
      </c>
      <c r="I580" s="9">
        <f xml:space="preserve"> WYNAJEM4[[#This Row],[suma energia i woda]] + WYNAJEM4[[#This Row],[czynsz]]</f>
        <v>854.37</v>
      </c>
    </row>
    <row r="581" spans="1:9" x14ac:dyDescent="0.25">
      <c r="A581" s="1">
        <v>41899</v>
      </c>
      <c r="B581" s="1">
        <v>41907</v>
      </c>
      <c r="C581" s="8">
        <v>6.23</v>
      </c>
      <c r="D581" s="8">
        <v>0.16</v>
      </c>
      <c r="E581">
        <v>2</v>
      </c>
      <c r="F581" s="10">
        <f>(WYNAJEM4[[#This Row],[data_wyjazdu]]-WYNAJEM4[[#This Row],[data_przyjazdu]])</f>
        <v>8</v>
      </c>
      <c r="G581" s="9">
        <f xml:space="preserve"> WYNAJEM4[[#This Row],[energia]] + WYNAJEM4[[#This Row],[woda]]</f>
        <v>6.3900000000000006</v>
      </c>
      <c r="H581" s="8">
        <f xml:space="preserve"> (10 * WYNAJEM4[[#This Row],[typ]] * WYNAJEM4[[#This Row],[czas wynajecia domku]])</f>
        <v>160</v>
      </c>
      <c r="I581" s="9">
        <f xml:space="preserve"> WYNAJEM4[[#This Row],[suma energia i woda]] + WYNAJEM4[[#This Row],[czynsz]]</f>
        <v>166.39</v>
      </c>
    </row>
    <row r="582" spans="1:9" x14ac:dyDescent="0.25">
      <c r="A582" s="1">
        <v>41899</v>
      </c>
      <c r="B582" s="1">
        <v>41904</v>
      </c>
      <c r="C582" s="8">
        <v>9.1300000000000008</v>
      </c>
      <c r="D582" s="8">
        <v>0.24</v>
      </c>
      <c r="E582">
        <v>3</v>
      </c>
      <c r="F582" s="10">
        <f>(WYNAJEM4[[#This Row],[data_wyjazdu]]-WYNAJEM4[[#This Row],[data_przyjazdu]])</f>
        <v>5</v>
      </c>
      <c r="G582" s="9">
        <f xml:space="preserve"> WYNAJEM4[[#This Row],[energia]] + WYNAJEM4[[#This Row],[woda]]</f>
        <v>9.370000000000001</v>
      </c>
      <c r="H582" s="8">
        <f xml:space="preserve"> (10 * WYNAJEM4[[#This Row],[typ]] * WYNAJEM4[[#This Row],[czas wynajecia domku]])</f>
        <v>150</v>
      </c>
      <c r="I582" s="9">
        <f xml:space="preserve"> WYNAJEM4[[#This Row],[suma energia i woda]] + WYNAJEM4[[#This Row],[czynsz]]</f>
        <v>159.37</v>
      </c>
    </row>
    <row r="583" spans="1:9" x14ac:dyDescent="0.25">
      <c r="A583" s="1">
        <v>41899</v>
      </c>
      <c r="B583" s="1">
        <v>41919</v>
      </c>
      <c r="C583" s="8">
        <v>10.59</v>
      </c>
      <c r="D583" s="8">
        <v>0.28000000000000003</v>
      </c>
      <c r="E583">
        <v>5</v>
      </c>
      <c r="F583" s="10">
        <f>(WYNAJEM4[[#This Row],[data_wyjazdu]]-WYNAJEM4[[#This Row],[data_przyjazdu]])</f>
        <v>20</v>
      </c>
      <c r="G583" s="9">
        <f xml:space="preserve"> WYNAJEM4[[#This Row],[energia]] + WYNAJEM4[[#This Row],[woda]]</f>
        <v>10.87</v>
      </c>
      <c r="H583" s="8">
        <f xml:space="preserve"> (10 * WYNAJEM4[[#This Row],[typ]] * WYNAJEM4[[#This Row],[czas wynajecia domku]])</f>
        <v>1000</v>
      </c>
      <c r="I583" s="9">
        <f xml:space="preserve"> WYNAJEM4[[#This Row],[suma energia i woda]] + WYNAJEM4[[#This Row],[czynsz]]</f>
        <v>1010.87</v>
      </c>
    </row>
    <row r="584" spans="1:9" x14ac:dyDescent="0.25">
      <c r="A584" s="1">
        <v>41899</v>
      </c>
      <c r="B584" s="1">
        <v>41902</v>
      </c>
      <c r="C584" s="8">
        <v>9.06</v>
      </c>
      <c r="D584" s="8">
        <v>0.24</v>
      </c>
      <c r="E584">
        <v>2</v>
      </c>
      <c r="F584" s="10">
        <f>(WYNAJEM4[[#This Row],[data_wyjazdu]]-WYNAJEM4[[#This Row],[data_przyjazdu]])</f>
        <v>3</v>
      </c>
      <c r="G584" s="9">
        <f xml:space="preserve"> WYNAJEM4[[#This Row],[energia]] + WYNAJEM4[[#This Row],[woda]]</f>
        <v>9.3000000000000007</v>
      </c>
      <c r="H584" s="8">
        <f xml:space="preserve"> (10 * WYNAJEM4[[#This Row],[typ]] * WYNAJEM4[[#This Row],[czas wynajecia domku]])</f>
        <v>60</v>
      </c>
      <c r="I584" s="9">
        <f xml:space="preserve"> WYNAJEM4[[#This Row],[suma energia i woda]] + WYNAJEM4[[#This Row],[czynsz]]</f>
        <v>69.3</v>
      </c>
    </row>
    <row r="585" spans="1:9" x14ac:dyDescent="0.25">
      <c r="A585" s="1">
        <v>41899</v>
      </c>
      <c r="B585" s="1">
        <v>41901</v>
      </c>
      <c r="C585" s="8">
        <v>7.06</v>
      </c>
      <c r="D585" s="8">
        <v>0.19</v>
      </c>
      <c r="E585">
        <v>2</v>
      </c>
      <c r="F585" s="10">
        <f>(WYNAJEM4[[#This Row],[data_wyjazdu]]-WYNAJEM4[[#This Row],[data_przyjazdu]])</f>
        <v>2</v>
      </c>
      <c r="G585" s="9">
        <f xml:space="preserve"> WYNAJEM4[[#This Row],[energia]] + WYNAJEM4[[#This Row],[woda]]</f>
        <v>7.25</v>
      </c>
      <c r="H585" s="8">
        <f xml:space="preserve"> (10 * WYNAJEM4[[#This Row],[typ]] * WYNAJEM4[[#This Row],[czas wynajecia domku]])</f>
        <v>40</v>
      </c>
      <c r="I585" s="9">
        <f xml:space="preserve"> WYNAJEM4[[#This Row],[suma energia i woda]] + WYNAJEM4[[#This Row],[czynsz]]</f>
        <v>47.25</v>
      </c>
    </row>
    <row r="586" spans="1:9" x14ac:dyDescent="0.25">
      <c r="A586" s="1">
        <v>41899</v>
      </c>
      <c r="B586" s="1">
        <v>41916</v>
      </c>
      <c r="C586" s="8">
        <v>6.75</v>
      </c>
      <c r="D586" s="8">
        <v>0.18</v>
      </c>
      <c r="E586">
        <v>5</v>
      </c>
      <c r="F586" s="10">
        <f>(WYNAJEM4[[#This Row],[data_wyjazdu]]-WYNAJEM4[[#This Row],[data_przyjazdu]])</f>
        <v>17</v>
      </c>
      <c r="G586" s="9">
        <f xml:space="preserve"> WYNAJEM4[[#This Row],[energia]] + WYNAJEM4[[#This Row],[woda]]</f>
        <v>6.93</v>
      </c>
      <c r="H586" s="8">
        <f xml:space="preserve"> (10 * WYNAJEM4[[#This Row],[typ]] * WYNAJEM4[[#This Row],[czas wynajecia domku]])</f>
        <v>850</v>
      </c>
      <c r="I586" s="9">
        <f xml:space="preserve"> WYNAJEM4[[#This Row],[suma energia i woda]] + WYNAJEM4[[#This Row],[czynsz]]</f>
        <v>856.93</v>
      </c>
    </row>
    <row r="587" spans="1:9" x14ac:dyDescent="0.25">
      <c r="A587" s="1">
        <v>41899</v>
      </c>
      <c r="B587" s="1">
        <v>41911</v>
      </c>
      <c r="C587" s="8">
        <v>7.3</v>
      </c>
      <c r="D587" s="8">
        <v>0.19</v>
      </c>
      <c r="E587">
        <v>4</v>
      </c>
      <c r="F587" s="10">
        <f>(WYNAJEM4[[#This Row],[data_wyjazdu]]-WYNAJEM4[[#This Row],[data_przyjazdu]])</f>
        <v>12</v>
      </c>
      <c r="G587" s="9">
        <f xml:space="preserve"> WYNAJEM4[[#This Row],[energia]] + WYNAJEM4[[#This Row],[woda]]</f>
        <v>7.49</v>
      </c>
      <c r="H587" s="8">
        <f xml:space="preserve"> (10 * WYNAJEM4[[#This Row],[typ]] * WYNAJEM4[[#This Row],[czas wynajecia domku]])</f>
        <v>480</v>
      </c>
      <c r="I587" s="9">
        <f xml:space="preserve"> WYNAJEM4[[#This Row],[suma energia i woda]] + WYNAJEM4[[#This Row],[czynsz]]</f>
        <v>487.49</v>
      </c>
    </row>
    <row r="588" spans="1:9" x14ac:dyDescent="0.25">
      <c r="A588" s="1">
        <v>41899</v>
      </c>
      <c r="B588" s="1">
        <v>41902</v>
      </c>
      <c r="C588" s="8">
        <v>13.02</v>
      </c>
      <c r="D588" s="8">
        <v>0.34</v>
      </c>
      <c r="E588">
        <v>5</v>
      </c>
      <c r="F588" s="10">
        <f>(WYNAJEM4[[#This Row],[data_wyjazdu]]-WYNAJEM4[[#This Row],[data_przyjazdu]])</f>
        <v>3</v>
      </c>
      <c r="G588" s="9">
        <f xml:space="preserve"> WYNAJEM4[[#This Row],[energia]] + WYNAJEM4[[#This Row],[woda]]</f>
        <v>13.36</v>
      </c>
      <c r="H588" s="8">
        <f xml:space="preserve"> (10 * WYNAJEM4[[#This Row],[typ]] * WYNAJEM4[[#This Row],[czas wynajecia domku]])</f>
        <v>150</v>
      </c>
      <c r="I588" s="9">
        <f xml:space="preserve"> WYNAJEM4[[#This Row],[suma energia i woda]] + WYNAJEM4[[#This Row],[czynsz]]</f>
        <v>163.36000000000001</v>
      </c>
    </row>
    <row r="589" spans="1:9" x14ac:dyDescent="0.25">
      <c r="A589" s="1">
        <v>41899</v>
      </c>
      <c r="B589" s="1">
        <v>41905</v>
      </c>
      <c r="C589" s="8">
        <v>14.13</v>
      </c>
      <c r="D589" s="8">
        <v>0.37</v>
      </c>
      <c r="E589">
        <v>3</v>
      </c>
      <c r="F589" s="10">
        <f>(WYNAJEM4[[#This Row],[data_wyjazdu]]-WYNAJEM4[[#This Row],[data_przyjazdu]])</f>
        <v>6</v>
      </c>
      <c r="G589" s="9">
        <f xml:space="preserve"> WYNAJEM4[[#This Row],[energia]] + WYNAJEM4[[#This Row],[woda]]</f>
        <v>14.5</v>
      </c>
      <c r="H589" s="8">
        <f xml:space="preserve"> (10 * WYNAJEM4[[#This Row],[typ]] * WYNAJEM4[[#This Row],[czas wynajecia domku]])</f>
        <v>180</v>
      </c>
      <c r="I589" s="9">
        <f xml:space="preserve"> WYNAJEM4[[#This Row],[suma energia i woda]] + WYNAJEM4[[#This Row],[czynsz]]</f>
        <v>194.5</v>
      </c>
    </row>
    <row r="590" spans="1:9" x14ac:dyDescent="0.25">
      <c r="A590" s="1">
        <v>41899</v>
      </c>
      <c r="B590" s="1">
        <v>41906</v>
      </c>
      <c r="C590" s="8">
        <v>10.59</v>
      </c>
      <c r="D590" s="8">
        <v>0.28000000000000003</v>
      </c>
      <c r="E590">
        <v>3</v>
      </c>
      <c r="F590" s="10">
        <f>(WYNAJEM4[[#This Row],[data_wyjazdu]]-WYNAJEM4[[#This Row],[data_przyjazdu]])</f>
        <v>7</v>
      </c>
      <c r="G590" s="9">
        <f xml:space="preserve"> WYNAJEM4[[#This Row],[energia]] + WYNAJEM4[[#This Row],[woda]]</f>
        <v>10.87</v>
      </c>
      <c r="H590" s="8">
        <f xml:space="preserve"> (10 * WYNAJEM4[[#This Row],[typ]] * WYNAJEM4[[#This Row],[czas wynajecia domku]])</f>
        <v>210</v>
      </c>
      <c r="I590" s="9">
        <f xml:space="preserve"> WYNAJEM4[[#This Row],[suma energia i woda]] + WYNAJEM4[[#This Row],[czynsz]]</f>
        <v>220.87</v>
      </c>
    </row>
    <row r="591" spans="1:9" x14ac:dyDescent="0.25">
      <c r="A591" s="1">
        <v>41899</v>
      </c>
      <c r="B591" s="1">
        <v>41917</v>
      </c>
      <c r="C591" s="8">
        <v>5.57</v>
      </c>
      <c r="D591" s="8">
        <v>0.15</v>
      </c>
      <c r="E591">
        <v>6</v>
      </c>
      <c r="F591" s="10">
        <f>(WYNAJEM4[[#This Row],[data_wyjazdu]]-WYNAJEM4[[#This Row],[data_przyjazdu]])</f>
        <v>18</v>
      </c>
      <c r="G591" s="9">
        <f xml:space="preserve"> WYNAJEM4[[#This Row],[energia]] + WYNAJEM4[[#This Row],[woda]]</f>
        <v>5.7200000000000006</v>
      </c>
      <c r="H591" s="8">
        <f xml:space="preserve"> (10 * WYNAJEM4[[#This Row],[typ]] * WYNAJEM4[[#This Row],[czas wynajecia domku]])</f>
        <v>1080</v>
      </c>
      <c r="I591" s="9">
        <f xml:space="preserve"> WYNAJEM4[[#This Row],[suma energia i woda]] + WYNAJEM4[[#This Row],[czynsz]]</f>
        <v>1085.72</v>
      </c>
    </row>
    <row r="592" spans="1:9" x14ac:dyDescent="0.25">
      <c r="A592" s="1">
        <v>41900</v>
      </c>
      <c r="B592" s="1">
        <v>41906</v>
      </c>
      <c r="C592" s="8">
        <v>5.57</v>
      </c>
      <c r="D592" s="8">
        <v>0.15</v>
      </c>
      <c r="E592">
        <v>2</v>
      </c>
      <c r="F592" s="10">
        <f>(WYNAJEM4[[#This Row],[data_wyjazdu]]-WYNAJEM4[[#This Row],[data_przyjazdu]])</f>
        <v>6</v>
      </c>
      <c r="G592" s="9">
        <f xml:space="preserve"> WYNAJEM4[[#This Row],[energia]] + WYNAJEM4[[#This Row],[woda]]</f>
        <v>5.7200000000000006</v>
      </c>
      <c r="H592" s="8">
        <f xml:space="preserve"> (10 * WYNAJEM4[[#This Row],[typ]] * WYNAJEM4[[#This Row],[czas wynajecia domku]])</f>
        <v>120</v>
      </c>
      <c r="I592" s="9">
        <f xml:space="preserve"> WYNAJEM4[[#This Row],[suma energia i woda]] + WYNAJEM4[[#This Row],[czynsz]]</f>
        <v>125.72</v>
      </c>
    </row>
    <row r="593" spans="1:9" x14ac:dyDescent="0.25">
      <c r="A593" s="1">
        <v>41901</v>
      </c>
      <c r="B593" s="1">
        <v>41919</v>
      </c>
      <c r="C593" s="8">
        <v>8.7200000000000006</v>
      </c>
      <c r="D593" s="8">
        <v>0.23</v>
      </c>
      <c r="E593">
        <v>2</v>
      </c>
      <c r="F593" s="10">
        <f>(WYNAJEM4[[#This Row],[data_wyjazdu]]-WYNAJEM4[[#This Row],[data_przyjazdu]])</f>
        <v>18</v>
      </c>
      <c r="G593" s="9">
        <f xml:space="preserve"> WYNAJEM4[[#This Row],[energia]] + WYNAJEM4[[#This Row],[woda]]</f>
        <v>8.9500000000000011</v>
      </c>
      <c r="H593" s="8">
        <f xml:space="preserve"> (10 * WYNAJEM4[[#This Row],[typ]] * WYNAJEM4[[#This Row],[czas wynajecia domku]])</f>
        <v>360</v>
      </c>
      <c r="I593" s="9">
        <f xml:space="preserve"> WYNAJEM4[[#This Row],[suma energia i woda]] + WYNAJEM4[[#This Row],[czynsz]]</f>
        <v>368.95</v>
      </c>
    </row>
    <row r="594" spans="1:9" x14ac:dyDescent="0.25">
      <c r="A594" s="1">
        <v>41902</v>
      </c>
      <c r="B594" s="1">
        <v>41904</v>
      </c>
      <c r="C594" s="8">
        <v>6.43</v>
      </c>
      <c r="D594" s="8">
        <v>0.17</v>
      </c>
      <c r="E594">
        <v>4</v>
      </c>
      <c r="F594" s="10">
        <f>(WYNAJEM4[[#This Row],[data_wyjazdu]]-WYNAJEM4[[#This Row],[data_przyjazdu]])</f>
        <v>2</v>
      </c>
      <c r="G594" s="9">
        <f xml:space="preserve"> WYNAJEM4[[#This Row],[energia]] + WYNAJEM4[[#This Row],[woda]]</f>
        <v>6.6</v>
      </c>
      <c r="H594" s="8">
        <f xml:space="preserve"> (10 * WYNAJEM4[[#This Row],[typ]] * WYNAJEM4[[#This Row],[czas wynajecia domku]])</f>
        <v>80</v>
      </c>
      <c r="I594" s="9">
        <f xml:space="preserve"> WYNAJEM4[[#This Row],[suma energia i woda]] + WYNAJEM4[[#This Row],[czynsz]]</f>
        <v>86.6</v>
      </c>
    </row>
    <row r="595" spans="1:9" x14ac:dyDescent="0.25">
      <c r="A595" s="1">
        <v>41904</v>
      </c>
      <c r="B595" s="1">
        <v>41929</v>
      </c>
      <c r="C595" s="8">
        <v>3.57</v>
      </c>
      <c r="D595" s="8">
        <v>0.09</v>
      </c>
      <c r="E595">
        <v>2</v>
      </c>
      <c r="F595" s="10">
        <f>(WYNAJEM4[[#This Row],[data_wyjazdu]]-WYNAJEM4[[#This Row],[data_przyjazdu]])</f>
        <v>25</v>
      </c>
      <c r="G595" s="9">
        <f xml:space="preserve"> WYNAJEM4[[#This Row],[energia]] + WYNAJEM4[[#This Row],[woda]]</f>
        <v>3.6599999999999997</v>
      </c>
      <c r="H595" s="8">
        <f xml:space="preserve"> (10 * WYNAJEM4[[#This Row],[typ]] * WYNAJEM4[[#This Row],[czas wynajecia domku]])</f>
        <v>500</v>
      </c>
      <c r="I595" s="9">
        <f xml:space="preserve"> WYNAJEM4[[#This Row],[suma energia i woda]] + WYNAJEM4[[#This Row],[czynsz]]</f>
        <v>503.66</v>
      </c>
    </row>
    <row r="596" spans="1:9" x14ac:dyDescent="0.25">
      <c r="A596" s="1">
        <v>41905</v>
      </c>
      <c r="B596" s="1">
        <v>41924</v>
      </c>
      <c r="C596" s="8">
        <v>13.82</v>
      </c>
      <c r="D596" s="8">
        <v>0.36</v>
      </c>
      <c r="E596">
        <v>4</v>
      </c>
      <c r="F596" s="10">
        <f>(WYNAJEM4[[#This Row],[data_wyjazdu]]-WYNAJEM4[[#This Row],[data_przyjazdu]])</f>
        <v>19</v>
      </c>
      <c r="G596" s="9">
        <f xml:space="preserve"> WYNAJEM4[[#This Row],[energia]] + WYNAJEM4[[#This Row],[woda]]</f>
        <v>14.18</v>
      </c>
      <c r="H596" s="8">
        <f xml:space="preserve"> (10 * WYNAJEM4[[#This Row],[typ]] * WYNAJEM4[[#This Row],[czas wynajecia domku]])</f>
        <v>760</v>
      </c>
      <c r="I596" s="9">
        <f xml:space="preserve"> WYNAJEM4[[#This Row],[suma energia i woda]] + WYNAJEM4[[#This Row],[czynsz]]</f>
        <v>774.18</v>
      </c>
    </row>
    <row r="597" spans="1:9" x14ac:dyDescent="0.25">
      <c r="A597" s="1">
        <v>41905</v>
      </c>
      <c r="B597" s="1">
        <v>41910</v>
      </c>
      <c r="C597" s="8">
        <v>11.37</v>
      </c>
      <c r="D597" s="8">
        <v>0.3</v>
      </c>
      <c r="E597">
        <v>5</v>
      </c>
      <c r="F597" s="10">
        <f>(WYNAJEM4[[#This Row],[data_wyjazdu]]-WYNAJEM4[[#This Row],[data_przyjazdu]])</f>
        <v>5</v>
      </c>
      <c r="G597" s="9">
        <f xml:space="preserve"> WYNAJEM4[[#This Row],[energia]] + WYNAJEM4[[#This Row],[woda]]</f>
        <v>11.67</v>
      </c>
      <c r="H597" s="8">
        <f xml:space="preserve"> (10 * WYNAJEM4[[#This Row],[typ]] * WYNAJEM4[[#This Row],[czas wynajecia domku]])</f>
        <v>250</v>
      </c>
      <c r="I597" s="9">
        <f xml:space="preserve"> WYNAJEM4[[#This Row],[suma energia i woda]] + WYNAJEM4[[#This Row],[czynsz]]</f>
        <v>261.67</v>
      </c>
    </row>
    <row r="598" spans="1:9" x14ac:dyDescent="0.25">
      <c r="A598" s="1">
        <v>41905</v>
      </c>
      <c r="B598" s="1">
        <v>41925</v>
      </c>
      <c r="C598" s="8">
        <v>6.58</v>
      </c>
      <c r="D598" s="8">
        <v>0.17</v>
      </c>
      <c r="E598">
        <v>4</v>
      </c>
      <c r="F598" s="10">
        <f>(WYNAJEM4[[#This Row],[data_wyjazdu]]-WYNAJEM4[[#This Row],[data_przyjazdu]])</f>
        <v>20</v>
      </c>
      <c r="G598" s="9">
        <f xml:space="preserve"> WYNAJEM4[[#This Row],[energia]] + WYNAJEM4[[#This Row],[woda]]</f>
        <v>6.75</v>
      </c>
      <c r="H598" s="8">
        <f xml:space="preserve"> (10 * WYNAJEM4[[#This Row],[typ]] * WYNAJEM4[[#This Row],[czas wynajecia domku]])</f>
        <v>800</v>
      </c>
      <c r="I598" s="9">
        <f xml:space="preserve"> WYNAJEM4[[#This Row],[suma energia i woda]] + WYNAJEM4[[#This Row],[czynsz]]</f>
        <v>806.75</v>
      </c>
    </row>
    <row r="599" spans="1:9" x14ac:dyDescent="0.25">
      <c r="A599" s="1">
        <v>41905</v>
      </c>
      <c r="B599" s="1">
        <v>41927</v>
      </c>
      <c r="C599" s="8">
        <v>11.69</v>
      </c>
      <c r="D599" s="8">
        <v>0.31</v>
      </c>
      <c r="E599">
        <v>5</v>
      </c>
      <c r="F599" s="10">
        <f>(WYNAJEM4[[#This Row],[data_wyjazdu]]-WYNAJEM4[[#This Row],[data_przyjazdu]])</f>
        <v>22</v>
      </c>
      <c r="G599" s="9">
        <f xml:space="preserve"> WYNAJEM4[[#This Row],[energia]] + WYNAJEM4[[#This Row],[woda]]</f>
        <v>12</v>
      </c>
      <c r="H599" s="8">
        <f xml:space="preserve"> (10 * WYNAJEM4[[#This Row],[typ]] * WYNAJEM4[[#This Row],[czas wynajecia domku]])</f>
        <v>1100</v>
      </c>
      <c r="I599" s="9">
        <f xml:space="preserve"> WYNAJEM4[[#This Row],[suma energia i woda]] + WYNAJEM4[[#This Row],[czynsz]]</f>
        <v>1112</v>
      </c>
    </row>
    <row r="600" spans="1:9" x14ac:dyDescent="0.25">
      <c r="A600" s="1">
        <v>41905</v>
      </c>
      <c r="B600" s="1">
        <v>41907</v>
      </c>
      <c r="C600" s="8">
        <v>12.01</v>
      </c>
      <c r="D600" s="8">
        <v>0.32</v>
      </c>
      <c r="E600">
        <v>3</v>
      </c>
      <c r="F600" s="10">
        <f>(WYNAJEM4[[#This Row],[data_wyjazdu]]-WYNAJEM4[[#This Row],[data_przyjazdu]])</f>
        <v>2</v>
      </c>
      <c r="G600" s="9">
        <f xml:space="preserve"> WYNAJEM4[[#This Row],[energia]] + WYNAJEM4[[#This Row],[woda]]</f>
        <v>12.33</v>
      </c>
      <c r="H600" s="8">
        <f xml:space="preserve"> (10 * WYNAJEM4[[#This Row],[typ]] * WYNAJEM4[[#This Row],[czas wynajecia domku]])</f>
        <v>60</v>
      </c>
      <c r="I600" s="9">
        <f xml:space="preserve"> WYNAJEM4[[#This Row],[suma energia i woda]] + WYNAJEM4[[#This Row],[czynsz]]</f>
        <v>72.33</v>
      </c>
    </row>
    <row r="601" spans="1:9" x14ac:dyDescent="0.25">
      <c r="A601" s="1">
        <v>41905</v>
      </c>
      <c r="B601" s="1">
        <v>41924</v>
      </c>
      <c r="C601" s="8">
        <v>6.43</v>
      </c>
      <c r="D601" s="8">
        <v>0.17</v>
      </c>
      <c r="E601">
        <v>2</v>
      </c>
      <c r="F601" s="10">
        <f>(WYNAJEM4[[#This Row],[data_wyjazdu]]-WYNAJEM4[[#This Row],[data_przyjazdu]])</f>
        <v>19</v>
      </c>
      <c r="G601" s="9">
        <f xml:space="preserve"> WYNAJEM4[[#This Row],[energia]] + WYNAJEM4[[#This Row],[woda]]</f>
        <v>6.6</v>
      </c>
      <c r="H601" s="8">
        <f xml:space="preserve"> (10 * WYNAJEM4[[#This Row],[typ]] * WYNAJEM4[[#This Row],[czas wynajecia domku]])</f>
        <v>380</v>
      </c>
      <c r="I601" s="9">
        <f xml:space="preserve"> WYNAJEM4[[#This Row],[suma energia i woda]] + WYNAJEM4[[#This Row],[czynsz]]</f>
        <v>386.6</v>
      </c>
    </row>
    <row r="602" spans="1:9" x14ac:dyDescent="0.25">
      <c r="A602" s="1">
        <v>41906</v>
      </c>
      <c r="B602" s="1">
        <v>41921</v>
      </c>
      <c r="C602" s="8">
        <v>14.13</v>
      </c>
      <c r="D602" s="8">
        <v>0.37</v>
      </c>
      <c r="E602">
        <v>2</v>
      </c>
      <c r="F602" s="10">
        <f>(WYNAJEM4[[#This Row],[data_wyjazdu]]-WYNAJEM4[[#This Row],[data_przyjazdu]])</f>
        <v>15</v>
      </c>
      <c r="G602" s="9">
        <f xml:space="preserve"> WYNAJEM4[[#This Row],[energia]] + WYNAJEM4[[#This Row],[woda]]</f>
        <v>14.5</v>
      </c>
      <c r="H602" s="8">
        <f xml:space="preserve"> (10 * WYNAJEM4[[#This Row],[typ]] * WYNAJEM4[[#This Row],[czas wynajecia domku]])</f>
        <v>300</v>
      </c>
      <c r="I602" s="9">
        <f xml:space="preserve"> WYNAJEM4[[#This Row],[suma energia i woda]] + WYNAJEM4[[#This Row],[czynsz]]</f>
        <v>314.5</v>
      </c>
    </row>
    <row r="603" spans="1:9" x14ac:dyDescent="0.25">
      <c r="A603" s="1">
        <v>41908</v>
      </c>
      <c r="B603" s="1">
        <v>41928</v>
      </c>
      <c r="C603" s="8">
        <v>3.73</v>
      </c>
      <c r="D603" s="8">
        <v>0.1</v>
      </c>
      <c r="E603">
        <v>2</v>
      </c>
      <c r="F603" s="10">
        <f>(WYNAJEM4[[#This Row],[data_wyjazdu]]-WYNAJEM4[[#This Row],[data_przyjazdu]])</f>
        <v>20</v>
      </c>
      <c r="G603" s="9">
        <f xml:space="preserve"> WYNAJEM4[[#This Row],[energia]] + WYNAJEM4[[#This Row],[woda]]</f>
        <v>3.83</v>
      </c>
      <c r="H603" s="8">
        <f xml:space="preserve"> (10 * WYNAJEM4[[#This Row],[typ]] * WYNAJEM4[[#This Row],[czas wynajecia domku]])</f>
        <v>400</v>
      </c>
      <c r="I603" s="9">
        <f xml:space="preserve"> WYNAJEM4[[#This Row],[suma energia i woda]] + WYNAJEM4[[#This Row],[czynsz]]</f>
        <v>403.83</v>
      </c>
    </row>
    <row r="604" spans="1:9" x14ac:dyDescent="0.25">
      <c r="A604" s="1">
        <v>41910</v>
      </c>
      <c r="B604" s="1">
        <v>41936</v>
      </c>
      <c r="C604" s="8">
        <v>2.29</v>
      </c>
      <c r="D604" s="8">
        <v>0.06</v>
      </c>
      <c r="E604">
        <v>6</v>
      </c>
      <c r="F604" s="10">
        <f>(WYNAJEM4[[#This Row],[data_wyjazdu]]-WYNAJEM4[[#This Row],[data_przyjazdu]])</f>
        <v>26</v>
      </c>
      <c r="G604" s="9">
        <f xml:space="preserve"> WYNAJEM4[[#This Row],[energia]] + WYNAJEM4[[#This Row],[woda]]</f>
        <v>2.35</v>
      </c>
      <c r="H604" s="8">
        <f xml:space="preserve"> (10 * WYNAJEM4[[#This Row],[typ]] * WYNAJEM4[[#This Row],[czas wynajecia domku]])</f>
        <v>1560</v>
      </c>
      <c r="I604" s="9">
        <f xml:space="preserve"> WYNAJEM4[[#This Row],[suma energia i woda]] + WYNAJEM4[[#This Row],[czynsz]]</f>
        <v>1562.35</v>
      </c>
    </row>
    <row r="605" spans="1:9" x14ac:dyDescent="0.25">
      <c r="A605" s="1">
        <v>41910</v>
      </c>
      <c r="B605" s="1">
        <v>41926</v>
      </c>
      <c r="C605" s="8">
        <v>14.13</v>
      </c>
      <c r="D605" s="8">
        <v>0.37</v>
      </c>
      <c r="E605">
        <v>3</v>
      </c>
      <c r="F605" s="10">
        <f>(WYNAJEM4[[#This Row],[data_wyjazdu]]-WYNAJEM4[[#This Row],[data_przyjazdu]])</f>
        <v>16</v>
      </c>
      <c r="G605" s="9">
        <f xml:space="preserve"> WYNAJEM4[[#This Row],[energia]] + WYNAJEM4[[#This Row],[woda]]</f>
        <v>14.5</v>
      </c>
      <c r="H605" s="8">
        <f xml:space="preserve"> (10 * WYNAJEM4[[#This Row],[typ]] * WYNAJEM4[[#This Row],[czas wynajecia domku]])</f>
        <v>480</v>
      </c>
      <c r="I605" s="9">
        <f xml:space="preserve"> WYNAJEM4[[#This Row],[suma energia i woda]] + WYNAJEM4[[#This Row],[czynsz]]</f>
        <v>494.5</v>
      </c>
    </row>
    <row r="606" spans="1:9" x14ac:dyDescent="0.25">
      <c r="A606" s="1">
        <v>41910</v>
      </c>
      <c r="B606" s="1">
        <v>41925</v>
      </c>
      <c r="C606" s="8">
        <v>11.37</v>
      </c>
      <c r="D606" s="8">
        <v>0.3</v>
      </c>
      <c r="E606">
        <v>4</v>
      </c>
      <c r="F606" s="10">
        <f>(WYNAJEM4[[#This Row],[data_wyjazdu]]-WYNAJEM4[[#This Row],[data_przyjazdu]])</f>
        <v>15</v>
      </c>
      <c r="G606" s="9">
        <f xml:space="preserve"> WYNAJEM4[[#This Row],[energia]] + WYNAJEM4[[#This Row],[woda]]</f>
        <v>11.67</v>
      </c>
      <c r="H606" s="8">
        <f xml:space="preserve"> (10 * WYNAJEM4[[#This Row],[typ]] * WYNAJEM4[[#This Row],[czas wynajecia domku]])</f>
        <v>600</v>
      </c>
      <c r="I606" s="9">
        <f xml:space="preserve"> WYNAJEM4[[#This Row],[suma energia i woda]] + WYNAJEM4[[#This Row],[czynsz]]</f>
        <v>611.66999999999996</v>
      </c>
    </row>
    <row r="607" spans="1:9" x14ac:dyDescent="0.25">
      <c r="A607" s="1">
        <v>41910</v>
      </c>
      <c r="B607" s="1">
        <v>41917</v>
      </c>
      <c r="C607" s="8">
        <v>16.940000000000001</v>
      </c>
      <c r="D607" s="8">
        <v>0.45</v>
      </c>
      <c r="E607">
        <v>2</v>
      </c>
      <c r="F607" s="10">
        <f>(WYNAJEM4[[#This Row],[data_wyjazdu]]-WYNAJEM4[[#This Row],[data_przyjazdu]])</f>
        <v>7</v>
      </c>
      <c r="G607" s="9">
        <f xml:space="preserve"> WYNAJEM4[[#This Row],[energia]] + WYNAJEM4[[#This Row],[woda]]</f>
        <v>17.39</v>
      </c>
      <c r="H607" s="8">
        <f xml:space="preserve"> (10 * WYNAJEM4[[#This Row],[typ]] * WYNAJEM4[[#This Row],[czas wynajecia domku]])</f>
        <v>140</v>
      </c>
      <c r="I607" s="9">
        <f xml:space="preserve"> WYNAJEM4[[#This Row],[suma energia i woda]] + WYNAJEM4[[#This Row],[czynsz]]</f>
        <v>157.38999999999999</v>
      </c>
    </row>
    <row r="608" spans="1:9" x14ac:dyDescent="0.25">
      <c r="A608" s="1">
        <v>41910</v>
      </c>
      <c r="B608" s="1">
        <v>41913</v>
      </c>
      <c r="C608" s="8">
        <v>11.42</v>
      </c>
      <c r="D608" s="8">
        <v>0.3</v>
      </c>
      <c r="E608">
        <v>3</v>
      </c>
      <c r="F608" s="10">
        <f>(WYNAJEM4[[#This Row],[data_wyjazdu]]-WYNAJEM4[[#This Row],[data_przyjazdu]])</f>
        <v>3</v>
      </c>
      <c r="G608" s="9">
        <f xml:space="preserve"> WYNAJEM4[[#This Row],[energia]] + WYNAJEM4[[#This Row],[woda]]</f>
        <v>11.72</v>
      </c>
      <c r="H608" s="8">
        <f xml:space="preserve"> (10 * WYNAJEM4[[#This Row],[typ]] * WYNAJEM4[[#This Row],[czas wynajecia domku]])</f>
        <v>90</v>
      </c>
      <c r="I608" s="9">
        <f xml:space="preserve"> WYNAJEM4[[#This Row],[suma energia i woda]] + WYNAJEM4[[#This Row],[czynsz]]</f>
        <v>101.72</v>
      </c>
    </row>
    <row r="609" spans="1:9" x14ac:dyDescent="0.25">
      <c r="A609" s="1">
        <v>41910</v>
      </c>
      <c r="B609" s="1">
        <v>41913</v>
      </c>
      <c r="C609" s="8">
        <v>4.25</v>
      </c>
      <c r="D609" s="8">
        <v>0.11</v>
      </c>
      <c r="E609">
        <v>4</v>
      </c>
      <c r="F609" s="10">
        <f>(WYNAJEM4[[#This Row],[data_wyjazdu]]-WYNAJEM4[[#This Row],[data_przyjazdu]])</f>
        <v>3</v>
      </c>
      <c r="G609" s="9">
        <f xml:space="preserve"> WYNAJEM4[[#This Row],[energia]] + WYNAJEM4[[#This Row],[woda]]</f>
        <v>4.3600000000000003</v>
      </c>
      <c r="H609" s="8">
        <f xml:space="preserve"> (10 * WYNAJEM4[[#This Row],[typ]] * WYNAJEM4[[#This Row],[czas wynajecia domku]])</f>
        <v>120</v>
      </c>
      <c r="I609" s="9">
        <f xml:space="preserve"> WYNAJEM4[[#This Row],[suma energia i woda]] + WYNAJEM4[[#This Row],[czynsz]]</f>
        <v>124.36</v>
      </c>
    </row>
    <row r="610" spans="1:9" x14ac:dyDescent="0.25">
      <c r="A610" s="1">
        <v>41910</v>
      </c>
      <c r="B610" s="1">
        <v>41930</v>
      </c>
      <c r="C610" s="8">
        <v>5.78</v>
      </c>
      <c r="D610" s="8">
        <v>0.15</v>
      </c>
      <c r="E610">
        <v>2</v>
      </c>
      <c r="F610" s="10">
        <f>(WYNAJEM4[[#This Row],[data_wyjazdu]]-WYNAJEM4[[#This Row],[data_przyjazdu]])</f>
        <v>20</v>
      </c>
      <c r="G610" s="9">
        <f xml:space="preserve"> WYNAJEM4[[#This Row],[energia]] + WYNAJEM4[[#This Row],[woda]]</f>
        <v>5.9300000000000006</v>
      </c>
      <c r="H610" s="8">
        <f xml:space="preserve"> (10 * WYNAJEM4[[#This Row],[typ]] * WYNAJEM4[[#This Row],[czas wynajecia domku]])</f>
        <v>400</v>
      </c>
      <c r="I610" s="9">
        <f xml:space="preserve"> WYNAJEM4[[#This Row],[suma energia i woda]] + WYNAJEM4[[#This Row],[czynsz]]</f>
        <v>405.93</v>
      </c>
    </row>
    <row r="611" spans="1:9" x14ac:dyDescent="0.25">
      <c r="A611" s="1">
        <v>41910</v>
      </c>
      <c r="B611" s="1">
        <v>41918</v>
      </c>
      <c r="C611" s="8">
        <v>5.23</v>
      </c>
      <c r="D611" s="8">
        <v>0.14000000000000001</v>
      </c>
      <c r="E611">
        <v>5</v>
      </c>
      <c r="F611" s="10">
        <f>(WYNAJEM4[[#This Row],[data_wyjazdu]]-WYNAJEM4[[#This Row],[data_przyjazdu]])</f>
        <v>8</v>
      </c>
      <c r="G611" s="9">
        <f xml:space="preserve"> WYNAJEM4[[#This Row],[energia]] + WYNAJEM4[[#This Row],[woda]]</f>
        <v>5.37</v>
      </c>
      <c r="H611" s="8">
        <f xml:space="preserve"> (10 * WYNAJEM4[[#This Row],[typ]] * WYNAJEM4[[#This Row],[czas wynajecia domku]])</f>
        <v>400</v>
      </c>
      <c r="I611" s="9">
        <f xml:space="preserve"> WYNAJEM4[[#This Row],[suma energia i woda]] + WYNAJEM4[[#This Row],[czynsz]]</f>
        <v>405.37</v>
      </c>
    </row>
    <row r="612" spans="1:9" x14ac:dyDescent="0.25">
      <c r="A612" s="1">
        <v>41910</v>
      </c>
      <c r="B612" s="1">
        <v>41933</v>
      </c>
      <c r="C612" s="8">
        <v>10.79</v>
      </c>
      <c r="D612" s="8">
        <v>0.28000000000000003</v>
      </c>
      <c r="E612">
        <v>3</v>
      </c>
      <c r="F612" s="10">
        <f>(WYNAJEM4[[#This Row],[data_wyjazdu]]-WYNAJEM4[[#This Row],[data_przyjazdu]])</f>
        <v>23</v>
      </c>
      <c r="G612" s="9">
        <f xml:space="preserve"> WYNAJEM4[[#This Row],[energia]] + WYNAJEM4[[#This Row],[woda]]</f>
        <v>11.069999999999999</v>
      </c>
      <c r="H612" s="8">
        <f xml:space="preserve"> (10 * WYNAJEM4[[#This Row],[typ]] * WYNAJEM4[[#This Row],[czas wynajecia domku]])</f>
        <v>690</v>
      </c>
      <c r="I612" s="9">
        <f xml:space="preserve"> WYNAJEM4[[#This Row],[suma energia i woda]] + WYNAJEM4[[#This Row],[czynsz]]</f>
        <v>701.07</v>
      </c>
    </row>
    <row r="613" spans="1:9" x14ac:dyDescent="0.25">
      <c r="A613" s="1">
        <v>41910</v>
      </c>
      <c r="B613" s="1">
        <v>41923</v>
      </c>
      <c r="C613" s="8">
        <v>5.78</v>
      </c>
      <c r="D613" s="8">
        <v>0.15</v>
      </c>
      <c r="E613">
        <v>6</v>
      </c>
      <c r="F613" s="10">
        <f>(WYNAJEM4[[#This Row],[data_wyjazdu]]-WYNAJEM4[[#This Row],[data_przyjazdu]])</f>
        <v>13</v>
      </c>
      <c r="G613" s="9">
        <f xml:space="preserve"> WYNAJEM4[[#This Row],[energia]] + WYNAJEM4[[#This Row],[woda]]</f>
        <v>5.9300000000000006</v>
      </c>
      <c r="H613" s="8">
        <f xml:space="preserve"> (10 * WYNAJEM4[[#This Row],[typ]] * WYNAJEM4[[#This Row],[czas wynajecia domku]])</f>
        <v>780</v>
      </c>
      <c r="I613" s="9">
        <f xml:space="preserve"> WYNAJEM4[[#This Row],[suma energia i woda]] + WYNAJEM4[[#This Row],[czynsz]]</f>
        <v>785.93</v>
      </c>
    </row>
    <row r="614" spans="1:9" x14ac:dyDescent="0.25">
      <c r="A614" s="1">
        <v>41911</v>
      </c>
      <c r="B614" s="1">
        <v>41919</v>
      </c>
      <c r="C614" s="8">
        <v>11.37</v>
      </c>
      <c r="D614" s="8">
        <v>0.3</v>
      </c>
      <c r="E614">
        <v>4</v>
      </c>
      <c r="F614" s="10">
        <f>(WYNAJEM4[[#This Row],[data_wyjazdu]]-WYNAJEM4[[#This Row],[data_przyjazdu]])</f>
        <v>8</v>
      </c>
      <c r="G614" s="9">
        <f xml:space="preserve"> WYNAJEM4[[#This Row],[energia]] + WYNAJEM4[[#This Row],[woda]]</f>
        <v>11.67</v>
      </c>
      <c r="H614" s="8">
        <f xml:space="preserve"> (10 * WYNAJEM4[[#This Row],[typ]] * WYNAJEM4[[#This Row],[czas wynajecia domku]])</f>
        <v>320</v>
      </c>
      <c r="I614" s="9">
        <f xml:space="preserve"> WYNAJEM4[[#This Row],[suma energia i woda]] + WYNAJEM4[[#This Row],[czynsz]]</f>
        <v>331.67</v>
      </c>
    </row>
    <row r="615" spans="1:9" x14ac:dyDescent="0.25">
      <c r="A615" s="1">
        <v>41911</v>
      </c>
      <c r="B615" s="1">
        <v>41927</v>
      </c>
      <c r="C615" s="8">
        <v>8.9499999999999993</v>
      </c>
      <c r="D615" s="8">
        <v>0.24</v>
      </c>
      <c r="E615">
        <v>3</v>
      </c>
      <c r="F615" s="10">
        <f>(WYNAJEM4[[#This Row],[data_wyjazdu]]-WYNAJEM4[[#This Row],[data_przyjazdu]])</f>
        <v>16</v>
      </c>
      <c r="G615" s="9">
        <f xml:space="preserve"> WYNAJEM4[[#This Row],[energia]] + WYNAJEM4[[#This Row],[woda]]</f>
        <v>9.19</v>
      </c>
      <c r="H615" s="8">
        <f xml:space="preserve"> (10 * WYNAJEM4[[#This Row],[typ]] * WYNAJEM4[[#This Row],[czas wynajecia domku]])</f>
        <v>480</v>
      </c>
      <c r="I615" s="9">
        <f xml:space="preserve"> WYNAJEM4[[#This Row],[suma energia i woda]] + WYNAJEM4[[#This Row],[czynsz]]</f>
        <v>489.19</v>
      </c>
    </row>
    <row r="616" spans="1:9" x14ac:dyDescent="0.25">
      <c r="A616" s="1">
        <v>41911</v>
      </c>
      <c r="B616" s="1">
        <v>41929</v>
      </c>
      <c r="C616" s="8">
        <v>10.199999999999999</v>
      </c>
      <c r="D616" s="8">
        <v>0.27</v>
      </c>
      <c r="E616">
        <v>3</v>
      </c>
      <c r="F616" s="10">
        <f>(WYNAJEM4[[#This Row],[data_wyjazdu]]-WYNAJEM4[[#This Row],[data_przyjazdu]])</f>
        <v>18</v>
      </c>
      <c r="G616" s="9">
        <f xml:space="preserve"> WYNAJEM4[[#This Row],[energia]] + WYNAJEM4[[#This Row],[woda]]</f>
        <v>10.469999999999999</v>
      </c>
      <c r="H616" s="8">
        <f xml:space="preserve"> (10 * WYNAJEM4[[#This Row],[typ]] * WYNAJEM4[[#This Row],[czas wynajecia domku]])</f>
        <v>540</v>
      </c>
      <c r="I616" s="9">
        <f xml:space="preserve"> WYNAJEM4[[#This Row],[suma energia i woda]] + WYNAJEM4[[#This Row],[czynsz]]</f>
        <v>550.47</v>
      </c>
    </row>
    <row r="617" spans="1:9" x14ac:dyDescent="0.25">
      <c r="A617" s="1">
        <v>41911</v>
      </c>
      <c r="B617" s="1">
        <v>41921</v>
      </c>
      <c r="C617" s="8">
        <v>9.1300000000000008</v>
      </c>
      <c r="D617" s="8">
        <v>0.24</v>
      </c>
      <c r="E617">
        <v>4</v>
      </c>
      <c r="F617" s="10">
        <f>(WYNAJEM4[[#This Row],[data_wyjazdu]]-WYNAJEM4[[#This Row],[data_przyjazdu]])</f>
        <v>10</v>
      </c>
      <c r="G617" s="9">
        <f xml:space="preserve"> WYNAJEM4[[#This Row],[energia]] + WYNAJEM4[[#This Row],[woda]]</f>
        <v>9.370000000000001</v>
      </c>
      <c r="H617" s="8">
        <f xml:space="preserve"> (10 * WYNAJEM4[[#This Row],[typ]] * WYNAJEM4[[#This Row],[czas wynajecia domku]])</f>
        <v>400</v>
      </c>
      <c r="I617" s="9">
        <f xml:space="preserve"> WYNAJEM4[[#This Row],[suma energia i woda]] + WYNAJEM4[[#This Row],[czynsz]]</f>
        <v>409.37</v>
      </c>
    </row>
    <row r="618" spans="1:9" x14ac:dyDescent="0.25">
      <c r="A618" s="1">
        <v>41911</v>
      </c>
      <c r="B618" s="1">
        <v>41932</v>
      </c>
      <c r="C618" s="8">
        <v>6.23</v>
      </c>
      <c r="D618" s="8">
        <v>0.16</v>
      </c>
      <c r="E618">
        <v>6</v>
      </c>
      <c r="F618" s="10">
        <f>(WYNAJEM4[[#This Row],[data_wyjazdu]]-WYNAJEM4[[#This Row],[data_przyjazdu]])</f>
        <v>21</v>
      </c>
      <c r="G618" s="9">
        <f xml:space="preserve"> WYNAJEM4[[#This Row],[energia]] + WYNAJEM4[[#This Row],[woda]]</f>
        <v>6.3900000000000006</v>
      </c>
      <c r="H618" s="8">
        <f xml:space="preserve"> (10 * WYNAJEM4[[#This Row],[typ]] * WYNAJEM4[[#This Row],[czas wynajecia domku]])</f>
        <v>1260</v>
      </c>
      <c r="I618" s="9">
        <f xml:space="preserve"> WYNAJEM4[[#This Row],[suma energia i woda]] + WYNAJEM4[[#This Row],[czynsz]]</f>
        <v>1266.3900000000001</v>
      </c>
    </row>
    <row r="619" spans="1:9" x14ac:dyDescent="0.25">
      <c r="A619" s="1">
        <v>41911</v>
      </c>
      <c r="B619" s="1">
        <v>41932</v>
      </c>
      <c r="C619" s="8">
        <v>8.84</v>
      </c>
      <c r="D619" s="8">
        <v>0.23</v>
      </c>
      <c r="E619">
        <v>4</v>
      </c>
      <c r="F619" s="10">
        <f>(WYNAJEM4[[#This Row],[data_wyjazdu]]-WYNAJEM4[[#This Row],[data_przyjazdu]])</f>
        <v>21</v>
      </c>
      <c r="G619" s="9">
        <f xml:space="preserve"> WYNAJEM4[[#This Row],[energia]] + WYNAJEM4[[#This Row],[woda]]</f>
        <v>9.07</v>
      </c>
      <c r="H619" s="8">
        <f xml:space="preserve"> (10 * WYNAJEM4[[#This Row],[typ]] * WYNAJEM4[[#This Row],[czas wynajecia domku]])</f>
        <v>840</v>
      </c>
      <c r="I619" s="9">
        <f xml:space="preserve"> WYNAJEM4[[#This Row],[suma energia i woda]] + WYNAJEM4[[#This Row],[czynsz]]</f>
        <v>849.07</v>
      </c>
    </row>
    <row r="620" spans="1:9" x14ac:dyDescent="0.25">
      <c r="A620" s="1">
        <v>41911</v>
      </c>
      <c r="B620" s="1">
        <v>41919</v>
      </c>
      <c r="C620" s="8">
        <v>6.88</v>
      </c>
      <c r="D620" s="8">
        <v>0.18</v>
      </c>
      <c r="E620">
        <v>6</v>
      </c>
      <c r="F620" s="10">
        <f>(WYNAJEM4[[#This Row],[data_wyjazdu]]-WYNAJEM4[[#This Row],[data_przyjazdu]])</f>
        <v>8</v>
      </c>
      <c r="G620" s="9">
        <f xml:space="preserve"> WYNAJEM4[[#This Row],[energia]] + WYNAJEM4[[#This Row],[woda]]</f>
        <v>7.06</v>
      </c>
      <c r="H620" s="8">
        <f xml:space="preserve"> (10 * WYNAJEM4[[#This Row],[typ]] * WYNAJEM4[[#This Row],[czas wynajecia domku]])</f>
        <v>480</v>
      </c>
      <c r="I620" s="9">
        <f xml:space="preserve"> WYNAJEM4[[#This Row],[suma energia i woda]] + WYNAJEM4[[#This Row],[czynsz]]</f>
        <v>487.06</v>
      </c>
    </row>
    <row r="621" spans="1:9" x14ac:dyDescent="0.25">
      <c r="A621" s="1">
        <v>41911</v>
      </c>
      <c r="B621" s="1">
        <v>41921</v>
      </c>
      <c r="C621" s="8">
        <v>8.84</v>
      </c>
      <c r="D621" s="8">
        <v>0.23</v>
      </c>
      <c r="E621">
        <v>2</v>
      </c>
      <c r="F621" s="10">
        <f>(WYNAJEM4[[#This Row],[data_wyjazdu]]-WYNAJEM4[[#This Row],[data_przyjazdu]])</f>
        <v>10</v>
      </c>
      <c r="G621" s="9">
        <f xml:space="preserve"> WYNAJEM4[[#This Row],[energia]] + WYNAJEM4[[#This Row],[woda]]</f>
        <v>9.07</v>
      </c>
      <c r="H621" s="8">
        <f xml:space="preserve"> (10 * WYNAJEM4[[#This Row],[typ]] * WYNAJEM4[[#This Row],[czas wynajecia domku]])</f>
        <v>200</v>
      </c>
      <c r="I621" s="9">
        <f xml:space="preserve"> WYNAJEM4[[#This Row],[suma energia i woda]] + WYNAJEM4[[#This Row],[czynsz]]</f>
        <v>209.07</v>
      </c>
    </row>
    <row r="622" spans="1:9" x14ac:dyDescent="0.25">
      <c r="A622" s="1">
        <v>41911</v>
      </c>
      <c r="B622" s="1">
        <v>41917</v>
      </c>
      <c r="C622" s="8">
        <v>3.57</v>
      </c>
      <c r="D622" s="8">
        <v>0.09</v>
      </c>
      <c r="E622">
        <v>5</v>
      </c>
      <c r="F622" s="10">
        <f>(WYNAJEM4[[#This Row],[data_wyjazdu]]-WYNAJEM4[[#This Row],[data_przyjazdu]])</f>
        <v>6</v>
      </c>
      <c r="G622" s="9">
        <f xml:space="preserve"> WYNAJEM4[[#This Row],[energia]] + WYNAJEM4[[#This Row],[woda]]</f>
        <v>3.6599999999999997</v>
      </c>
      <c r="H622" s="8">
        <f xml:space="preserve"> (10 * WYNAJEM4[[#This Row],[typ]] * WYNAJEM4[[#This Row],[czas wynajecia domku]])</f>
        <v>300</v>
      </c>
      <c r="I622" s="9">
        <f xml:space="preserve"> WYNAJEM4[[#This Row],[suma energia i woda]] + WYNAJEM4[[#This Row],[czynsz]]</f>
        <v>303.66000000000003</v>
      </c>
    </row>
    <row r="623" spans="1:9" x14ac:dyDescent="0.25">
      <c r="A623" s="1">
        <v>41911</v>
      </c>
      <c r="B623" s="1">
        <v>41926</v>
      </c>
      <c r="C623" s="8">
        <v>5.64</v>
      </c>
      <c r="D623" s="8">
        <v>0.15</v>
      </c>
      <c r="E623">
        <v>5</v>
      </c>
      <c r="F623" s="10">
        <f>(WYNAJEM4[[#This Row],[data_wyjazdu]]-WYNAJEM4[[#This Row],[data_przyjazdu]])</f>
        <v>15</v>
      </c>
      <c r="G623" s="9">
        <f xml:space="preserve"> WYNAJEM4[[#This Row],[energia]] + WYNAJEM4[[#This Row],[woda]]</f>
        <v>5.79</v>
      </c>
      <c r="H623" s="8">
        <f xml:space="preserve"> (10 * WYNAJEM4[[#This Row],[typ]] * WYNAJEM4[[#This Row],[czas wynajecia domku]])</f>
        <v>750</v>
      </c>
      <c r="I623" s="9">
        <f xml:space="preserve"> WYNAJEM4[[#This Row],[suma energia i woda]] + WYNAJEM4[[#This Row],[czynsz]]</f>
        <v>755.79</v>
      </c>
    </row>
    <row r="624" spans="1:9" x14ac:dyDescent="0.25">
      <c r="A624" s="1">
        <v>41911</v>
      </c>
      <c r="B624" s="1">
        <v>41938</v>
      </c>
      <c r="C624" s="8">
        <v>9.06</v>
      </c>
      <c r="D624" s="8">
        <v>0.24</v>
      </c>
      <c r="E624">
        <v>6</v>
      </c>
      <c r="F624" s="10">
        <f>(WYNAJEM4[[#This Row],[data_wyjazdu]]-WYNAJEM4[[#This Row],[data_przyjazdu]])</f>
        <v>27</v>
      </c>
      <c r="G624" s="9">
        <f xml:space="preserve"> WYNAJEM4[[#This Row],[energia]] + WYNAJEM4[[#This Row],[woda]]</f>
        <v>9.3000000000000007</v>
      </c>
      <c r="H624" s="8">
        <f xml:space="preserve"> (10 * WYNAJEM4[[#This Row],[typ]] * WYNAJEM4[[#This Row],[czas wynajecia domku]])</f>
        <v>1620</v>
      </c>
      <c r="I624" s="9">
        <f xml:space="preserve"> WYNAJEM4[[#This Row],[suma energia i woda]] + WYNAJEM4[[#This Row],[czynsz]]</f>
        <v>1629.3</v>
      </c>
    </row>
    <row r="625" spans="1:9" x14ac:dyDescent="0.25">
      <c r="A625" s="1">
        <v>41911</v>
      </c>
      <c r="B625" s="1">
        <v>41916</v>
      </c>
      <c r="C625" s="8">
        <v>7.55</v>
      </c>
      <c r="D625" s="8">
        <v>0.2</v>
      </c>
      <c r="E625">
        <v>2</v>
      </c>
      <c r="F625" s="10">
        <f>(WYNAJEM4[[#This Row],[data_wyjazdu]]-WYNAJEM4[[#This Row],[data_przyjazdu]])</f>
        <v>5</v>
      </c>
      <c r="G625" s="9">
        <f xml:space="preserve"> WYNAJEM4[[#This Row],[energia]] + WYNAJEM4[[#This Row],[woda]]</f>
        <v>7.75</v>
      </c>
      <c r="H625" s="8">
        <f xml:space="preserve"> (10 * WYNAJEM4[[#This Row],[typ]] * WYNAJEM4[[#This Row],[czas wynajecia domku]])</f>
        <v>100</v>
      </c>
      <c r="I625" s="9">
        <f xml:space="preserve"> WYNAJEM4[[#This Row],[suma energia i woda]] + WYNAJEM4[[#This Row],[czynsz]]</f>
        <v>107.75</v>
      </c>
    </row>
    <row r="626" spans="1:9" x14ac:dyDescent="0.25">
      <c r="A626" s="1">
        <v>41911</v>
      </c>
      <c r="B626" s="1">
        <v>41929</v>
      </c>
      <c r="C626" s="8">
        <v>13.02</v>
      </c>
      <c r="D626" s="8">
        <v>0.34</v>
      </c>
      <c r="E626">
        <v>5</v>
      </c>
      <c r="F626" s="10">
        <f>(WYNAJEM4[[#This Row],[data_wyjazdu]]-WYNAJEM4[[#This Row],[data_przyjazdu]])</f>
        <v>18</v>
      </c>
      <c r="G626" s="9">
        <f xml:space="preserve"> WYNAJEM4[[#This Row],[energia]] + WYNAJEM4[[#This Row],[woda]]</f>
        <v>13.36</v>
      </c>
      <c r="H626" s="8">
        <f xml:space="preserve"> (10 * WYNAJEM4[[#This Row],[typ]] * WYNAJEM4[[#This Row],[czas wynajecia domku]])</f>
        <v>900</v>
      </c>
      <c r="I626" s="9">
        <f xml:space="preserve"> WYNAJEM4[[#This Row],[suma energia i woda]] + WYNAJEM4[[#This Row],[czynsz]]</f>
        <v>913.36</v>
      </c>
    </row>
    <row r="627" spans="1:9" x14ac:dyDescent="0.25">
      <c r="A627" s="1">
        <v>41911</v>
      </c>
      <c r="B627" s="1">
        <v>41913</v>
      </c>
      <c r="C627" s="8">
        <v>8.9499999999999993</v>
      </c>
      <c r="D627" s="8">
        <v>0.24</v>
      </c>
      <c r="E627">
        <v>4</v>
      </c>
      <c r="F627" s="10">
        <f>(WYNAJEM4[[#This Row],[data_wyjazdu]]-WYNAJEM4[[#This Row],[data_przyjazdu]])</f>
        <v>2</v>
      </c>
      <c r="G627" s="9">
        <f xml:space="preserve"> WYNAJEM4[[#This Row],[energia]] + WYNAJEM4[[#This Row],[woda]]</f>
        <v>9.19</v>
      </c>
      <c r="H627" s="8">
        <f xml:space="preserve"> (10 * WYNAJEM4[[#This Row],[typ]] * WYNAJEM4[[#This Row],[czas wynajecia domku]])</f>
        <v>80</v>
      </c>
      <c r="I627" s="9">
        <f xml:space="preserve"> WYNAJEM4[[#This Row],[suma energia i woda]] + WYNAJEM4[[#This Row],[czynsz]]</f>
        <v>89.19</v>
      </c>
    </row>
    <row r="628" spans="1:9" x14ac:dyDescent="0.25">
      <c r="A628" s="1">
        <v>41911</v>
      </c>
      <c r="B628" s="1">
        <v>41918</v>
      </c>
      <c r="C628" s="8">
        <v>10.93</v>
      </c>
      <c r="D628" s="8">
        <v>0.28999999999999998</v>
      </c>
      <c r="E628">
        <v>3</v>
      </c>
      <c r="F628" s="10">
        <f>(WYNAJEM4[[#This Row],[data_wyjazdu]]-WYNAJEM4[[#This Row],[data_przyjazdu]])</f>
        <v>7</v>
      </c>
      <c r="G628" s="9">
        <f xml:space="preserve"> WYNAJEM4[[#This Row],[energia]] + WYNAJEM4[[#This Row],[woda]]</f>
        <v>11.219999999999999</v>
      </c>
      <c r="H628" s="8">
        <f xml:space="preserve"> (10 * WYNAJEM4[[#This Row],[typ]] * WYNAJEM4[[#This Row],[czas wynajecia domku]])</f>
        <v>210</v>
      </c>
      <c r="I628" s="9">
        <f xml:space="preserve"> WYNAJEM4[[#This Row],[suma energia i woda]] + WYNAJEM4[[#This Row],[czynsz]]</f>
        <v>221.22</v>
      </c>
    </row>
    <row r="629" spans="1:9" x14ac:dyDescent="0.25">
      <c r="A629" s="1">
        <v>41911</v>
      </c>
      <c r="B629" s="1">
        <v>41931</v>
      </c>
      <c r="C629" s="8">
        <v>7.3</v>
      </c>
      <c r="D629" s="8">
        <v>0.19</v>
      </c>
      <c r="E629">
        <v>5</v>
      </c>
      <c r="F629" s="10">
        <f>(WYNAJEM4[[#This Row],[data_wyjazdu]]-WYNAJEM4[[#This Row],[data_przyjazdu]])</f>
        <v>20</v>
      </c>
      <c r="G629" s="9">
        <f xml:space="preserve"> WYNAJEM4[[#This Row],[energia]] + WYNAJEM4[[#This Row],[woda]]</f>
        <v>7.49</v>
      </c>
      <c r="H629" s="8">
        <f xml:space="preserve"> (10 * WYNAJEM4[[#This Row],[typ]] * WYNAJEM4[[#This Row],[czas wynajecia domku]])</f>
        <v>1000</v>
      </c>
      <c r="I629" s="9">
        <f xml:space="preserve"> WYNAJEM4[[#This Row],[suma energia i woda]] + WYNAJEM4[[#This Row],[czynsz]]</f>
        <v>1007.49</v>
      </c>
    </row>
    <row r="630" spans="1:9" x14ac:dyDescent="0.25">
      <c r="A630" s="1">
        <v>41911</v>
      </c>
      <c r="B630" s="1">
        <v>41939</v>
      </c>
      <c r="C630" s="8">
        <v>7.31</v>
      </c>
      <c r="D630" s="8">
        <v>0.19</v>
      </c>
      <c r="E630">
        <v>6</v>
      </c>
      <c r="F630" s="10">
        <f>(WYNAJEM4[[#This Row],[data_wyjazdu]]-WYNAJEM4[[#This Row],[data_przyjazdu]])</f>
        <v>28</v>
      </c>
      <c r="G630" s="9">
        <f xml:space="preserve"> WYNAJEM4[[#This Row],[energia]] + WYNAJEM4[[#This Row],[woda]]</f>
        <v>7.5</v>
      </c>
      <c r="H630" s="8">
        <f xml:space="preserve"> (10 * WYNAJEM4[[#This Row],[typ]] * WYNAJEM4[[#This Row],[czas wynajecia domku]])</f>
        <v>1680</v>
      </c>
      <c r="I630" s="9">
        <f xml:space="preserve"> WYNAJEM4[[#This Row],[suma energia i woda]] + WYNAJEM4[[#This Row],[czynsz]]</f>
        <v>1687.5</v>
      </c>
    </row>
    <row r="631" spans="1:9" x14ac:dyDescent="0.25">
      <c r="A631" s="1">
        <v>41911</v>
      </c>
      <c r="B631" s="1">
        <v>41918</v>
      </c>
      <c r="C631" s="8">
        <v>13.07</v>
      </c>
      <c r="D631" s="8">
        <v>0.34</v>
      </c>
      <c r="E631">
        <v>5</v>
      </c>
      <c r="F631" s="10">
        <f>(WYNAJEM4[[#This Row],[data_wyjazdu]]-WYNAJEM4[[#This Row],[data_przyjazdu]])</f>
        <v>7</v>
      </c>
      <c r="G631" s="9">
        <f xml:space="preserve"> WYNAJEM4[[#This Row],[energia]] + WYNAJEM4[[#This Row],[woda]]</f>
        <v>13.41</v>
      </c>
      <c r="H631" s="8">
        <f xml:space="preserve"> (10 * WYNAJEM4[[#This Row],[typ]] * WYNAJEM4[[#This Row],[czas wynajecia domku]])</f>
        <v>350</v>
      </c>
      <c r="I631" s="9">
        <f xml:space="preserve"> WYNAJEM4[[#This Row],[suma energia i woda]] + WYNAJEM4[[#This Row],[czynsz]]</f>
        <v>363.41</v>
      </c>
    </row>
    <row r="632" spans="1:9" x14ac:dyDescent="0.25">
      <c r="A632" s="1">
        <v>41911</v>
      </c>
      <c r="B632" s="1">
        <v>41923</v>
      </c>
      <c r="C632" s="8">
        <v>5.67</v>
      </c>
      <c r="D632" s="8">
        <v>0.15</v>
      </c>
      <c r="E632">
        <v>4</v>
      </c>
      <c r="F632" s="10">
        <f>(WYNAJEM4[[#This Row],[data_wyjazdu]]-WYNAJEM4[[#This Row],[data_przyjazdu]])</f>
        <v>12</v>
      </c>
      <c r="G632" s="9">
        <f xml:space="preserve"> WYNAJEM4[[#This Row],[energia]] + WYNAJEM4[[#This Row],[woda]]</f>
        <v>5.82</v>
      </c>
      <c r="H632" s="8">
        <f xml:space="preserve"> (10 * WYNAJEM4[[#This Row],[typ]] * WYNAJEM4[[#This Row],[czas wynajecia domku]])</f>
        <v>480</v>
      </c>
      <c r="I632" s="9">
        <f xml:space="preserve"> WYNAJEM4[[#This Row],[suma energia i woda]] + WYNAJEM4[[#This Row],[czynsz]]</f>
        <v>485.82</v>
      </c>
    </row>
    <row r="633" spans="1:9" x14ac:dyDescent="0.25">
      <c r="A633" s="1">
        <v>41912</v>
      </c>
      <c r="B633" s="1">
        <v>41925</v>
      </c>
      <c r="C633" s="8">
        <v>2.72</v>
      </c>
      <c r="D633" s="8">
        <v>7.0000000000000007E-2</v>
      </c>
      <c r="E633">
        <v>6</v>
      </c>
      <c r="F633" s="10">
        <f>(WYNAJEM4[[#This Row],[data_wyjazdu]]-WYNAJEM4[[#This Row],[data_przyjazdu]])</f>
        <v>13</v>
      </c>
      <c r="G633" s="9">
        <f xml:space="preserve"> WYNAJEM4[[#This Row],[energia]] + WYNAJEM4[[#This Row],[woda]]</f>
        <v>2.79</v>
      </c>
      <c r="H633" s="8">
        <f xml:space="preserve"> (10 * WYNAJEM4[[#This Row],[typ]] * WYNAJEM4[[#This Row],[czas wynajecia domku]])</f>
        <v>780</v>
      </c>
      <c r="I633" s="9">
        <f xml:space="preserve"> WYNAJEM4[[#This Row],[suma energia i woda]] + WYNAJEM4[[#This Row],[czynsz]]</f>
        <v>782.79</v>
      </c>
    </row>
    <row r="634" spans="1:9" x14ac:dyDescent="0.25">
      <c r="A634" s="1">
        <v>41913</v>
      </c>
      <c r="B634" s="1">
        <v>41919</v>
      </c>
      <c r="C634" s="8">
        <v>5.67</v>
      </c>
      <c r="D634" s="8">
        <v>0.15</v>
      </c>
      <c r="E634">
        <v>4</v>
      </c>
      <c r="F634" s="10">
        <f>(WYNAJEM4[[#This Row],[data_wyjazdu]]-WYNAJEM4[[#This Row],[data_przyjazdu]])</f>
        <v>6</v>
      </c>
      <c r="G634" s="9">
        <f xml:space="preserve"> WYNAJEM4[[#This Row],[energia]] + WYNAJEM4[[#This Row],[woda]]</f>
        <v>5.82</v>
      </c>
      <c r="H634" s="8">
        <f xml:space="preserve"> (10 * WYNAJEM4[[#This Row],[typ]] * WYNAJEM4[[#This Row],[czas wynajecia domku]])</f>
        <v>240</v>
      </c>
      <c r="I634" s="9">
        <f xml:space="preserve"> WYNAJEM4[[#This Row],[suma energia i woda]] + WYNAJEM4[[#This Row],[czynsz]]</f>
        <v>245.82</v>
      </c>
    </row>
    <row r="635" spans="1:9" x14ac:dyDescent="0.25">
      <c r="A635" s="1">
        <v>41913</v>
      </c>
      <c r="B635" s="1">
        <v>41928</v>
      </c>
      <c r="C635" s="8">
        <v>5.67</v>
      </c>
      <c r="D635" s="8">
        <v>0.15</v>
      </c>
      <c r="E635">
        <v>5</v>
      </c>
      <c r="F635" s="10">
        <f>(WYNAJEM4[[#This Row],[data_wyjazdu]]-WYNAJEM4[[#This Row],[data_przyjazdu]])</f>
        <v>15</v>
      </c>
      <c r="G635" s="9">
        <f xml:space="preserve"> WYNAJEM4[[#This Row],[energia]] + WYNAJEM4[[#This Row],[woda]]</f>
        <v>5.82</v>
      </c>
      <c r="H635" s="8">
        <f xml:space="preserve"> (10 * WYNAJEM4[[#This Row],[typ]] * WYNAJEM4[[#This Row],[czas wynajecia domku]])</f>
        <v>750</v>
      </c>
      <c r="I635" s="9">
        <f xml:space="preserve"> WYNAJEM4[[#This Row],[suma energia i woda]] + WYNAJEM4[[#This Row],[czynsz]]</f>
        <v>755.82</v>
      </c>
    </row>
    <row r="636" spans="1:9" x14ac:dyDescent="0.25">
      <c r="A636" s="1">
        <v>41914</v>
      </c>
      <c r="B636" s="1">
        <v>41917</v>
      </c>
      <c r="C636" s="8">
        <v>3.94</v>
      </c>
      <c r="D636" s="8">
        <v>0.1</v>
      </c>
      <c r="E636">
        <v>5</v>
      </c>
      <c r="F636" s="10">
        <f>(WYNAJEM4[[#This Row],[data_wyjazdu]]-WYNAJEM4[[#This Row],[data_przyjazdu]])</f>
        <v>3</v>
      </c>
      <c r="G636" s="9">
        <f xml:space="preserve"> WYNAJEM4[[#This Row],[energia]] + WYNAJEM4[[#This Row],[woda]]</f>
        <v>4.04</v>
      </c>
      <c r="H636" s="8">
        <f xml:space="preserve"> (10 * WYNAJEM4[[#This Row],[typ]] * WYNAJEM4[[#This Row],[czas wynajecia domku]])</f>
        <v>150</v>
      </c>
      <c r="I636" s="9">
        <f xml:space="preserve"> WYNAJEM4[[#This Row],[suma energia i woda]] + WYNAJEM4[[#This Row],[czynsz]]</f>
        <v>154.04</v>
      </c>
    </row>
    <row r="637" spans="1:9" x14ac:dyDescent="0.25">
      <c r="A637" s="1">
        <v>41914</v>
      </c>
      <c r="B637" s="1">
        <v>41942</v>
      </c>
      <c r="C637" s="8">
        <v>5.64</v>
      </c>
      <c r="D637" s="8">
        <v>0.15</v>
      </c>
      <c r="E637">
        <v>3</v>
      </c>
      <c r="F637" s="10">
        <f>(WYNAJEM4[[#This Row],[data_wyjazdu]]-WYNAJEM4[[#This Row],[data_przyjazdu]])</f>
        <v>28</v>
      </c>
      <c r="G637" s="9">
        <f xml:space="preserve"> WYNAJEM4[[#This Row],[energia]] + WYNAJEM4[[#This Row],[woda]]</f>
        <v>5.79</v>
      </c>
      <c r="H637" s="8">
        <f xml:space="preserve"> (10 * WYNAJEM4[[#This Row],[typ]] * WYNAJEM4[[#This Row],[czas wynajecia domku]])</f>
        <v>840</v>
      </c>
      <c r="I637" s="9">
        <f xml:space="preserve"> WYNAJEM4[[#This Row],[suma energia i woda]] + WYNAJEM4[[#This Row],[czynsz]]</f>
        <v>845.79</v>
      </c>
    </row>
    <row r="638" spans="1:9" x14ac:dyDescent="0.25">
      <c r="A638" s="1">
        <v>41915</v>
      </c>
      <c r="B638" s="1">
        <v>41932</v>
      </c>
      <c r="C638" s="8">
        <v>2.0099999999999998</v>
      </c>
      <c r="D638" s="8">
        <v>0.05</v>
      </c>
      <c r="E638">
        <v>6</v>
      </c>
      <c r="F638" s="10">
        <f>(WYNAJEM4[[#This Row],[data_wyjazdu]]-WYNAJEM4[[#This Row],[data_przyjazdu]])</f>
        <v>17</v>
      </c>
      <c r="G638" s="9">
        <f xml:space="preserve"> WYNAJEM4[[#This Row],[energia]] + WYNAJEM4[[#This Row],[woda]]</f>
        <v>2.0599999999999996</v>
      </c>
      <c r="H638" s="8">
        <f xml:space="preserve"> (10 * WYNAJEM4[[#This Row],[typ]] * WYNAJEM4[[#This Row],[czas wynajecia domku]])</f>
        <v>1020</v>
      </c>
      <c r="I638" s="9">
        <f xml:space="preserve"> WYNAJEM4[[#This Row],[suma energia i woda]] + WYNAJEM4[[#This Row],[czynsz]]</f>
        <v>1022.06</v>
      </c>
    </row>
    <row r="639" spans="1:9" x14ac:dyDescent="0.25">
      <c r="A639" s="1">
        <v>41915</v>
      </c>
      <c r="B639" s="1">
        <v>41938</v>
      </c>
      <c r="C639" s="8">
        <v>3.73</v>
      </c>
      <c r="D639" s="8">
        <v>0.1</v>
      </c>
      <c r="E639">
        <v>4</v>
      </c>
      <c r="F639" s="10">
        <f>(WYNAJEM4[[#This Row],[data_wyjazdu]]-WYNAJEM4[[#This Row],[data_przyjazdu]])</f>
        <v>23</v>
      </c>
      <c r="G639" s="9">
        <f xml:space="preserve"> WYNAJEM4[[#This Row],[energia]] + WYNAJEM4[[#This Row],[woda]]</f>
        <v>3.83</v>
      </c>
      <c r="H639" s="8">
        <f xml:space="preserve"> (10 * WYNAJEM4[[#This Row],[typ]] * WYNAJEM4[[#This Row],[czas wynajecia domku]])</f>
        <v>920</v>
      </c>
      <c r="I639" s="9">
        <f xml:space="preserve"> WYNAJEM4[[#This Row],[suma energia i woda]] + WYNAJEM4[[#This Row],[czynsz]]</f>
        <v>923.83</v>
      </c>
    </row>
    <row r="640" spans="1:9" x14ac:dyDescent="0.25">
      <c r="A640" s="1">
        <v>41915</v>
      </c>
      <c r="B640" s="1">
        <v>41921</v>
      </c>
      <c r="C640" s="8">
        <v>3.73</v>
      </c>
      <c r="D640" s="8">
        <v>0.1</v>
      </c>
      <c r="E640">
        <v>2</v>
      </c>
      <c r="F640" s="10">
        <f>(WYNAJEM4[[#This Row],[data_wyjazdu]]-WYNAJEM4[[#This Row],[data_przyjazdu]])</f>
        <v>6</v>
      </c>
      <c r="G640" s="9">
        <f xml:space="preserve"> WYNAJEM4[[#This Row],[energia]] + WYNAJEM4[[#This Row],[woda]]</f>
        <v>3.83</v>
      </c>
      <c r="H640" s="8">
        <f xml:space="preserve"> (10 * WYNAJEM4[[#This Row],[typ]] * WYNAJEM4[[#This Row],[czas wynajecia domku]])</f>
        <v>120</v>
      </c>
      <c r="I640" s="9">
        <f xml:space="preserve"> WYNAJEM4[[#This Row],[suma energia i woda]] + WYNAJEM4[[#This Row],[czynsz]]</f>
        <v>123.83</v>
      </c>
    </row>
    <row r="641" spans="1:9" x14ac:dyDescent="0.25">
      <c r="A641" s="1">
        <v>41917</v>
      </c>
      <c r="B641" s="1">
        <v>41937</v>
      </c>
      <c r="C641" s="8">
        <v>4.25</v>
      </c>
      <c r="D641" s="8">
        <v>0.11</v>
      </c>
      <c r="E641">
        <v>5</v>
      </c>
      <c r="F641" s="10">
        <f>(WYNAJEM4[[#This Row],[data_wyjazdu]]-WYNAJEM4[[#This Row],[data_przyjazdu]])</f>
        <v>20</v>
      </c>
      <c r="G641" s="9">
        <f xml:space="preserve"> WYNAJEM4[[#This Row],[energia]] + WYNAJEM4[[#This Row],[woda]]</f>
        <v>4.3600000000000003</v>
      </c>
      <c r="H641" s="8">
        <f xml:space="preserve"> (10 * WYNAJEM4[[#This Row],[typ]] * WYNAJEM4[[#This Row],[czas wynajecia domku]])</f>
        <v>1000</v>
      </c>
      <c r="I641" s="9">
        <f xml:space="preserve"> WYNAJEM4[[#This Row],[suma energia i woda]] + WYNAJEM4[[#This Row],[czynsz]]</f>
        <v>1004.36</v>
      </c>
    </row>
    <row r="642" spans="1:9" x14ac:dyDescent="0.25">
      <c r="A642" s="1">
        <v>41917</v>
      </c>
      <c r="B642" s="1">
        <v>41928</v>
      </c>
      <c r="C642" s="8">
        <v>11.42</v>
      </c>
      <c r="D642" s="8">
        <v>0.3</v>
      </c>
      <c r="E642">
        <v>4</v>
      </c>
      <c r="F642" s="10">
        <f>(WYNAJEM4[[#This Row],[data_wyjazdu]]-WYNAJEM4[[#This Row],[data_przyjazdu]])</f>
        <v>11</v>
      </c>
      <c r="G642" s="9">
        <f xml:space="preserve"> WYNAJEM4[[#This Row],[energia]] + WYNAJEM4[[#This Row],[woda]]</f>
        <v>11.72</v>
      </c>
      <c r="H642" s="8">
        <f xml:space="preserve"> (10 * WYNAJEM4[[#This Row],[typ]] * WYNAJEM4[[#This Row],[czas wynajecia domku]])</f>
        <v>440</v>
      </c>
      <c r="I642" s="9">
        <f xml:space="preserve"> WYNAJEM4[[#This Row],[suma energia i woda]] + WYNAJEM4[[#This Row],[czynsz]]</f>
        <v>451.72</v>
      </c>
    </row>
    <row r="643" spans="1:9" x14ac:dyDescent="0.25">
      <c r="A643" s="1">
        <v>41917</v>
      </c>
      <c r="B643" s="1">
        <v>41939</v>
      </c>
      <c r="C643" s="8">
        <v>13.07</v>
      </c>
      <c r="D643" s="8">
        <v>0.34</v>
      </c>
      <c r="E643">
        <v>3</v>
      </c>
      <c r="F643" s="10">
        <f>(WYNAJEM4[[#This Row],[data_wyjazdu]]-WYNAJEM4[[#This Row],[data_przyjazdu]])</f>
        <v>22</v>
      </c>
      <c r="G643" s="9">
        <f xml:space="preserve"> WYNAJEM4[[#This Row],[energia]] + WYNAJEM4[[#This Row],[woda]]</f>
        <v>13.41</v>
      </c>
      <c r="H643" s="8">
        <f xml:space="preserve"> (10 * WYNAJEM4[[#This Row],[typ]] * WYNAJEM4[[#This Row],[czas wynajecia domku]])</f>
        <v>660</v>
      </c>
      <c r="I643" s="9">
        <f xml:space="preserve"> WYNAJEM4[[#This Row],[suma energia i woda]] + WYNAJEM4[[#This Row],[czynsz]]</f>
        <v>673.41</v>
      </c>
    </row>
    <row r="644" spans="1:9" x14ac:dyDescent="0.25">
      <c r="A644" s="1">
        <v>41918</v>
      </c>
      <c r="B644" s="1">
        <v>41939</v>
      </c>
      <c r="C644" s="8">
        <v>5.67</v>
      </c>
      <c r="D644" s="8">
        <v>0.15</v>
      </c>
      <c r="E644">
        <v>2</v>
      </c>
      <c r="F644" s="10">
        <f>(WYNAJEM4[[#This Row],[data_wyjazdu]]-WYNAJEM4[[#This Row],[data_przyjazdu]])</f>
        <v>21</v>
      </c>
      <c r="G644" s="9">
        <f xml:space="preserve"> WYNAJEM4[[#This Row],[energia]] + WYNAJEM4[[#This Row],[woda]]</f>
        <v>5.82</v>
      </c>
      <c r="H644" s="8">
        <f xml:space="preserve"> (10 * WYNAJEM4[[#This Row],[typ]] * WYNAJEM4[[#This Row],[czas wynajecia domku]])</f>
        <v>420</v>
      </c>
      <c r="I644" s="9">
        <f xml:space="preserve"> WYNAJEM4[[#This Row],[suma energia i woda]] + WYNAJEM4[[#This Row],[czynsz]]</f>
        <v>425.82</v>
      </c>
    </row>
    <row r="645" spans="1:9" x14ac:dyDescent="0.25">
      <c r="A645" s="1">
        <v>41918</v>
      </c>
      <c r="B645" s="1">
        <v>41922</v>
      </c>
      <c r="C645" s="8">
        <v>6.23</v>
      </c>
      <c r="D645" s="8">
        <v>0.16</v>
      </c>
      <c r="E645">
        <v>4</v>
      </c>
      <c r="F645" s="10">
        <f>(WYNAJEM4[[#This Row],[data_wyjazdu]]-WYNAJEM4[[#This Row],[data_przyjazdu]])</f>
        <v>4</v>
      </c>
      <c r="G645" s="9">
        <f xml:space="preserve"> WYNAJEM4[[#This Row],[energia]] + WYNAJEM4[[#This Row],[woda]]</f>
        <v>6.3900000000000006</v>
      </c>
      <c r="H645" s="8">
        <f xml:space="preserve"> (10 * WYNAJEM4[[#This Row],[typ]] * WYNAJEM4[[#This Row],[czas wynajecia domku]])</f>
        <v>160</v>
      </c>
      <c r="I645" s="9">
        <f xml:space="preserve"> WYNAJEM4[[#This Row],[suma energia i woda]] + WYNAJEM4[[#This Row],[czynsz]]</f>
        <v>166.39</v>
      </c>
    </row>
    <row r="646" spans="1:9" x14ac:dyDescent="0.25">
      <c r="A646" s="1">
        <v>41918</v>
      </c>
      <c r="B646" s="1">
        <v>41940</v>
      </c>
      <c r="C646" s="8">
        <v>19.940000000000001</v>
      </c>
      <c r="D646" s="8">
        <v>0.52</v>
      </c>
      <c r="E646">
        <v>4</v>
      </c>
      <c r="F646" s="10">
        <f>(WYNAJEM4[[#This Row],[data_wyjazdu]]-WYNAJEM4[[#This Row],[data_przyjazdu]])</f>
        <v>22</v>
      </c>
      <c r="G646" s="9">
        <f xml:space="preserve"> WYNAJEM4[[#This Row],[energia]] + WYNAJEM4[[#This Row],[woda]]</f>
        <v>20.46</v>
      </c>
      <c r="H646" s="8">
        <f xml:space="preserve"> (10 * WYNAJEM4[[#This Row],[typ]] * WYNAJEM4[[#This Row],[czas wynajecia domku]])</f>
        <v>880</v>
      </c>
      <c r="I646" s="9">
        <f xml:space="preserve"> WYNAJEM4[[#This Row],[suma energia i woda]] + WYNAJEM4[[#This Row],[czynsz]]</f>
        <v>900.46</v>
      </c>
    </row>
    <row r="647" spans="1:9" x14ac:dyDescent="0.25">
      <c r="A647" s="1">
        <v>41918</v>
      </c>
      <c r="B647" s="1">
        <v>41925</v>
      </c>
      <c r="C647" s="8">
        <v>6.88</v>
      </c>
      <c r="D647" s="8">
        <v>0.18</v>
      </c>
      <c r="E647">
        <v>3</v>
      </c>
      <c r="F647" s="10">
        <f>(WYNAJEM4[[#This Row],[data_wyjazdu]]-WYNAJEM4[[#This Row],[data_przyjazdu]])</f>
        <v>7</v>
      </c>
      <c r="G647" s="9">
        <f xml:space="preserve"> WYNAJEM4[[#This Row],[energia]] + WYNAJEM4[[#This Row],[woda]]</f>
        <v>7.06</v>
      </c>
      <c r="H647" s="8">
        <f xml:space="preserve"> (10 * WYNAJEM4[[#This Row],[typ]] * WYNAJEM4[[#This Row],[czas wynajecia domku]])</f>
        <v>210</v>
      </c>
      <c r="I647" s="9">
        <f xml:space="preserve"> WYNAJEM4[[#This Row],[suma energia i woda]] + WYNAJEM4[[#This Row],[czynsz]]</f>
        <v>217.06</v>
      </c>
    </row>
    <row r="648" spans="1:9" x14ac:dyDescent="0.25">
      <c r="A648" s="1">
        <v>41918</v>
      </c>
      <c r="B648" s="1">
        <v>41929</v>
      </c>
      <c r="C648" s="8">
        <v>8.39</v>
      </c>
      <c r="D648" s="8">
        <v>0.22</v>
      </c>
      <c r="E648">
        <v>6</v>
      </c>
      <c r="F648" s="10">
        <f>(WYNAJEM4[[#This Row],[data_wyjazdu]]-WYNAJEM4[[#This Row],[data_przyjazdu]])</f>
        <v>11</v>
      </c>
      <c r="G648" s="9">
        <f xml:space="preserve"> WYNAJEM4[[#This Row],[energia]] + WYNAJEM4[[#This Row],[woda]]</f>
        <v>8.6100000000000012</v>
      </c>
      <c r="H648" s="8">
        <f xml:space="preserve"> (10 * WYNAJEM4[[#This Row],[typ]] * WYNAJEM4[[#This Row],[czas wynajecia domku]])</f>
        <v>660</v>
      </c>
      <c r="I648" s="9">
        <f xml:space="preserve"> WYNAJEM4[[#This Row],[suma energia i woda]] + WYNAJEM4[[#This Row],[czynsz]]</f>
        <v>668.61</v>
      </c>
    </row>
    <row r="649" spans="1:9" x14ac:dyDescent="0.25">
      <c r="A649" s="1">
        <v>41922</v>
      </c>
      <c r="B649" s="1">
        <v>41936</v>
      </c>
      <c r="C649" s="8">
        <v>11.44</v>
      </c>
      <c r="D649" s="8">
        <v>0.3</v>
      </c>
      <c r="E649">
        <v>4</v>
      </c>
      <c r="F649" s="10">
        <f>(WYNAJEM4[[#This Row],[data_wyjazdu]]-WYNAJEM4[[#This Row],[data_przyjazdu]])</f>
        <v>14</v>
      </c>
      <c r="G649" s="9">
        <f xml:space="preserve"> WYNAJEM4[[#This Row],[energia]] + WYNAJEM4[[#This Row],[woda]]</f>
        <v>11.74</v>
      </c>
      <c r="H649" s="8">
        <f xml:space="preserve"> (10 * WYNAJEM4[[#This Row],[typ]] * WYNAJEM4[[#This Row],[czas wynajecia domku]])</f>
        <v>560</v>
      </c>
      <c r="I649" s="9">
        <f xml:space="preserve"> WYNAJEM4[[#This Row],[suma energia i woda]] + WYNAJEM4[[#This Row],[czynsz]]</f>
        <v>571.74</v>
      </c>
    </row>
    <row r="650" spans="1:9" x14ac:dyDescent="0.25">
      <c r="A650" s="1">
        <v>41922</v>
      </c>
      <c r="B650" s="1">
        <v>41937</v>
      </c>
      <c r="C650" s="8">
        <v>9.4600000000000009</v>
      </c>
      <c r="D650" s="8">
        <v>0.25</v>
      </c>
      <c r="E650">
        <v>5</v>
      </c>
      <c r="F650" s="10">
        <f>(WYNAJEM4[[#This Row],[data_wyjazdu]]-WYNAJEM4[[#This Row],[data_przyjazdu]])</f>
        <v>15</v>
      </c>
      <c r="G650" s="9">
        <f xml:space="preserve"> WYNAJEM4[[#This Row],[energia]] + WYNAJEM4[[#This Row],[woda]]</f>
        <v>9.7100000000000009</v>
      </c>
      <c r="H650" s="8">
        <f xml:space="preserve"> (10 * WYNAJEM4[[#This Row],[typ]] * WYNAJEM4[[#This Row],[czas wynajecia domku]])</f>
        <v>750</v>
      </c>
      <c r="I650" s="9">
        <f xml:space="preserve"> WYNAJEM4[[#This Row],[suma energia i woda]] + WYNAJEM4[[#This Row],[czynsz]]</f>
        <v>759.71</v>
      </c>
    </row>
    <row r="651" spans="1:9" x14ac:dyDescent="0.25">
      <c r="A651" s="1">
        <v>41922</v>
      </c>
      <c r="B651" s="1">
        <v>41926</v>
      </c>
      <c r="C651" s="8">
        <v>5.67</v>
      </c>
      <c r="D651" s="8">
        <v>0.15</v>
      </c>
      <c r="E651">
        <v>4</v>
      </c>
      <c r="F651" s="10">
        <f>(WYNAJEM4[[#This Row],[data_wyjazdu]]-WYNAJEM4[[#This Row],[data_przyjazdu]])</f>
        <v>4</v>
      </c>
      <c r="G651" s="9">
        <f xml:space="preserve"> WYNAJEM4[[#This Row],[energia]] + WYNAJEM4[[#This Row],[woda]]</f>
        <v>5.82</v>
      </c>
      <c r="H651" s="8">
        <f xml:space="preserve"> (10 * WYNAJEM4[[#This Row],[typ]] * WYNAJEM4[[#This Row],[czas wynajecia domku]])</f>
        <v>160</v>
      </c>
      <c r="I651" s="9">
        <f xml:space="preserve"> WYNAJEM4[[#This Row],[suma energia i woda]] + WYNAJEM4[[#This Row],[czynsz]]</f>
        <v>165.82</v>
      </c>
    </row>
    <row r="652" spans="1:9" x14ac:dyDescent="0.25">
      <c r="A652" s="1">
        <v>41922</v>
      </c>
      <c r="B652" s="1">
        <v>41947</v>
      </c>
      <c r="C652" s="8">
        <v>13.82</v>
      </c>
      <c r="D652" s="8">
        <v>0.36</v>
      </c>
      <c r="E652">
        <v>2</v>
      </c>
      <c r="F652" s="10">
        <f>(WYNAJEM4[[#This Row],[data_wyjazdu]]-WYNAJEM4[[#This Row],[data_przyjazdu]])</f>
        <v>25</v>
      </c>
      <c r="G652" s="9">
        <f xml:space="preserve"> WYNAJEM4[[#This Row],[energia]] + WYNAJEM4[[#This Row],[woda]]</f>
        <v>14.18</v>
      </c>
      <c r="H652" s="8">
        <f xml:space="preserve"> (10 * WYNAJEM4[[#This Row],[typ]] * WYNAJEM4[[#This Row],[czas wynajecia domku]])</f>
        <v>500</v>
      </c>
      <c r="I652" s="9">
        <f xml:space="preserve"> WYNAJEM4[[#This Row],[suma energia i woda]] + WYNAJEM4[[#This Row],[czynsz]]</f>
        <v>514.17999999999995</v>
      </c>
    </row>
    <row r="653" spans="1:9" x14ac:dyDescent="0.25">
      <c r="A653" s="1">
        <v>41922</v>
      </c>
      <c r="B653" s="1">
        <v>41929</v>
      </c>
      <c r="C653" s="8">
        <v>6.43</v>
      </c>
      <c r="D653" s="8">
        <v>0.17</v>
      </c>
      <c r="E653">
        <v>5</v>
      </c>
      <c r="F653" s="10">
        <f>(WYNAJEM4[[#This Row],[data_wyjazdu]]-WYNAJEM4[[#This Row],[data_przyjazdu]])</f>
        <v>7</v>
      </c>
      <c r="G653" s="9">
        <f xml:space="preserve"> WYNAJEM4[[#This Row],[energia]] + WYNAJEM4[[#This Row],[woda]]</f>
        <v>6.6</v>
      </c>
      <c r="H653" s="8">
        <f xml:space="preserve"> (10 * WYNAJEM4[[#This Row],[typ]] * WYNAJEM4[[#This Row],[czas wynajecia domku]])</f>
        <v>350</v>
      </c>
      <c r="I653" s="9">
        <f xml:space="preserve"> WYNAJEM4[[#This Row],[suma energia i woda]] + WYNAJEM4[[#This Row],[czynsz]]</f>
        <v>356.6</v>
      </c>
    </row>
    <row r="654" spans="1:9" x14ac:dyDescent="0.25">
      <c r="A654" s="1">
        <v>41922</v>
      </c>
      <c r="B654" s="1">
        <v>41928</v>
      </c>
      <c r="C654" s="8">
        <v>2.0099999999999998</v>
      </c>
      <c r="D654" s="8">
        <v>0.05</v>
      </c>
      <c r="E654">
        <v>2</v>
      </c>
      <c r="F654" s="10">
        <f>(WYNAJEM4[[#This Row],[data_wyjazdu]]-WYNAJEM4[[#This Row],[data_przyjazdu]])</f>
        <v>6</v>
      </c>
      <c r="G654" s="9">
        <f xml:space="preserve"> WYNAJEM4[[#This Row],[energia]] + WYNAJEM4[[#This Row],[woda]]</f>
        <v>2.0599999999999996</v>
      </c>
      <c r="H654" s="8">
        <f xml:space="preserve"> (10 * WYNAJEM4[[#This Row],[typ]] * WYNAJEM4[[#This Row],[czas wynajecia domku]])</f>
        <v>120</v>
      </c>
      <c r="I654" s="9">
        <f xml:space="preserve"> WYNAJEM4[[#This Row],[suma energia i woda]] + WYNAJEM4[[#This Row],[czynsz]]</f>
        <v>122.06</v>
      </c>
    </row>
    <row r="655" spans="1:9" x14ac:dyDescent="0.25">
      <c r="A655" s="1">
        <v>41922</v>
      </c>
      <c r="B655" s="1">
        <v>41950</v>
      </c>
      <c r="C655" s="8">
        <v>6.43</v>
      </c>
      <c r="D655" s="8">
        <v>0.17</v>
      </c>
      <c r="E655">
        <v>5</v>
      </c>
      <c r="F655" s="10">
        <f>(WYNAJEM4[[#This Row],[data_wyjazdu]]-WYNAJEM4[[#This Row],[data_przyjazdu]])</f>
        <v>28</v>
      </c>
      <c r="G655" s="9">
        <f xml:space="preserve"> WYNAJEM4[[#This Row],[energia]] + WYNAJEM4[[#This Row],[woda]]</f>
        <v>6.6</v>
      </c>
      <c r="H655" s="8">
        <f xml:space="preserve"> (10 * WYNAJEM4[[#This Row],[typ]] * WYNAJEM4[[#This Row],[czas wynajecia domku]])</f>
        <v>1400</v>
      </c>
      <c r="I655" s="9">
        <f xml:space="preserve"> WYNAJEM4[[#This Row],[suma energia i woda]] + WYNAJEM4[[#This Row],[czynsz]]</f>
        <v>1406.6</v>
      </c>
    </row>
    <row r="656" spans="1:9" x14ac:dyDescent="0.25">
      <c r="A656" s="1">
        <v>41922</v>
      </c>
      <c r="B656" s="1">
        <v>41944</v>
      </c>
      <c r="C656" s="8">
        <v>7.35</v>
      </c>
      <c r="D656" s="8">
        <v>0.19</v>
      </c>
      <c r="E656">
        <v>6</v>
      </c>
      <c r="F656" s="10">
        <f>(WYNAJEM4[[#This Row],[data_wyjazdu]]-WYNAJEM4[[#This Row],[data_przyjazdu]])</f>
        <v>22</v>
      </c>
      <c r="G656" s="9">
        <f xml:space="preserve"> WYNAJEM4[[#This Row],[energia]] + WYNAJEM4[[#This Row],[woda]]</f>
        <v>7.54</v>
      </c>
      <c r="H656" s="8">
        <f xml:space="preserve"> (10 * WYNAJEM4[[#This Row],[typ]] * WYNAJEM4[[#This Row],[czas wynajecia domku]])</f>
        <v>1320</v>
      </c>
      <c r="I656" s="9">
        <f xml:space="preserve"> WYNAJEM4[[#This Row],[suma energia i woda]] + WYNAJEM4[[#This Row],[czynsz]]</f>
        <v>1327.54</v>
      </c>
    </row>
    <row r="657" spans="1:9" x14ac:dyDescent="0.25">
      <c r="A657" s="1">
        <v>41922</v>
      </c>
      <c r="B657" s="1">
        <v>41947</v>
      </c>
      <c r="C657" s="8">
        <v>16.55</v>
      </c>
      <c r="D657" s="8">
        <v>0.44</v>
      </c>
      <c r="E657">
        <v>6</v>
      </c>
      <c r="F657" s="10">
        <f>(WYNAJEM4[[#This Row],[data_wyjazdu]]-WYNAJEM4[[#This Row],[data_przyjazdu]])</f>
        <v>25</v>
      </c>
      <c r="G657" s="9">
        <f xml:space="preserve"> WYNAJEM4[[#This Row],[energia]] + WYNAJEM4[[#This Row],[woda]]</f>
        <v>16.990000000000002</v>
      </c>
      <c r="H657" s="8">
        <f xml:space="preserve"> (10 * WYNAJEM4[[#This Row],[typ]] * WYNAJEM4[[#This Row],[czas wynajecia domku]])</f>
        <v>1500</v>
      </c>
      <c r="I657" s="9">
        <f xml:space="preserve"> WYNAJEM4[[#This Row],[suma energia i woda]] + WYNAJEM4[[#This Row],[czynsz]]</f>
        <v>1516.99</v>
      </c>
    </row>
    <row r="658" spans="1:9" x14ac:dyDescent="0.25">
      <c r="A658" s="1">
        <v>41922</v>
      </c>
      <c r="B658" s="1">
        <v>41928</v>
      </c>
      <c r="C658" s="8">
        <v>9.06</v>
      </c>
      <c r="D658" s="8">
        <v>0.24</v>
      </c>
      <c r="E658">
        <v>6</v>
      </c>
      <c r="F658" s="10">
        <f>(WYNAJEM4[[#This Row],[data_wyjazdu]]-WYNAJEM4[[#This Row],[data_przyjazdu]])</f>
        <v>6</v>
      </c>
      <c r="G658" s="9">
        <f xml:space="preserve"> WYNAJEM4[[#This Row],[energia]] + WYNAJEM4[[#This Row],[woda]]</f>
        <v>9.3000000000000007</v>
      </c>
      <c r="H658" s="8">
        <f xml:space="preserve"> (10 * WYNAJEM4[[#This Row],[typ]] * WYNAJEM4[[#This Row],[czas wynajecia domku]])</f>
        <v>360</v>
      </c>
      <c r="I658" s="9">
        <f xml:space="preserve"> WYNAJEM4[[#This Row],[suma energia i woda]] + WYNAJEM4[[#This Row],[czynsz]]</f>
        <v>369.3</v>
      </c>
    </row>
    <row r="659" spans="1:9" x14ac:dyDescent="0.25">
      <c r="A659" s="1">
        <v>41922</v>
      </c>
      <c r="B659" s="1">
        <v>41945</v>
      </c>
      <c r="C659" s="8">
        <v>10.59</v>
      </c>
      <c r="D659" s="8">
        <v>0.28000000000000003</v>
      </c>
      <c r="E659">
        <v>4</v>
      </c>
      <c r="F659" s="10">
        <f>(WYNAJEM4[[#This Row],[data_wyjazdu]]-WYNAJEM4[[#This Row],[data_przyjazdu]])</f>
        <v>23</v>
      </c>
      <c r="G659" s="9">
        <f xml:space="preserve"> WYNAJEM4[[#This Row],[energia]] + WYNAJEM4[[#This Row],[woda]]</f>
        <v>10.87</v>
      </c>
      <c r="H659" s="8">
        <f xml:space="preserve"> (10 * WYNAJEM4[[#This Row],[typ]] * WYNAJEM4[[#This Row],[czas wynajecia domku]])</f>
        <v>920</v>
      </c>
      <c r="I659" s="9">
        <f xml:space="preserve"> WYNAJEM4[[#This Row],[suma energia i woda]] + WYNAJEM4[[#This Row],[czynsz]]</f>
        <v>930.87</v>
      </c>
    </row>
    <row r="660" spans="1:9" x14ac:dyDescent="0.25">
      <c r="A660" s="1">
        <v>41922</v>
      </c>
      <c r="B660" s="1">
        <v>41930</v>
      </c>
      <c r="C660" s="8">
        <v>7.71</v>
      </c>
      <c r="D660" s="8">
        <v>0.2</v>
      </c>
      <c r="E660">
        <v>3</v>
      </c>
      <c r="F660" s="10">
        <f>(WYNAJEM4[[#This Row],[data_wyjazdu]]-WYNAJEM4[[#This Row],[data_przyjazdu]])</f>
        <v>8</v>
      </c>
      <c r="G660" s="9">
        <f xml:space="preserve"> WYNAJEM4[[#This Row],[energia]] + WYNAJEM4[[#This Row],[woda]]</f>
        <v>7.91</v>
      </c>
      <c r="H660" s="8">
        <f xml:space="preserve"> (10 * WYNAJEM4[[#This Row],[typ]] * WYNAJEM4[[#This Row],[czas wynajecia domku]])</f>
        <v>240</v>
      </c>
      <c r="I660" s="9">
        <f xml:space="preserve"> WYNAJEM4[[#This Row],[suma energia i woda]] + WYNAJEM4[[#This Row],[czynsz]]</f>
        <v>247.91</v>
      </c>
    </row>
    <row r="661" spans="1:9" x14ac:dyDescent="0.25">
      <c r="A661" s="1">
        <v>41922</v>
      </c>
      <c r="B661" s="1">
        <v>41949</v>
      </c>
      <c r="C661" s="8">
        <v>10.19</v>
      </c>
      <c r="D661" s="8">
        <v>0.27</v>
      </c>
      <c r="E661">
        <v>4</v>
      </c>
      <c r="F661" s="10">
        <f>(WYNAJEM4[[#This Row],[data_wyjazdu]]-WYNAJEM4[[#This Row],[data_przyjazdu]])</f>
        <v>27</v>
      </c>
      <c r="G661" s="9">
        <f xml:space="preserve"> WYNAJEM4[[#This Row],[energia]] + WYNAJEM4[[#This Row],[woda]]</f>
        <v>10.459999999999999</v>
      </c>
      <c r="H661" s="8">
        <f xml:space="preserve"> (10 * WYNAJEM4[[#This Row],[typ]] * WYNAJEM4[[#This Row],[czas wynajecia domku]])</f>
        <v>1080</v>
      </c>
      <c r="I661" s="9">
        <f xml:space="preserve"> WYNAJEM4[[#This Row],[suma energia i woda]] + WYNAJEM4[[#This Row],[czynsz]]</f>
        <v>1090.46</v>
      </c>
    </row>
    <row r="662" spans="1:9" x14ac:dyDescent="0.25">
      <c r="A662" s="1">
        <v>41922</v>
      </c>
      <c r="B662" s="1">
        <v>41928</v>
      </c>
      <c r="C662" s="8">
        <v>4.25</v>
      </c>
      <c r="D662" s="8">
        <v>0.11</v>
      </c>
      <c r="E662">
        <v>4</v>
      </c>
      <c r="F662" s="10">
        <f>(WYNAJEM4[[#This Row],[data_wyjazdu]]-WYNAJEM4[[#This Row],[data_przyjazdu]])</f>
        <v>6</v>
      </c>
      <c r="G662" s="9">
        <f xml:space="preserve"> WYNAJEM4[[#This Row],[energia]] + WYNAJEM4[[#This Row],[woda]]</f>
        <v>4.3600000000000003</v>
      </c>
      <c r="H662" s="8">
        <f xml:space="preserve"> (10 * WYNAJEM4[[#This Row],[typ]] * WYNAJEM4[[#This Row],[czas wynajecia domku]])</f>
        <v>240</v>
      </c>
      <c r="I662" s="9">
        <f xml:space="preserve"> WYNAJEM4[[#This Row],[suma energia i woda]] + WYNAJEM4[[#This Row],[czynsz]]</f>
        <v>244.36</v>
      </c>
    </row>
    <row r="663" spans="1:9" x14ac:dyDescent="0.25">
      <c r="A663" s="1">
        <v>41922</v>
      </c>
      <c r="B663" s="1">
        <v>41926</v>
      </c>
      <c r="C663" s="8">
        <v>9.06</v>
      </c>
      <c r="D663" s="8">
        <v>0.24</v>
      </c>
      <c r="E663">
        <v>3</v>
      </c>
      <c r="F663" s="10">
        <f>(WYNAJEM4[[#This Row],[data_wyjazdu]]-WYNAJEM4[[#This Row],[data_przyjazdu]])</f>
        <v>4</v>
      </c>
      <c r="G663" s="9">
        <f xml:space="preserve"> WYNAJEM4[[#This Row],[energia]] + WYNAJEM4[[#This Row],[woda]]</f>
        <v>9.3000000000000007</v>
      </c>
      <c r="H663" s="8">
        <f xml:space="preserve"> (10 * WYNAJEM4[[#This Row],[typ]] * WYNAJEM4[[#This Row],[czas wynajecia domku]])</f>
        <v>120</v>
      </c>
      <c r="I663" s="9">
        <f xml:space="preserve"> WYNAJEM4[[#This Row],[suma energia i woda]] + WYNAJEM4[[#This Row],[czynsz]]</f>
        <v>129.30000000000001</v>
      </c>
    </row>
    <row r="664" spans="1:9" x14ac:dyDescent="0.25">
      <c r="A664" s="1">
        <v>41923</v>
      </c>
      <c r="B664" s="1">
        <v>41932</v>
      </c>
      <c r="C664" s="8">
        <v>8.65</v>
      </c>
      <c r="D664" s="8">
        <v>0.23</v>
      </c>
      <c r="E664">
        <v>4</v>
      </c>
      <c r="F664" s="10">
        <f>(WYNAJEM4[[#This Row],[data_wyjazdu]]-WYNAJEM4[[#This Row],[data_przyjazdu]])</f>
        <v>9</v>
      </c>
      <c r="G664" s="9">
        <f xml:space="preserve"> WYNAJEM4[[#This Row],[energia]] + WYNAJEM4[[#This Row],[woda]]</f>
        <v>8.8800000000000008</v>
      </c>
      <c r="H664" s="8">
        <f xml:space="preserve"> (10 * WYNAJEM4[[#This Row],[typ]] * WYNAJEM4[[#This Row],[czas wynajecia domku]])</f>
        <v>360</v>
      </c>
      <c r="I664" s="9">
        <f xml:space="preserve"> WYNAJEM4[[#This Row],[suma energia i woda]] + WYNAJEM4[[#This Row],[czynsz]]</f>
        <v>368.88</v>
      </c>
    </row>
    <row r="665" spans="1:9" x14ac:dyDescent="0.25">
      <c r="A665" s="1">
        <v>41923</v>
      </c>
      <c r="B665" s="1">
        <v>41935</v>
      </c>
      <c r="C665" s="8">
        <v>8.84</v>
      </c>
      <c r="D665" s="8">
        <v>0.23</v>
      </c>
      <c r="E665">
        <v>4</v>
      </c>
      <c r="F665" s="10">
        <f>(WYNAJEM4[[#This Row],[data_wyjazdu]]-WYNAJEM4[[#This Row],[data_przyjazdu]])</f>
        <v>12</v>
      </c>
      <c r="G665" s="9">
        <f xml:space="preserve"> WYNAJEM4[[#This Row],[energia]] + WYNAJEM4[[#This Row],[woda]]</f>
        <v>9.07</v>
      </c>
      <c r="H665" s="8">
        <f xml:space="preserve"> (10 * WYNAJEM4[[#This Row],[typ]] * WYNAJEM4[[#This Row],[czas wynajecia domku]])</f>
        <v>480</v>
      </c>
      <c r="I665" s="9">
        <f xml:space="preserve"> WYNAJEM4[[#This Row],[suma energia i woda]] + WYNAJEM4[[#This Row],[czynsz]]</f>
        <v>489.07</v>
      </c>
    </row>
    <row r="666" spans="1:9" x14ac:dyDescent="0.25">
      <c r="A666" s="1">
        <v>41923</v>
      </c>
      <c r="B666" s="1">
        <v>41932</v>
      </c>
      <c r="C666" s="8">
        <v>4.25</v>
      </c>
      <c r="D666" s="8">
        <v>0.11</v>
      </c>
      <c r="E666">
        <v>5</v>
      </c>
      <c r="F666" s="10">
        <f>(WYNAJEM4[[#This Row],[data_wyjazdu]]-WYNAJEM4[[#This Row],[data_przyjazdu]])</f>
        <v>9</v>
      </c>
      <c r="G666" s="9">
        <f xml:space="preserve"> WYNAJEM4[[#This Row],[energia]] + WYNAJEM4[[#This Row],[woda]]</f>
        <v>4.3600000000000003</v>
      </c>
      <c r="H666" s="8">
        <f xml:space="preserve"> (10 * WYNAJEM4[[#This Row],[typ]] * WYNAJEM4[[#This Row],[czas wynajecia domku]])</f>
        <v>450</v>
      </c>
      <c r="I666" s="9">
        <f xml:space="preserve"> WYNAJEM4[[#This Row],[suma energia i woda]] + WYNAJEM4[[#This Row],[czynsz]]</f>
        <v>454.36</v>
      </c>
    </row>
    <row r="667" spans="1:9" x14ac:dyDescent="0.25">
      <c r="A667" s="1">
        <v>41923</v>
      </c>
      <c r="B667" s="1">
        <v>41927</v>
      </c>
      <c r="C667" s="8">
        <v>5.47</v>
      </c>
      <c r="D667" s="8">
        <v>0.14000000000000001</v>
      </c>
      <c r="E667">
        <v>5</v>
      </c>
      <c r="F667" s="10">
        <f>(WYNAJEM4[[#This Row],[data_wyjazdu]]-WYNAJEM4[[#This Row],[data_przyjazdu]])</f>
        <v>4</v>
      </c>
      <c r="G667" s="9">
        <f xml:space="preserve"> WYNAJEM4[[#This Row],[energia]] + WYNAJEM4[[#This Row],[woda]]</f>
        <v>5.6099999999999994</v>
      </c>
      <c r="H667" s="8">
        <f xml:space="preserve"> (10 * WYNAJEM4[[#This Row],[typ]] * WYNAJEM4[[#This Row],[czas wynajecia domku]])</f>
        <v>200</v>
      </c>
      <c r="I667" s="9">
        <f xml:space="preserve"> WYNAJEM4[[#This Row],[suma energia i woda]] + WYNAJEM4[[#This Row],[czynsz]]</f>
        <v>205.61</v>
      </c>
    </row>
    <row r="668" spans="1:9" x14ac:dyDescent="0.25">
      <c r="A668" s="1">
        <v>41923</v>
      </c>
      <c r="B668" s="1">
        <v>41937</v>
      </c>
      <c r="C668" s="8">
        <v>14.31</v>
      </c>
      <c r="D668" s="8">
        <v>0.38</v>
      </c>
      <c r="E668">
        <v>3</v>
      </c>
      <c r="F668" s="10">
        <f>(WYNAJEM4[[#This Row],[data_wyjazdu]]-WYNAJEM4[[#This Row],[data_przyjazdu]])</f>
        <v>14</v>
      </c>
      <c r="G668" s="9">
        <f xml:space="preserve"> WYNAJEM4[[#This Row],[energia]] + WYNAJEM4[[#This Row],[woda]]</f>
        <v>14.690000000000001</v>
      </c>
      <c r="H668" s="8">
        <f xml:space="preserve"> (10 * WYNAJEM4[[#This Row],[typ]] * WYNAJEM4[[#This Row],[czas wynajecia domku]])</f>
        <v>420</v>
      </c>
      <c r="I668" s="9">
        <f xml:space="preserve"> WYNAJEM4[[#This Row],[suma energia i woda]] + WYNAJEM4[[#This Row],[czynsz]]</f>
        <v>434.69</v>
      </c>
    </row>
    <row r="669" spans="1:9" x14ac:dyDescent="0.25">
      <c r="A669" s="1">
        <v>41923</v>
      </c>
      <c r="B669" s="1">
        <v>41949</v>
      </c>
      <c r="C669" s="8">
        <v>13.81</v>
      </c>
      <c r="D669" s="8">
        <v>0.36</v>
      </c>
      <c r="E669">
        <v>6</v>
      </c>
      <c r="F669" s="10">
        <f>(WYNAJEM4[[#This Row],[data_wyjazdu]]-WYNAJEM4[[#This Row],[data_przyjazdu]])</f>
        <v>26</v>
      </c>
      <c r="G669" s="9">
        <f xml:space="preserve"> WYNAJEM4[[#This Row],[energia]] + WYNAJEM4[[#This Row],[woda]]</f>
        <v>14.17</v>
      </c>
      <c r="H669" s="8">
        <f xml:space="preserve"> (10 * WYNAJEM4[[#This Row],[typ]] * WYNAJEM4[[#This Row],[czas wynajecia domku]])</f>
        <v>1560</v>
      </c>
      <c r="I669" s="9">
        <f xml:space="preserve"> WYNAJEM4[[#This Row],[suma energia i woda]] + WYNAJEM4[[#This Row],[czynsz]]</f>
        <v>1574.17</v>
      </c>
    </row>
    <row r="670" spans="1:9" x14ac:dyDescent="0.25">
      <c r="A670" s="1">
        <v>41923</v>
      </c>
      <c r="B670" s="1">
        <v>41943</v>
      </c>
      <c r="C670" s="8">
        <v>9.74</v>
      </c>
      <c r="D670" s="8">
        <v>0.26</v>
      </c>
      <c r="E670">
        <v>3</v>
      </c>
      <c r="F670" s="10">
        <f>(WYNAJEM4[[#This Row],[data_wyjazdu]]-WYNAJEM4[[#This Row],[data_przyjazdu]])</f>
        <v>20</v>
      </c>
      <c r="G670" s="9">
        <f xml:space="preserve"> WYNAJEM4[[#This Row],[energia]] + WYNAJEM4[[#This Row],[woda]]</f>
        <v>10</v>
      </c>
      <c r="H670" s="8">
        <f xml:space="preserve"> (10 * WYNAJEM4[[#This Row],[typ]] * WYNAJEM4[[#This Row],[czas wynajecia domku]])</f>
        <v>600</v>
      </c>
      <c r="I670" s="9">
        <f xml:space="preserve"> WYNAJEM4[[#This Row],[suma energia i woda]] + WYNAJEM4[[#This Row],[czynsz]]</f>
        <v>610</v>
      </c>
    </row>
    <row r="671" spans="1:9" x14ac:dyDescent="0.25">
      <c r="A671" s="1">
        <v>41923</v>
      </c>
      <c r="B671" s="1">
        <v>41951</v>
      </c>
      <c r="C671" s="8">
        <v>9.4600000000000009</v>
      </c>
      <c r="D671" s="8">
        <v>0.25</v>
      </c>
      <c r="E671">
        <v>5</v>
      </c>
      <c r="F671" s="10">
        <f>(WYNAJEM4[[#This Row],[data_wyjazdu]]-WYNAJEM4[[#This Row],[data_przyjazdu]])</f>
        <v>28</v>
      </c>
      <c r="G671" s="9">
        <f xml:space="preserve"> WYNAJEM4[[#This Row],[energia]] + WYNAJEM4[[#This Row],[woda]]</f>
        <v>9.7100000000000009</v>
      </c>
      <c r="H671" s="8">
        <f xml:space="preserve"> (10 * WYNAJEM4[[#This Row],[typ]] * WYNAJEM4[[#This Row],[czas wynajecia domku]])</f>
        <v>1400</v>
      </c>
      <c r="I671" s="9">
        <f xml:space="preserve"> WYNAJEM4[[#This Row],[suma energia i woda]] + WYNAJEM4[[#This Row],[czynsz]]</f>
        <v>1409.71</v>
      </c>
    </row>
    <row r="672" spans="1:9" x14ac:dyDescent="0.25">
      <c r="A672" s="1">
        <v>41923</v>
      </c>
      <c r="B672" s="1">
        <v>41940</v>
      </c>
      <c r="C672" s="8">
        <v>7.31</v>
      </c>
      <c r="D672" s="8">
        <v>0.19</v>
      </c>
      <c r="E672">
        <v>2</v>
      </c>
      <c r="F672" s="10">
        <f>(WYNAJEM4[[#This Row],[data_wyjazdu]]-WYNAJEM4[[#This Row],[data_przyjazdu]])</f>
        <v>17</v>
      </c>
      <c r="G672" s="9">
        <f xml:space="preserve"> WYNAJEM4[[#This Row],[energia]] + WYNAJEM4[[#This Row],[woda]]</f>
        <v>7.5</v>
      </c>
      <c r="H672" s="8">
        <f xml:space="preserve"> (10 * WYNAJEM4[[#This Row],[typ]] * WYNAJEM4[[#This Row],[czas wynajecia domku]])</f>
        <v>340</v>
      </c>
      <c r="I672" s="9">
        <f xml:space="preserve"> WYNAJEM4[[#This Row],[suma energia i woda]] + WYNAJEM4[[#This Row],[czynsz]]</f>
        <v>347.5</v>
      </c>
    </row>
    <row r="673" spans="1:9" x14ac:dyDescent="0.25">
      <c r="A673" s="1">
        <v>41923</v>
      </c>
      <c r="B673" s="1">
        <v>41945</v>
      </c>
      <c r="C673" s="8">
        <v>11.78</v>
      </c>
      <c r="D673" s="8">
        <v>0.31</v>
      </c>
      <c r="E673">
        <v>4</v>
      </c>
      <c r="F673" s="10">
        <f>(WYNAJEM4[[#This Row],[data_wyjazdu]]-WYNAJEM4[[#This Row],[data_przyjazdu]])</f>
        <v>22</v>
      </c>
      <c r="G673" s="9">
        <f xml:space="preserve"> WYNAJEM4[[#This Row],[energia]] + WYNAJEM4[[#This Row],[woda]]</f>
        <v>12.09</v>
      </c>
      <c r="H673" s="8">
        <f xml:space="preserve"> (10 * WYNAJEM4[[#This Row],[typ]] * WYNAJEM4[[#This Row],[czas wynajecia domku]])</f>
        <v>880</v>
      </c>
      <c r="I673" s="9">
        <f xml:space="preserve"> WYNAJEM4[[#This Row],[suma energia i woda]] + WYNAJEM4[[#This Row],[czynsz]]</f>
        <v>892.09</v>
      </c>
    </row>
    <row r="674" spans="1:9" x14ac:dyDescent="0.25">
      <c r="A674" s="1">
        <v>41923</v>
      </c>
      <c r="B674" s="1">
        <v>41940</v>
      </c>
      <c r="C674" s="8">
        <v>13.82</v>
      </c>
      <c r="D674" s="8">
        <v>0.36</v>
      </c>
      <c r="E674">
        <v>4</v>
      </c>
      <c r="F674" s="10">
        <f>(WYNAJEM4[[#This Row],[data_wyjazdu]]-WYNAJEM4[[#This Row],[data_przyjazdu]])</f>
        <v>17</v>
      </c>
      <c r="G674" s="9">
        <f xml:space="preserve"> WYNAJEM4[[#This Row],[energia]] + WYNAJEM4[[#This Row],[woda]]</f>
        <v>14.18</v>
      </c>
      <c r="H674" s="8">
        <f xml:space="preserve"> (10 * WYNAJEM4[[#This Row],[typ]] * WYNAJEM4[[#This Row],[czas wynajecia domku]])</f>
        <v>680</v>
      </c>
      <c r="I674" s="9">
        <f xml:space="preserve"> WYNAJEM4[[#This Row],[suma energia i woda]] + WYNAJEM4[[#This Row],[czynsz]]</f>
        <v>694.18</v>
      </c>
    </row>
    <row r="675" spans="1:9" x14ac:dyDescent="0.25">
      <c r="A675" s="1">
        <v>41925</v>
      </c>
      <c r="B675" s="1">
        <v>41950</v>
      </c>
      <c r="C675" s="8">
        <v>3.94</v>
      </c>
      <c r="D675" s="8">
        <v>0.1</v>
      </c>
      <c r="E675">
        <v>5</v>
      </c>
      <c r="F675" s="10">
        <f>(WYNAJEM4[[#This Row],[data_wyjazdu]]-WYNAJEM4[[#This Row],[data_przyjazdu]])</f>
        <v>25</v>
      </c>
      <c r="G675" s="9">
        <f xml:space="preserve"> WYNAJEM4[[#This Row],[energia]] + WYNAJEM4[[#This Row],[woda]]</f>
        <v>4.04</v>
      </c>
      <c r="H675" s="8">
        <f xml:space="preserve"> (10 * WYNAJEM4[[#This Row],[typ]] * WYNAJEM4[[#This Row],[czas wynajecia domku]])</f>
        <v>1250</v>
      </c>
      <c r="I675" s="9">
        <f xml:space="preserve"> WYNAJEM4[[#This Row],[suma energia i woda]] + WYNAJEM4[[#This Row],[czynsz]]</f>
        <v>1254.04</v>
      </c>
    </row>
    <row r="676" spans="1:9" x14ac:dyDescent="0.25">
      <c r="A676" s="1">
        <v>41925</v>
      </c>
      <c r="B676" s="1">
        <v>41934</v>
      </c>
      <c r="C676" s="8">
        <v>6.58</v>
      </c>
      <c r="D676" s="8">
        <v>0.17</v>
      </c>
      <c r="E676">
        <v>5</v>
      </c>
      <c r="F676" s="10">
        <f>(WYNAJEM4[[#This Row],[data_wyjazdu]]-WYNAJEM4[[#This Row],[data_przyjazdu]])</f>
        <v>9</v>
      </c>
      <c r="G676" s="9">
        <f xml:space="preserve"> WYNAJEM4[[#This Row],[energia]] + WYNAJEM4[[#This Row],[woda]]</f>
        <v>6.75</v>
      </c>
      <c r="H676" s="8">
        <f xml:space="preserve"> (10 * WYNAJEM4[[#This Row],[typ]] * WYNAJEM4[[#This Row],[czas wynajecia domku]])</f>
        <v>450</v>
      </c>
      <c r="I676" s="9">
        <f xml:space="preserve"> WYNAJEM4[[#This Row],[suma energia i woda]] + WYNAJEM4[[#This Row],[czynsz]]</f>
        <v>456.75</v>
      </c>
    </row>
    <row r="677" spans="1:9" x14ac:dyDescent="0.25">
      <c r="A677" s="1">
        <v>41925</v>
      </c>
      <c r="B677" s="1">
        <v>41931</v>
      </c>
      <c r="C677" s="8">
        <v>6.34</v>
      </c>
      <c r="D677" s="8">
        <v>0.17</v>
      </c>
      <c r="E677">
        <v>4</v>
      </c>
      <c r="F677" s="10">
        <f>(WYNAJEM4[[#This Row],[data_wyjazdu]]-WYNAJEM4[[#This Row],[data_przyjazdu]])</f>
        <v>6</v>
      </c>
      <c r="G677" s="9">
        <f xml:space="preserve"> WYNAJEM4[[#This Row],[energia]] + WYNAJEM4[[#This Row],[woda]]</f>
        <v>6.51</v>
      </c>
      <c r="H677" s="8">
        <f xml:space="preserve"> (10 * WYNAJEM4[[#This Row],[typ]] * WYNAJEM4[[#This Row],[czas wynajecia domku]])</f>
        <v>240</v>
      </c>
      <c r="I677" s="9">
        <f xml:space="preserve"> WYNAJEM4[[#This Row],[suma energia i woda]] + WYNAJEM4[[#This Row],[czynsz]]</f>
        <v>246.51</v>
      </c>
    </row>
    <row r="678" spans="1:9" x14ac:dyDescent="0.25">
      <c r="A678" s="1">
        <v>41925</v>
      </c>
      <c r="B678" s="1">
        <v>41943</v>
      </c>
      <c r="C678" s="8">
        <v>6.58</v>
      </c>
      <c r="D678" s="8">
        <v>0.17</v>
      </c>
      <c r="E678">
        <v>4</v>
      </c>
      <c r="F678" s="10">
        <f>(WYNAJEM4[[#This Row],[data_wyjazdu]]-WYNAJEM4[[#This Row],[data_przyjazdu]])</f>
        <v>18</v>
      </c>
      <c r="G678" s="9">
        <f xml:space="preserve"> WYNAJEM4[[#This Row],[energia]] + WYNAJEM4[[#This Row],[woda]]</f>
        <v>6.75</v>
      </c>
      <c r="H678" s="8">
        <f xml:space="preserve"> (10 * WYNAJEM4[[#This Row],[typ]] * WYNAJEM4[[#This Row],[czas wynajecia domku]])</f>
        <v>720</v>
      </c>
      <c r="I678" s="9">
        <f xml:space="preserve"> WYNAJEM4[[#This Row],[suma energia i woda]] + WYNAJEM4[[#This Row],[czynsz]]</f>
        <v>726.75</v>
      </c>
    </row>
    <row r="679" spans="1:9" x14ac:dyDescent="0.25">
      <c r="A679" s="1">
        <v>41925</v>
      </c>
      <c r="B679" s="1">
        <v>41949</v>
      </c>
      <c r="C679" s="8">
        <v>6.34</v>
      </c>
      <c r="D679" s="8">
        <v>0.17</v>
      </c>
      <c r="E679">
        <v>3</v>
      </c>
      <c r="F679" s="10">
        <f>(WYNAJEM4[[#This Row],[data_wyjazdu]]-WYNAJEM4[[#This Row],[data_przyjazdu]])</f>
        <v>24</v>
      </c>
      <c r="G679" s="9">
        <f xml:space="preserve"> WYNAJEM4[[#This Row],[energia]] + WYNAJEM4[[#This Row],[woda]]</f>
        <v>6.51</v>
      </c>
      <c r="H679" s="8">
        <f xml:space="preserve"> (10 * WYNAJEM4[[#This Row],[typ]] * WYNAJEM4[[#This Row],[czas wynajecia domku]])</f>
        <v>720</v>
      </c>
      <c r="I679" s="9">
        <f xml:space="preserve"> WYNAJEM4[[#This Row],[suma energia i woda]] + WYNAJEM4[[#This Row],[czynsz]]</f>
        <v>726.51</v>
      </c>
    </row>
    <row r="680" spans="1:9" x14ac:dyDescent="0.25">
      <c r="A680" s="1">
        <v>41926</v>
      </c>
      <c r="B680" s="1">
        <v>41941</v>
      </c>
      <c r="C680" s="8">
        <v>6.43</v>
      </c>
      <c r="D680" s="8">
        <v>0.17</v>
      </c>
      <c r="E680">
        <v>6</v>
      </c>
      <c r="F680" s="10">
        <f>(WYNAJEM4[[#This Row],[data_wyjazdu]]-WYNAJEM4[[#This Row],[data_przyjazdu]])</f>
        <v>15</v>
      </c>
      <c r="G680" s="9">
        <f xml:space="preserve"> WYNAJEM4[[#This Row],[energia]] + WYNAJEM4[[#This Row],[woda]]</f>
        <v>6.6</v>
      </c>
      <c r="H680" s="8">
        <f xml:space="preserve"> (10 * WYNAJEM4[[#This Row],[typ]] * WYNAJEM4[[#This Row],[czas wynajecia domku]])</f>
        <v>900</v>
      </c>
      <c r="I680" s="9">
        <f xml:space="preserve"> WYNAJEM4[[#This Row],[suma energia i woda]] + WYNAJEM4[[#This Row],[czynsz]]</f>
        <v>906.6</v>
      </c>
    </row>
    <row r="681" spans="1:9" x14ac:dyDescent="0.25">
      <c r="A681" s="1">
        <v>41927</v>
      </c>
      <c r="B681" s="1">
        <v>41954</v>
      </c>
      <c r="C681" s="8">
        <v>2.0099999999999998</v>
      </c>
      <c r="D681" s="8">
        <v>0.05</v>
      </c>
      <c r="E681">
        <v>6</v>
      </c>
      <c r="F681" s="10">
        <f>(WYNAJEM4[[#This Row],[data_wyjazdu]]-WYNAJEM4[[#This Row],[data_przyjazdu]])</f>
        <v>27</v>
      </c>
      <c r="G681" s="9">
        <f xml:space="preserve"> WYNAJEM4[[#This Row],[energia]] + WYNAJEM4[[#This Row],[woda]]</f>
        <v>2.0599999999999996</v>
      </c>
      <c r="H681" s="8">
        <f xml:space="preserve"> (10 * WYNAJEM4[[#This Row],[typ]] * WYNAJEM4[[#This Row],[czas wynajecia domku]])</f>
        <v>1620</v>
      </c>
      <c r="I681" s="9">
        <f xml:space="preserve"> WYNAJEM4[[#This Row],[suma energia i woda]] + WYNAJEM4[[#This Row],[czynsz]]</f>
        <v>1622.06</v>
      </c>
    </row>
    <row r="682" spans="1:9" x14ac:dyDescent="0.25">
      <c r="A682" s="1">
        <v>41927</v>
      </c>
      <c r="B682" s="1">
        <v>41953</v>
      </c>
      <c r="C682" s="8">
        <v>2.72</v>
      </c>
      <c r="D682" s="8">
        <v>7.0000000000000007E-2</v>
      </c>
      <c r="E682">
        <v>4</v>
      </c>
      <c r="F682" s="10">
        <f>(WYNAJEM4[[#This Row],[data_wyjazdu]]-WYNAJEM4[[#This Row],[data_przyjazdu]])</f>
        <v>26</v>
      </c>
      <c r="G682" s="9">
        <f xml:space="preserve"> WYNAJEM4[[#This Row],[energia]] + WYNAJEM4[[#This Row],[woda]]</f>
        <v>2.79</v>
      </c>
      <c r="H682" s="8">
        <f xml:space="preserve"> (10 * WYNAJEM4[[#This Row],[typ]] * WYNAJEM4[[#This Row],[czas wynajecia domku]])</f>
        <v>1040</v>
      </c>
      <c r="I682" s="9">
        <f xml:space="preserve"> WYNAJEM4[[#This Row],[suma energia i woda]] + WYNAJEM4[[#This Row],[czynsz]]</f>
        <v>1042.79</v>
      </c>
    </row>
    <row r="683" spans="1:9" x14ac:dyDescent="0.25">
      <c r="A683" s="1">
        <v>41928</v>
      </c>
      <c r="B683" s="1">
        <v>41934</v>
      </c>
      <c r="C683" s="8">
        <v>3.73</v>
      </c>
      <c r="D683" s="8">
        <v>0.1</v>
      </c>
      <c r="E683">
        <v>5</v>
      </c>
      <c r="F683" s="10">
        <f>(WYNAJEM4[[#This Row],[data_wyjazdu]]-WYNAJEM4[[#This Row],[data_przyjazdu]])</f>
        <v>6</v>
      </c>
      <c r="G683" s="9">
        <f xml:space="preserve"> WYNAJEM4[[#This Row],[energia]] + WYNAJEM4[[#This Row],[woda]]</f>
        <v>3.83</v>
      </c>
      <c r="H683" s="8">
        <f xml:space="preserve"> (10 * WYNAJEM4[[#This Row],[typ]] * WYNAJEM4[[#This Row],[czas wynajecia domku]])</f>
        <v>300</v>
      </c>
      <c r="I683" s="9">
        <f xml:space="preserve"> WYNAJEM4[[#This Row],[suma energia i woda]] + WYNAJEM4[[#This Row],[czynsz]]</f>
        <v>303.83</v>
      </c>
    </row>
    <row r="684" spans="1:9" x14ac:dyDescent="0.25">
      <c r="A684" s="1">
        <v>41929</v>
      </c>
      <c r="B684" s="1">
        <v>41937</v>
      </c>
      <c r="C684" s="8">
        <v>5.64</v>
      </c>
      <c r="D684" s="8">
        <v>0.15</v>
      </c>
      <c r="E684">
        <v>6</v>
      </c>
      <c r="F684" s="10">
        <f>(WYNAJEM4[[#This Row],[data_wyjazdu]]-WYNAJEM4[[#This Row],[data_przyjazdu]])</f>
        <v>8</v>
      </c>
      <c r="G684" s="9">
        <f xml:space="preserve"> WYNAJEM4[[#This Row],[energia]] + WYNAJEM4[[#This Row],[woda]]</f>
        <v>5.79</v>
      </c>
      <c r="H684" s="8">
        <f xml:space="preserve"> (10 * WYNAJEM4[[#This Row],[typ]] * WYNAJEM4[[#This Row],[czas wynajecia domku]])</f>
        <v>480</v>
      </c>
      <c r="I684" s="9">
        <f xml:space="preserve"> WYNAJEM4[[#This Row],[suma energia i woda]] + WYNAJEM4[[#This Row],[czynsz]]</f>
        <v>485.79</v>
      </c>
    </row>
    <row r="685" spans="1:9" x14ac:dyDescent="0.25">
      <c r="A685" s="1">
        <v>41929</v>
      </c>
      <c r="B685" s="1">
        <v>41942</v>
      </c>
      <c r="C685" s="8">
        <v>11.78</v>
      </c>
      <c r="D685" s="8">
        <v>0.31</v>
      </c>
      <c r="E685">
        <v>5</v>
      </c>
      <c r="F685" s="10">
        <f>(WYNAJEM4[[#This Row],[data_wyjazdu]]-WYNAJEM4[[#This Row],[data_przyjazdu]])</f>
        <v>13</v>
      </c>
      <c r="G685" s="9">
        <f xml:space="preserve"> WYNAJEM4[[#This Row],[energia]] + WYNAJEM4[[#This Row],[woda]]</f>
        <v>12.09</v>
      </c>
      <c r="H685" s="8">
        <f xml:space="preserve"> (10 * WYNAJEM4[[#This Row],[typ]] * WYNAJEM4[[#This Row],[czas wynajecia domku]])</f>
        <v>650</v>
      </c>
      <c r="I685" s="9">
        <f xml:space="preserve"> WYNAJEM4[[#This Row],[suma energia i woda]] + WYNAJEM4[[#This Row],[czynsz]]</f>
        <v>662.09</v>
      </c>
    </row>
    <row r="686" spans="1:9" x14ac:dyDescent="0.25">
      <c r="A686" s="1">
        <v>41929</v>
      </c>
      <c r="B686" s="1">
        <v>41931</v>
      </c>
      <c r="C686" s="8">
        <v>9.4600000000000009</v>
      </c>
      <c r="D686" s="8">
        <v>0.25</v>
      </c>
      <c r="E686">
        <v>5</v>
      </c>
      <c r="F686" s="10">
        <f>(WYNAJEM4[[#This Row],[data_wyjazdu]]-WYNAJEM4[[#This Row],[data_przyjazdu]])</f>
        <v>2</v>
      </c>
      <c r="G686" s="9">
        <f xml:space="preserve"> WYNAJEM4[[#This Row],[energia]] + WYNAJEM4[[#This Row],[woda]]</f>
        <v>9.7100000000000009</v>
      </c>
      <c r="H686" s="8">
        <f xml:space="preserve"> (10 * WYNAJEM4[[#This Row],[typ]] * WYNAJEM4[[#This Row],[czas wynajecia domku]])</f>
        <v>100</v>
      </c>
      <c r="I686" s="9">
        <f xml:space="preserve"> WYNAJEM4[[#This Row],[suma energia i woda]] + WYNAJEM4[[#This Row],[czynsz]]</f>
        <v>109.71000000000001</v>
      </c>
    </row>
    <row r="687" spans="1:9" x14ac:dyDescent="0.25">
      <c r="A687" s="1">
        <v>41929</v>
      </c>
      <c r="B687" s="1">
        <v>41945</v>
      </c>
      <c r="C687" s="8">
        <v>4.25</v>
      </c>
      <c r="D687" s="8">
        <v>0.11</v>
      </c>
      <c r="E687">
        <v>3</v>
      </c>
      <c r="F687" s="10">
        <f>(WYNAJEM4[[#This Row],[data_wyjazdu]]-WYNAJEM4[[#This Row],[data_przyjazdu]])</f>
        <v>16</v>
      </c>
      <c r="G687" s="9">
        <f xml:space="preserve"> WYNAJEM4[[#This Row],[energia]] + WYNAJEM4[[#This Row],[woda]]</f>
        <v>4.3600000000000003</v>
      </c>
      <c r="H687" s="8">
        <f xml:space="preserve"> (10 * WYNAJEM4[[#This Row],[typ]] * WYNAJEM4[[#This Row],[czas wynajecia domku]])</f>
        <v>480</v>
      </c>
      <c r="I687" s="9">
        <f xml:space="preserve"> WYNAJEM4[[#This Row],[suma energia i woda]] + WYNAJEM4[[#This Row],[czynsz]]</f>
        <v>484.36</v>
      </c>
    </row>
    <row r="688" spans="1:9" x14ac:dyDescent="0.25">
      <c r="A688" s="1">
        <v>41929</v>
      </c>
      <c r="B688" s="1">
        <v>41955</v>
      </c>
      <c r="C688" s="8">
        <v>11.42</v>
      </c>
      <c r="D688" s="8">
        <v>0.3</v>
      </c>
      <c r="E688">
        <v>4</v>
      </c>
      <c r="F688" s="10">
        <f>(WYNAJEM4[[#This Row],[data_wyjazdu]]-WYNAJEM4[[#This Row],[data_przyjazdu]])</f>
        <v>26</v>
      </c>
      <c r="G688" s="9">
        <f xml:space="preserve"> WYNAJEM4[[#This Row],[energia]] + WYNAJEM4[[#This Row],[woda]]</f>
        <v>11.72</v>
      </c>
      <c r="H688" s="8">
        <f xml:space="preserve"> (10 * WYNAJEM4[[#This Row],[typ]] * WYNAJEM4[[#This Row],[czas wynajecia domku]])</f>
        <v>1040</v>
      </c>
      <c r="I688" s="9">
        <f xml:space="preserve"> WYNAJEM4[[#This Row],[suma energia i woda]] + WYNAJEM4[[#This Row],[czynsz]]</f>
        <v>1051.72</v>
      </c>
    </row>
    <row r="689" spans="1:9" x14ac:dyDescent="0.25">
      <c r="A689" s="1">
        <v>41929</v>
      </c>
      <c r="B689" s="1">
        <v>41955</v>
      </c>
      <c r="C689" s="8">
        <v>8.5399999999999991</v>
      </c>
      <c r="D689" s="8">
        <v>0.22</v>
      </c>
      <c r="E689">
        <v>3</v>
      </c>
      <c r="F689" s="10">
        <f>(WYNAJEM4[[#This Row],[data_wyjazdu]]-WYNAJEM4[[#This Row],[data_przyjazdu]])</f>
        <v>26</v>
      </c>
      <c r="G689" s="9">
        <f xml:space="preserve"> WYNAJEM4[[#This Row],[energia]] + WYNAJEM4[[#This Row],[woda]]</f>
        <v>8.76</v>
      </c>
      <c r="H689" s="8">
        <f xml:space="preserve"> (10 * WYNAJEM4[[#This Row],[typ]] * WYNAJEM4[[#This Row],[czas wynajecia domku]])</f>
        <v>780</v>
      </c>
      <c r="I689" s="9">
        <f xml:space="preserve"> WYNAJEM4[[#This Row],[suma energia i woda]] + WYNAJEM4[[#This Row],[czynsz]]</f>
        <v>788.76</v>
      </c>
    </row>
    <row r="690" spans="1:9" x14ac:dyDescent="0.25">
      <c r="A690" s="1">
        <v>41930</v>
      </c>
      <c r="B690" s="1">
        <v>41936</v>
      </c>
      <c r="C690" s="8">
        <v>2.72</v>
      </c>
      <c r="D690" s="8">
        <v>7.0000000000000007E-2</v>
      </c>
      <c r="E690">
        <v>2</v>
      </c>
      <c r="F690" s="10">
        <f>(WYNAJEM4[[#This Row],[data_wyjazdu]]-WYNAJEM4[[#This Row],[data_przyjazdu]])</f>
        <v>6</v>
      </c>
      <c r="G690" s="9">
        <f xml:space="preserve"> WYNAJEM4[[#This Row],[energia]] + WYNAJEM4[[#This Row],[woda]]</f>
        <v>2.79</v>
      </c>
      <c r="H690" s="8">
        <f xml:space="preserve"> (10 * WYNAJEM4[[#This Row],[typ]] * WYNAJEM4[[#This Row],[czas wynajecia domku]])</f>
        <v>120</v>
      </c>
      <c r="I690" s="9">
        <f xml:space="preserve"> WYNAJEM4[[#This Row],[suma energia i woda]] + WYNAJEM4[[#This Row],[czynsz]]</f>
        <v>122.79</v>
      </c>
    </row>
    <row r="691" spans="1:9" x14ac:dyDescent="0.25">
      <c r="A691" s="1">
        <v>41934</v>
      </c>
      <c r="B691" s="1">
        <v>41941</v>
      </c>
      <c r="C691" s="8">
        <v>11.78</v>
      </c>
      <c r="D691" s="8">
        <v>0.31</v>
      </c>
      <c r="E691">
        <v>3</v>
      </c>
      <c r="F691" s="10">
        <f>(WYNAJEM4[[#This Row],[data_wyjazdu]]-WYNAJEM4[[#This Row],[data_przyjazdu]])</f>
        <v>7</v>
      </c>
      <c r="G691" s="9">
        <f xml:space="preserve"> WYNAJEM4[[#This Row],[energia]] + WYNAJEM4[[#This Row],[woda]]</f>
        <v>12.09</v>
      </c>
      <c r="H691" s="8">
        <f xml:space="preserve"> (10 * WYNAJEM4[[#This Row],[typ]] * WYNAJEM4[[#This Row],[czas wynajecia domku]])</f>
        <v>210</v>
      </c>
      <c r="I691" s="9">
        <f xml:space="preserve"> WYNAJEM4[[#This Row],[suma energia i woda]] + WYNAJEM4[[#This Row],[czynsz]]</f>
        <v>222.09</v>
      </c>
    </row>
    <row r="692" spans="1:9" x14ac:dyDescent="0.25">
      <c r="A692" s="1">
        <v>41934</v>
      </c>
      <c r="B692" s="1">
        <v>41959</v>
      </c>
      <c r="C692" s="8">
        <v>8.89</v>
      </c>
      <c r="D692" s="8">
        <v>0.23</v>
      </c>
      <c r="E692">
        <v>4</v>
      </c>
      <c r="F692" s="10">
        <f>(WYNAJEM4[[#This Row],[data_wyjazdu]]-WYNAJEM4[[#This Row],[data_przyjazdu]])</f>
        <v>25</v>
      </c>
      <c r="G692" s="9">
        <f xml:space="preserve"> WYNAJEM4[[#This Row],[energia]] + WYNAJEM4[[#This Row],[woda]]</f>
        <v>9.120000000000001</v>
      </c>
      <c r="H692" s="8">
        <f xml:space="preserve"> (10 * WYNAJEM4[[#This Row],[typ]] * WYNAJEM4[[#This Row],[czas wynajecia domku]])</f>
        <v>1000</v>
      </c>
      <c r="I692" s="9">
        <f xml:space="preserve"> WYNAJEM4[[#This Row],[suma energia i woda]] + WYNAJEM4[[#This Row],[czynsz]]</f>
        <v>1009.12</v>
      </c>
    </row>
    <row r="693" spans="1:9" x14ac:dyDescent="0.25">
      <c r="A693" s="1">
        <v>41934</v>
      </c>
      <c r="B693" s="1">
        <v>41937</v>
      </c>
      <c r="C693" s="8">
        <v>3.94</v>
      </c>
      <c r="D693" s="8">
        <v>0.1</v>
      </c>
      <c r="E693">
        <v>5</v>
      </c>
      <c r="F693" s="10">
        <f>(WYNAJEM4[[#This Row],[data_wyjazdu]]-WYNAJEM4[[#This Row],[data_przyjazdu]])</f>
        <v>3</v>
      </c>
      <c r="G693" s="9">
        <f xml:space="preserve"> WYNAJEM4[[#This Row],[energia]] + WYNAJEM4[[#This Row],[woda]]</f>
        <v>4.04</v>
      </c>
      <c r="H693" s="8">
        <f xml:space="preserve"> (10 * WYNAJEM4[[#This Row],[typ]] * WYNAJEM4[[#This Row],[czas wynajecia domku]])</f>
        <v>150</v>
      </c>
      <c r="I693" s="9">
        <f xml:space="preserve"> WYNAJEM4[[#This Row],[suma energia i woda]] + WYNAJEM4[[#This Row],[czynsz]]</f>
        <v>154.04</v>
      </c>
    </row>
    <row r="694" spans="1:9" x14ac:dyDescent="0.25">
      <c r="A694" s="1">
        <v>41934</v>
      </c>
      <c r="B694" s="1">
        <v>41960</v>
      </c>
      <c r="C694" s="8">
        <v>6.23</v>
      </c>
      <c r="D694" s="8">
        <v>0.16</v>
      </c>
      <c r="E694">
        <v>5</v>
      </c>
      <c r="F694" s="10">
        <f>(WYNAJEM4[[#This Row],[data_wyjazdu]]-WYNAJEM4[[#This Row],[data_przyjazdu]])</f>
        <v>26</v>
      </c>
      <c r="G694" s="9">
        <f xml:space="preserve"> WYNAJEM4[[#This Row],[energia]] + WYNAJEM4[[#This Row],[woda]]</f>
        <v>6.3900000000000006</v>
      </c>
      <c r="H694" s="8">
        <f xml:space="preserve"> (10 * WYNAJEM4[[#This Row],[typ]] * WYNAJEM4[[#This Row],[czas wynajecia domku]])</f>
        <v>1300</v>
      </c>
      <c r="I694" s="9">
        <f xml:space="preserve"> WYNAJEM4[[#This Row],[suma energia i woda]] + WYNAJEM4[[#This Row],[czynsz]]</f>
        <v>1306.3900000000001</v>
      </c>
    </row>
    <row r="695" spans="1:9" x14ac:dyDescent="0.25">
      <c r="A695" s="1">
        <v>41934</v>
      </c>
      <c r="B695" s="1">
        <v>41961</v>
      </c>
      <c r="C695" s="8">
        <v>9.4600000000000009</v>
      </c>
      <c r="D695" s="8">
        <v>0.25</v>
      </c>
      <c r="E695">
        <v>6</v>
      </c>
      <c r="F695" s="10">
        <f>(WYNAJEM4[[#This Row],[data_wyjazdu]]-WYNAJEM4[[#This Row],[data_przyjazdu]])</f>
        <v>27</v>
      </c>
      <c r="G695" s="9">
        <f xml:space="preserve"> WYNAJEM4[[#This Row],[energia]] + WYNAJEM4[[#This Row],[woda]]</f>
        <v>9.7100000000000009</v>
      </c>
      <c r="H695" s="8">
        <f xml:space="preserve"> (10 * WYNAJEM4[[#This Row],[typ]] * WYNAJEM4[[#This Row],[czas wynajecia domku]])</f>
        <v>1620</v>
      </c>
      <c r="I695" s="9">
        <f xml:space="preserve"> WYNAJEM4[[#This Row],[suma energia i woda]] + WYNAJEM4[[#This Row],[czynsz]]</f>
        <v>1629.71</v>
      </c>
    </row>
    <row r="696" spans="1:9" x14ac:dyDescent="0.25">
      <c r="A696" s="1">
        <v>41934</v>
      </c>
      <c r="B696" s="1">
        <v>41942</v>
      </c>
      <c r="C696" s="8">
        <v>11.42</v>
      </c>
      <c r="D696" s="8">
        <v>0.3</v>
      </c>
      <c r="E696">
        <v>6</v>
      </c>
      <c r="F696" s="10">
        <f>(WYNAJEM4[[#This Row],[data_wyjazdu]]-WYNAJEM4[[#This Row],[data_przyjazdu]])</f>
        <v>8</v>
      </c>
      <c r="G696" s="9">
        <f xml:space="preserve"> WYNAJEM4[[#This Row],[energia]] + WYNAJEM4[[#This Row],[woda]]</f>
        <v>11.72</v>
      </c>
      <c r="H696" s="8">
        <f xml:space="preserve"> (10 * WYNAJEM4[[#This Row],[typ]] * WYNAJEM4[[#This Row],[czas wynajecia domku]])</f>
        <v>480</v>
      </c>
      <c r="I696" s="9">
        <f xml:space="preserve"> WYNAJEM4[[#This Row],[suma energia i woda]] + WYNAJEM4[[#This Row],[czynsz]]</f>
        <v>491.72</v>
      </c>
    </row>
    <row r="697" spans="1:9" x14ac:dyDescent="0.25">
      <c r="A697" s="1">
        <v>41934</v>
      </c>
      <c r="B697" s="1">
        <v>41949</v>
      </c>
      <c r="C697" s="8">
        <v>8.84</v>
      </c>
      <c r="D697" s="8">
        <v>0.23</v>
      </c>
      <c r="E697">
        <v>3</v>
      </c>
      <c r="F697" s="10">
        <f>(WYNAJEM4[[#This Row],[data_wyjazdu]]-WYNAJEM4[[#This Row],[data_przyjazdu]])</f>
        <v>15</v>
      </c>
      <c r="G697" s="9">
        <f xml:space="preserve"> WYNAJEM4[[#This Row],[energia]] + WYNAJEM4[[#This Row],[woda]]</f>
        <v>9.07</v>
      </c>
      <c r="H697" s="8">
        <f xml:space="preserve"> (10 * WYNAJEM4[[#This Row],[typ]] * WYNAJEM4[[#This Row],[czas wynajecia domku]])</f>
        <v>450</v>
      </c>
      <c r="I697" s="9">
        <f xml:space="preserve"> WYNAJEM4[[#This Row],[suma energia i woda]] + WYNAJEM4[[#This Row],[czynsz]]</f>
        <v>459.07</v>
      </c>
    </row>
    <row r="698" spans="1:9" x14ac:dyDescent="0.25">
      <c r="A698" s="1">
        <v>41934</v>
      </c>
      <c r="B698" s="1">
        <v>41949</v>
      </c>
      <c r="C698" s="8">
        <v>6.34</v>
      </c>
      <c r="D698" s="8">
        <v>0.17</v>
      </c>
      <c r="E698">
        <v>2</v>
      </c>
      <c r="F698" s="10">
        <f>(WYNAJEM4[[#This Row],[data_wyjazdu]]-WYNAJEM4[[#This Row],[data_przyjazdu]])</f>
        <v>15</v>
      </c>
      <c r="G698" s="9">
        <f xml:space="preserve"> WYNAJEM4[[#This Row],[energia]] + WYNAJEM4[[#This Row],[woda]]</f>
        <v>6.51</v>
      </c>
      <c r="H698" s="8">
        <f xml:space="preserve"> (10 * WYNAJEM4[[#This Row],[typ]] * WYNAJEM4[[#This Row],[czas wynajecia domku]])</f>
        <v>300</v>
      </c>
      <c r="I698" s="9">
        <f xml:space="preserve"> WYNAJEM4[[#This Row],[suma energia i woda]] + WYNAJEM4[[#This Row],[czynsz]]</f>
        <v>306.51</v>
      </c>
    </row>
    <row r="699" spans="1:9" x14ac:dyDescent="0.25">
      <c r="A699" s="1">
        <v>41934</v>
      </c>
      <c r="B699" s="1">
        <v>41943</v>
      </c>
      <c r="C699" s="8">
        <v>5.67</v>
      </c>
      <c r="D699" s="8">
        <v>0.15</v>
      </c>
      <c r="E699">
        <v>2</v>
      </c>
      <c r="F699" s="10">
        <f>(WYNAJEM4[[#This Row],[data_wyjazdu]]-WYNAJEM4[[#This Row],[data_przyjazdu]])</f>
        <v>9</v>
      </c>
      <c r="G699" s="9">
        <f xml:space="preserve"> WYNAJEM4[[#This Row],[energia]] + WYNAJEM4[[#This Row],[woda]]</f>
        <v>5.82</v>
      </c>
      <c r="H699" s="8">
        <f xml:space="preserve"> (10 * WYNAJEM4[[#This Row],[typ]] * WYNAJEM4[[#This Row],[czas wynajecia domku]])</f>
        <v>180</v>
      </c>
      <c r="I699" s="9">
        <f xml:space="preserve"> WYNAJEM4[[#This Row],[suma energia i woda]] + WYNAJEM4[[#This Row],[czynsz]]</f>
        <v>185.82</v>
      </c>
    </row>
    <row r="700" spans="1:9" x14ac:dyDescent="0.25">
      <c r="A700" s="1">
        <v>41934</v>
      </c>
      <c r="B700" s="1">
        <v>41954</v>
      </c>
      <c r="C700" s="8">
        <v>11.78</v>
      </c>
      <c r="D700" s="8">
        <v>0.31</v>
      </c>
      <c r="E700">
        <v>5</v>
      </c>
      <c r="F700" s="10">
        <f>(WYNAJEM4[[#This Row],[data_wyjazdu]]-WYNAJEM4[[#This Row],[data_przyjazdu]])</f>
        <v>20</v>
      </c>
      <c r="G700" s="9">
        <f xml:space="preserve"> WYNAJEM4[[#This Row],[energia]] + WYNAJEM4[[#This Row],[woda]]</f>
        <v>12.09</v>
      </c>
      <c r="H700" s="8">
        <f xml:space="preserve"> (10 * WYNAJEM4[[#This Row],[typ]] * WYNAJEM4[[#This Row],[czas wynajecia domku]])</f>
        <v>1000</v>
      </c>
      <c r="I700" s="9">
        <f xml:space="preserve"> WYNAJEM4[[#This Row],[suma energia i woda]] + WYNAJEM4[[#This Row],[czynsz]]</f>
        <v>1012.09</v>
      </c>
    </row>
    <row r="701" spans="1:9" x14ac:dyDescent="0.25">
      <c r="A701" s="1">
        <v>41934</v>
      </c>
      <c r="B701" s="1">
        <v>41944</v>
      </c>
      <c r="C701" s="8">
        <v>13.82</v>
      </c>
      <c r="D701" s="8">
        <v>0.36</v>
      </c>
      <c r="E701">
        <v>3</v>
      </c>
      <c r="F701" s="10">
        <f>(WYNAJEM4[[#This Row],[data_wyjazdu]]-WYNAJEM4[[#This Row],[data_przyjazdu]])</f>
        <v>10</v>
      </c>
      <c r="G701" s="9">
        <f xml:space="preserve"> WYNAJEM4[[#This Row],[energia]] + WYNAJEM4[[#This Row],[woda]]</f>
        <v>14.18</v>
      </c>
      <c r="H701" s="8">
        <f xml:space="preserve"> (10 * WYNAJEM4[[#This Row],[typ]] * WYNAJEM4[[#This Row],[czas wynajecia domku]])</f>
        <v>300</v>
      </c>
      <c r="I701" s="9">
        <f xml:space="preserve"> WYNAJEM4[[#This Row],[suma energia i woda]] + WYNAJEM4[[#This Row],[czynsz]]</f>
        <v>314.18</v>
      </c>
    </row>
    <row r="702" spans="1:9" x14ac:dyDescent="0.25">
      <c r="A702" s="1">
        <v>41934</v>
      </c>
      <c r="B702" s="1">
        <v>41958</v>
      </c>
      <c r="C702" s="8">
        <v>3.57</v>
      </c>
      <c r="D702" s="8">
        <v>0.09</v>
      </c>
      <c r="E702">
        <v>3</v>
      </c>
      <c r="F702" s="10">
        <f>(WYNAJEM4[[#This Row],[data_wyjazdu]]-WYNAJEM4[[#This Row],[data_przyjazdu]])</f>
        <v>24</v>
      </c>
      <c r="G702" s="9">
        <f xml:space="preserve"> WYNAJEM4[[#This Row],[energia]] + WYNAJEM4[[#This Row],[woda]]</f>
        <v>3.6599999999999997</v>
      </c>
      <c r="H702" s="8">
        <f xml:space="preserve"> (10 * WYNAJEM4[[#This Row],[typ]] * WYNAJEM4[[#This Row],[czas wynajecia domku]])</f>
        <v>720</v>
      </c>
      <c r="I702" s="9">
        <f xml:space="preserve"> WYNAJEM4[[#This Row],[suma energia i woda]] + WYNAJEM4[[#This Row],[czynsz]]</f>
        <v>723.66</v>
      </c>
    </row>
    <row r="703" spans="1:9" x14ac:dyDescent="0.25">
      <c r="A703" s="1">
        <v>41934</v>
      </c>
      <c r="B703" s="1">
        <v>41954</v>
      </c>
      <c r="C703" s="8">
        <v>6.88</v>
      </c>
      <c r="D703" s="8">
        <v>0.18</v>
      </c>
      <c r="E703">
        <v>3</v>
      </c>
      <c r="F703" s="10">
        <f>(WYNAJEM4[[#This Row],[data_wyjazdu]]-WYNAJEM4[[#This Row],[data_przyjazdu]])</f>
        <v>20</v>
      </c>
      <c r="G703" s="9">
        <f xml:space="preserve"> WYNAJEM4[[#This Row],[energia]] + WYNAJEM4[[#This Row],[woda]]</f>
        <v>7.06</v>
      </c>
      <c r="H703" s="8">
        <f xml:space="preserve"> (10 * WYNAJEM4[[#This Row],[typ]] * WYNAJEM4[[#This Row],[czas wynajecia domku]])</f>
        <v>600</v>
      </c>
      <c r="I703" s="9">
        <f xml:space="preserve"> WYNAJEM4[[#This Row],[suma energia i woda]] + WYNAJEM4[[#This Row],[czynsz]]</f>
        <v>607.05999999999995</v>
      </c>
    </row>
    <row r="704" spans="1:9" x14ac:dyDescent="0.25">
      <c r="A704" s="1">
        <v>41934</v>
      </c>
      <c r="B704" s="1">
        <v>41958</v>
      </c>
      <c r="C704" s="8">
        <v>7.3</v>
      </c>
      <c r="D704" s="8">
        <v>0.19</v>
      </c>
      <c r="E704">
        <v>5</v>
      </c>
      <c r="F704" s="10">
        <f>(WYNAJEM4[[#This Row],[data_wyjazdu]]-WYNAJEM4[[#This Row],[data_przyjazdu]])</f>
        <v>24</v>
      </c>
      <c r="G704" s="9">
        <f xml:space="preserve"> WYNAJEM4[[#This Row],[energia]] + WYNAJEM4[[#This Row],[woda]]</f>
        <v>7.49</v>
      </c>
      <c r="H704" s="8">
        <f xml:space="preserve"> (10 * WYNAJEM4[[#This Row],[typ]] * WYNAJEM4[[#This Row],[czas wynajecia domku]])</f>
        <v>1200</v>
      </c>
      <c r="I704" s="9">
        <f xml:space="preserve"> WYNAJEM4[[#This Row],[suma energia i woda]] + WYNAJEM4[[#This Row],[czynsz]]</f>
        <v>1207.49</v>
      </c>
    </row>
    <row r="705" spans="1:9" x14ac:dyDescent="0.25">
      <c r="A705" s="1">
        <v>41934</v>
      </c>
      <c r="B705" s="1">
        <v>41955</v>
      </c>
      <c r="C705" s="8">
        <v>9.74</v>
      </c>
      <c r="D705" s="8">
        <v>0.26</v>
      </c>
      <c r="E705">
        <v>2</v>
      </c>
      <c r="F705" s="10">
        <f>(WYNAJEM4[[#This Row],[data_wyjazdu]]-WYNAJEM4[[#This Row],[data_przyjazdu]])</f>
        <v>21</v>
      </c>
      <c r="G705" s="9">
        <f xml:space="preserve"> WYNAJEM4[[#This Row],[energia]] + WYNAJEM4[[#This Row],[woda]]</f>
        <v>10</v>
      </c>
      <c r="H705" s="8">
        <f xml:space="preserve"> (10 * WYNAJEM4[[#This Row],[typ]] * WYNAJEM4[[#This Row],[czas wynajecia domku]])</f>
        <v>420</v>
      </c>
      <c r="I705" s="9">
        <f xml:space="preserve"> WYNAJEM4[[#This Row],[suma energia i woda]] + WYNAJEM4[[#This Row],[czynsz]]</f>
        <v>430</v>
      </c>
    </row>
    <row r="706" spans="1:9" x14ac:dyDescent="0.25">
      <c r="A706" s="1">
        <v>41934</v>
      </c>
      <c r="B706" s="1">
        <v>41945</v>
      </c>
      <c r="C706" s="8">
        <v>8.65</v>
      </c>
      <c r="D706" s="8">
        <v>0.23</v>
      </c>
      <c r="E706">
        <v>2</v>
      </c>
      <c r="F706" s="10">
        <f>(WYNAJEM4[[#This Row],[data_wyjazdu]]-WYNAJEM4[[#This Row],[data_przyjazdu]])</f>
        <v>11</v>
      </c>
      <c r="G706" s="9">
        <f xml:space="preserve"> WYNAJEM4[[#This Row],[energia]] + WYNAJEM4[[#This Row],[woda]]</f>
        <v>8.8800000000000008</v>
      </c>
      <c r="H706" s="8">
        <f xml:space="preserve"> (10 * WYNAJEM4[[#This Row],[typ]] * WYNAJEM4[[#This Row],[czas wynajecia domku]])</f>
        <v>220</v>
      </c>
      <c r="I706" s="9">
        <f xml:space="preserve"> WYNAJEM4[[#This Row],[suma energia i woda]] + WYNAJEM4[[#This Row],[czynsz]]</f>
        <v>228.88</v>
      </c>
    </row>
    <row r="707" spans="1:9" x14ac:dyDescent="0.25">
      <c r="A707" s="1">
        <v>41934</v>
      </c>
      <c r="B707" s="1">
        <v>41954</v>
      </c>
      <c r="C707" s="8">
        <v>3.57</v>
      </c>
      <c r="D707" s="8">
        <v>0.09</v>
      </c>
      <c r="E707">
        <v>5</v>
      </c>
      <c r="F707" s="10">
        <f>(WYNAJEM4[[#This Row],[data_wyjazdu]]-WYNAJEM4[[#This Row],[data_przyjazdu]])</f>
        <v>20</v>
      </c>
      <c r="G707" s="9">
        <f xml:space="preserve"> WYNAJEM4[[#This Row],[energia]] + WYNAJEM4[[#This Row],[woda]]</f>
        <v>3.6599999999999997</v>
      </c>
      <c r="H707" s="8">
        <f xml:space="preserve"> (10 * WYNAJEM4[[#This Row],[typ]] * WYNAJEM4[[#This Row],[czas wynajecia domku]])</f>
        <v>1000</v>
      </c>
      <c r="I707" s="9">
        <f xml:space="preserve"> WYNAJEM4[[#This Row],[suma energia i woda]] + WYNAJEM4[[#This Row],[czynsz]]</f>
        <v>1003.66</v>
      </c>
    </row>
    <row r="708" spans="1:9" x14ac:dyDescent="0.25">
      <c r="A708" s="1">
        <v>41934</v>
      </c>
      <c r="B708" s="1">
        <v>41951</v>
      </c>
      <c r="C708" s="8">
        <v>4.25</v>
      </c>
      <c r="D708" s="8">
        <v>0.11</v>
      </c>
      <c r="E708">
        <v>6</v>
      </c>
      <c r="F708" s="10">
        <f>(WYNAJEM4[[#This Row],[data_wyjazdu]]-WYNAJEM4[[#This Row],[data_przyjazdu]])</f>
        <v>17</v>
      </c>
      <c r="G708" s="9">
        <f xml:space="preserve"> WYNAJEM4[[#This Row],[energia]] + WYNAJEM4[[#This Row],[woda]]</f>
        <v>4.3600000000000003</v>
      </c>
      <c r="H708" s="8">
        <f xml:space="preserve"> (10 * WYNAJEM4[[#This Row],[typ]] * WYNAJEM4[[#This Row],[czas wynajecia domku]])</f>
        <v>1020</v>
      </c>
      <c r="I708" s="9">
        <f xml:space="preserve"> WYNAJEM4[[#This Row],[suma energia i woda]] + WYNAJEM4[[#This Row],[czynsz]]</f>
        <v>1024.3599999999999</v>
      </c>
    </row>
    <row r="709" spans="1:9" x14ac:dyDescent="0.25">
      <c r="A709" s="1">
        <v>41934</v>
      </c>
      <c r="B709" s="1">
        <v>41938</v>
      </c>
      <c r="C709" s="8">
        <v>13.02</v>
      </c>
      <c r="D709" s="8">
        <v>0.34</v>
      </c>
      <c r="E709">
        <v>2</v>
      </c>
      <c r="F709" s="10">
        <f>(WYNAJEM4[[#This Row],[data_wyjazdu]]-WYNAJEM4[[#This Row],[data_przyjazdu]])</f>
        <v>4</v>
      </c>
      <c r="G709" s="9">
        <f xml:space="preserve"> WYNAJEM4[[#This Row],[energia]] + WYNAJEM4[[#This Row],[woda]]</f>
        <v>13.36</v>
      </c>
      <c r="H709" s="8">
        <f xml:space="preserve"> (10 * WYNAJEM4[[#This Row],[typ]] * WYNAJEM4[[#This Row],[czas wynajecia domku]])</f>
        <v>80</v>
      </c>
      <c r="I709" s="9">
        <f xml:space="preserve"> WYNAJEM4[[#This Row],[suma energia i woda]] + WYNAJEM4[[#This Row],[czynsz]]</f>
        <v>93.36</v>
      </c>
    </row>
    <row r="710" spans="1:9" x14ac:dyDescent="0.25">
      <c r="A710" s="1">
        <v>41935</v>
      </c>
      <c r="B710" s="1">
        <v>41945</v>
      </c>
      <c r="C710" s="8">
        <v>11.44</v>
      </c>
      <c r="D710" s="8">
        <v>0.3</v>
      </c>
      <c r="E710">
        <v>6</v>
      </c>
      <c r="F710" s="10">
        <f>(WYNAJEM4[[#This Row],[data_wyjazdu]]-WYNAJEM4[[#This Row],[data_przyjazdu]])</f>
        <v>10</v>
      </c>
      <c r="G710" s="9">
        <f xml:space="preserve"> WYNAJEM4[[#This Row],[energia]] + WYNAJEM4[[#This Row],[woda]]</f>
        <v>11.74</v>
      </c>
      <c r="H710" s="8">
        <f xml:space="preserve"> (10 * WYNAJEM4[[#This Row],[typ]] * WYNAJEM4[[#This Row],[czas wynajecia domku]])</f>
        <v>600</v>
      </c>
      <c r="I710" s="9">
        <f xml:space="preserve"> WYNAJEM4[[#This Row],[suma energia i woda]] + WYNAJEM4[[#This Row],[czynsz]]</f>
        <v>611.74</v>
      </c>
    </row>
    <row r="711" spans="1:9" x14ac:dyDescent="0.25">
      <c r="A711" s="1">
        <v>41935</v>
      </c>
      <c r="B711" s="1">
        <v>41954</v>
      </c>
      <c r="C711" s="8">
        <v>11.78</v>
      </c>
      <c r="D711" s="8">
        <v>0.31</v>
      </c>
      <c r="E711">
        <v>5</v>
      </c>
      <c r="F711" s="10">
        <f>(WYNAJEM4[[#This Row],[data_wyjazdu]]-WYNAJEM4[[#This Row],[data_przyjazdu]])</f>
        <v>19</v>
      </c>
      <c r="G711" s="9">
        <f xml:space="preserve"> WYNAJEM4[[#This Row],[energia]] + WYNAJEM4[[#This Row],[woda]]</f>
        <v>12.09</v>
      </c>
      <c r="H711" s="8">
        <f xml:space="preserve"> (10 * WYNAJEM4[[#This Row],[typ]] * WYNAJEM4[[#This Row],[czas wynajecia domku]])</f>
        <v>950</v>
      </c>
      <c r="I711" s="9">
        <f xml:space="preserve"> WYNAJEM4[[#This Row],[suma energia i woda]] + WYNAJEM4[[#This Row],[czynsz]]</f>
        <v>962.09</v>
      </c>
    </row>
    <row r="712" spans="1:9" x14ac:dyDescent="0.25">
      <c r="A712" s="1">
        <v>41935</v>
      </c>
      <c r="B712" s="1">
        <v>41944</v>
      </c>
      <c r="C712" s="8">
        <v>7.31</v>
      </c>
      <c r="D712" s="8">
        <v>0.19</v>
      </c>
      <c r="E712">
        <v>2</v>
      </c>
      <c r="F712" s="10">
        <f>(WYNAJEM4[[#This Row],[data_wyjazdu]]-WYNAJEM4[[#This Row],[data_przyjazdu]])</f>
        <v>9</v>
      </c>
      <c r="G712" s="9">
        <f xml:space="preserve"> WYNAJEM4[[#This Row],[energia]] + WYNAJEM4[[#This Row],[woda]]</f>
        <v>7.5</v>
      </c>
      <c r="H712" s="8">
        <f xml:space="preserve"> (10 * WYNAJEM4[[#This Row],[typ]] * WYNAJEM4[[#This Row],[czas wynajecia domku]])</f>
        <v>180</v>
      </c>
      <c r="I712" s="9">
        <f xml:space="preserve"> WYNAJEM4[[#This Row],[suma energia i woda]] + WYNAJEM4[[#This Row],[czynsz]]</f>
        <v>187.5</v>
      </c>
    </row>
    <row r="713" spans="1:9" x14ac:dyDescent="0.25">
      <c r="A713" s="1">
        <v>41935</v>
      </c>
      <c r="B713" s="1">
        <v>41940</v>
      </c>
      <c r="C713" s="8">
        <v>3.79</v>
      </c>
      <c r="D713" s="8">
        <v>0.1</v>
      </c>
      <c r="E713">
        <v>4</v>
      </c>
      <c r="F713" s="10">
        <f>(WYNAJEM4[[#This Row],[data_wyjazdu]]-WYNAJEM4[[#This Row],[data_przyjazdu]])</f>
        <v>5</v>
      </c>
      <c r="G713" s="9">
        <f xml:space="preserve"> WYNAJEM4[[#This Row],[energia]] + WYNAJEM4[[#This Row],[woda]]</f>
        <v>3.89</v>
      </c>
      <c r="H713" s="8">
        <f xml:space="preserve"> (10 * WYNAJEM4[[#This Row],[typ]] * WYNAJEM4[[#This Row],[czas wynajecia domku]])</f>
        <v>200</v>
      </c>
      <c r="I713" s="9">
        <f xml:space="preserve"> WYNAJEM4[[#This Row],[suma energia i woda]] + WYNAJEM4[[#This Row],[czynsz]]</f>
        <v>203.89</v>
      </c>
    </row>
    <row r="714" spans="1:9" x14ac:dyDescent="0.25">
      <c r="A714" s="1">
        <v>41935</v>
      </c>
      <c r="B714" s="1">
        <v>41947</v>
      </c>
      <c r="C714" s="8">
        <v>11.42</v>
      </c>
      <c r="D714" s="8">
        <v>0.3</v>
      </c>
      <c r="E714">
        <v>3</v>
      </c>
      <c r="F714" s="10">
        <f>(WYNAJEM4[[#This Row],[data_wyjazdu]]-WYNAJEM4[[#This Row],[data_przyjazdu]])</f>
        <v>12</v>
      </c>
      <c r="G714" s="9">
        <f xml:space="preserve"> WYNAJEM4[[#This Row],[energia]] + WYNAJEM4[[#This Row],[woda]]</f>
        <v>11.72</v>
      </c>
      <c r="H714" s="8">
        <f xml:space="preserve"> (10 * WYNAJEM4[[#This Row],[typ]] * WYNAJEM4[[#This Row],[czas wynajecia domku]])</f>
        <v>360</v>
      </c>
      <c r="I714" s="9">
        <f xml:space="preserve"> WYNAJEM4[[#This Row],[suma energia i woda]] + WYNAJEM4[[#This Row],[czynsz]]</f>
        <v>371.72</v>
      </c>
    </row>
    <row r="715" spans="1:9" x14ac:dyDescent="0.25">
      <c r="A715" s="1">
        <v>41935</v>
      </c>
      <c r="B715" s="1">
        <v>41955</v>
      </c>
      <c r="C715" s="8">
        <v>7.31</v>
      </c>
      <c r="D715" s="8">
        <v>0.19</v>
      </c>
      <c r="E715">
        <v>6</v>
      </c>
      <c r="F715" s="10">
        <f>(WYNAJEM4[[#This Row],[data_wyjazdu]]-WYNAJEM4[[#This Row],[data_przyjazdu]])</f>
        <v>20</v>
      </c>
      <c r="G715" s="9">
        <f xml:space="preserve"> WYNAJEM4[[#This Row],[energia]] + WYNAJEM4[[#This Row],[woda]]</f>
        <v>7.5</v>
      </c>
      <c r="H715" s="8">
        <f xml:space="preserve"> (10 * WYNAJEM4[[#This Row],[typ]] * WYNAJEM4[[#This Row],[czas wynajecia domku]])</f>
        <v>1200</v>
      </c>
      <c r="I715" s="9">
        <f xml:space="preserve"> WYNAJEM4[[#This Row],[suma energia i woda]] + WYNAJEM4[[#This Row],[czynsz]]</f>
        <v>1207.5</v>
      </c>
    </row>
    <row r="716" spans="1:9" x14ac:dyDescent="0.25">
      <c r="A716" s="1">
        <v>41935</v>
      </c>
      <c r="B716" s="1">
        <v>41940</v>
      </c>
      <c r="C716" s="8">
        <v>3.73</v>
      </c>
      <c r="D716" s="8">
        <v>0.1</v>
      </c>
      <c r="E716">
        <v>2</v>
      </c>
      <c r="F716" s="10">
        <f>(WYNAJEM4[[#This Row],[data_wyjazdu]]-WYNAJEM4[[#This Row],[data_przyjazdu]])</f>
        <v>5</v>
      </c>
      <c r="G716" s="9">
        <f xml:space="preserve"> WYNAJEM4[[#This Row],[energia]] + WYNAJEM4[[#This Row],[woda]]</f>
        <v>3.83</v>
      </c>
      <c r="H716" s="8">
        <f xml:space="preserve"> (10 * WYNAJEM4[[#This Row],[typ]] * WYNAJEM4[[#This Row],[czas wynajecia domku]])</f>
        <v>100</v>
      </c>
      <c r="I716" s="9">
        <f xml:space="preserve"> WYNAJEM4[[#This Row],[suma energia i woda]] + WYNAJEM4[[#This Row],[czynsz]]</f>
        <v>103.83</v>
      </c>
    </row>
    <row r="717" spans="1:9" x14ac:dyDescent="0.25">
      <c r="A717" s="1">
        <v>41935</v>
      </c>
      <c r="B717" s="1">
        <v>41957</v>
      </c>
      <c r="C717" s="8">
        <v>9.06</v>
      </c>
      <c r="D717" s="8">
        <v>0.24</v>
      </c>
      <c r="E717">
        <v>2</v>
      </c>
      <c r="F717" s="10">
        <f>(WYNAJEM4[[#This Row],[data_wyjazdu]]-WYNAJEM4[[#This Row],[data_przyjazdu]])</f>
        <v>22</v>
      </c>
      <c r="G717" s="9">
        <f xml:space="preserve"> WYNAJEM4[[#This Row],[energia]] + WYNAJEM4[[#This Row],[woda]]</f>
        <v>9.3000000000000007</v>
      </c>
      <c r="H717" s="8">
        <f xml:space="preserve"> (10 * WYNAJEM4[[#This Row],[typ]] * WYNAJEM4[[#This Row],[czas wynajecia domku]])</f>
        <v>440</v>
      </c>
      <c r="I717" s="9">
        <f xml:space="preserve"> WYNAJEM4[[#This Row],[suma energia i woda]] + WYNAJEM4[[#This Row],[czynsz]]</f>
        <v>449.3</v>
      </c>
    </row>
    <row r="718" spans="1:9" x14ac:dyDescent="0.25">
      <c r="A718" s="1">
        <v>41935</v>
      </c>
      <c r="B718" s="1">
        <v>41956</v>
      </c>
      <c r="C718" s="8">
        <v>11.69</v>
      </c>
      <c r="D718" s="8">
        <v>0.31</v>
      </c>
      <c r="E718">
        <v>2</v>
      </c>
      <c r="F718" s="10">
        <f>(WYNAJEM4[[#This Row],[data_wyjazdu]]-WYNAJEM4[[#This Row],[data_przyjazdu]])</f>
        <v>21</v>
      </c>
      <c r="G718" s="9">
        <f xml:space="preserve"> WYNAJEM4[[#This Row],[energia]] + WYNAJEM4[[#This Row],[woda]]</f>
        <v>12</v>
      </c>
      <c r="H718" s="8">
        <f xml:space="preserve"> (10 * WYNAJEM4[[#This Row],[typ]] * WYNAJEM4[[#This Row],[czas wynajecia domku]])</f>
        <v>420</v>
      </c>
      <c r="I718" s="9">
        <f xml:space="preserve"> WYNAJEM4[[#This Row],[suma energia i woda]] + WYNAJEM4[[#This Row],[czynsz]]</f>
        <v>432</v>
      </c>
    </row>
    <row r="719" spans="1:9" x14ac:dyDescent="0.25">
      <c r="A719" s="1">
        <v>41935</v>
      </c>
      <c r="B719" s="1">
        <v>41960</v>
      </c>
      <c r="C719" s="8">
        <v>10.79</v>
      </c>
      <c r="D719" s="8">
        <v>0.28000000000000003</v>
      </c>
      <c r="E719">
        <v>3</v>
      </c>
      <c r="F719" s="10">
        <f>(WYNAJEM4[[#This Row],[data_wyjazdu]]-WYNAJEM4[[#This Row],[data_przyjazdu]])</f>
        <v>25</v>
      </c>
      <c r="G719" s="9">
        <f xml:space="preserve"> WYNAJEM4[[#This Row],[energia]] + WYNAJEM4[[#This Row],[woda]]</f>
        <v>11.069999999999999</v>
      </c>
      <c r="H719" s="8">
        <f xml:space="preserve"> (10 * WYNAJEM4[[#This Row],[typ]] * WYNAJEM4[[#This Row],[czas wynajecia domku]])</f>
        <v>750</v>
      </c>
      <c r="I719" s="9">
        <f xml:space="preserve"> WYNAJEM4[[#This Row],[suma energia i woda]] + WYNAJEM4[[#This Row],[czynsz]]</f>
        <v>761.07</v>
      </c>
    </row>
    <row r="720" spans="1:9" x14ac:dyDescent="0.25">
      <c r="A720" s="1">
        <v>41935</v>
      </c>
      <c r="B720" s="1">
        <v>41946</v>
      </c>
      <c r="C720" s="8">
        <v>14.13</v>
      </c>
      <c r="D720" s="8">
        <v>0.37</v>
      </c>
      <c r="E720">
        <v>6</v>
      </c>
      <c r="F720" s="10">
        <f>(WYNAJEM4[[#This Row],[data_wyjazdu]]-WYNAJEM4[[#This Row],[data_przyjazdu]])</f>
        <v>11</v>
      </c>
      <c r="G720" s="9">
        <f xml:space="preserve"> WYNAJEM4[[#This Row],[energia]] + WYNAJEM4[[#This Row],[woda]]</f>
        <v>14.5</v>
      </c>
      <c r="H720" s="8">
        <f xml:space="preserve"> (10 * WYNAJEM4[[#This Row],[typ]] * WYNAJEM4[[#This Row],[czas wynajecia domku]])</f>
        <v>660</v>
      </c>
      <c r="I720" s="9">
        <f xml:space="preserve"> WYNAJEM4[[#This Row],[suma energia i woda]] + WYNAJEM4[[#This Row],[czynsz]]</f>
        <v>674.5</v>
      </c>
    </row>
    <row r="721" spans="1:9" x14ac:dyDescent="0.25">
      <c r="A721" s="1">
        <v>41935</v>
      </c>
      <c r="B721" s="1">
        <v>41959</v>
      </c>
      <c r="C721" s="8">
        <v>8.7200000000000006</v>
      </c>
      <c r="D721" s="8">
        <v>0.23</v>
      </c>
      <c r="E721">
        <v>2</v>
      </c>
      <c r="F721" s="10">
        <f>(WYNAJEM4[[#This Row],[data_wyjazdu]]-WYNAJEM4[[#This Row],[data_przyjazdu]])</f>
        <v>24</v>
      </c>
      <c r="G721" s="9">
        <f xml:space="preserve"> WYNAJEM4[[#This Row],[energia]] + WYNAJEM4[[#This Row],[woda]]</f>
        <v>8.9500000000000011</v>
      </c>
      <c r="H721" s="8">
        <f xml:space="preserve"> (10 * WYNAJEM4[[#This Row],[typ]] * WYNAJEM4[[#This Row],[czas wynajecia domku]])</f>
        <v>480</v>
      </c>
      <c r="I721" s="9">
        <f xml:space="preserve"> WYNAJEM4[[#This Row],[suma energia i woda]] + WYNAJEM4[[#This Row],[czynsz]]</f>
        <v>488.95</v>
      </c>
    </row>
    <row r="722" spans="1:9" x14ac:dyDescent="0.25">
      <c r="A722" s="1">
        <v>41936</v>
      </c>
      <c r="B722" s="1">
        <v>41951</v>
      </c>
      <c r="C722" s="8">
        <v>3.94</v>
      </c>
      <c r="D722" s="8">
        <v>0.1</v>
      </c>
      <c r="E722">
        <v>5</v>
      </c>
      <c r="F722" s="10">
        <f>(WYNAJEM4[[#This Row],[data_wyjazdu]]-WYNAJEM4[[#This Row],[data_przyjazdu]])</f>
        <v>15</v>
      </c>
      <c r="G722" s="9">
        <f xml:space="preserve"> WYNAJEM4[[#This Row],[energia]] + WYNAJEM4[[#This Row],[woda]]</f>
        <v>4.04</v>
      </c>
      <c r="H722" s="8">
        <f xml:space="preserve"> (10 * WYNAJEM4[[#This Row],[typ]] * WYNAJEM4[[#This Row],[czas wynajecia domku]])</f>
        <v>750</v>
      </c>
      <c r="I722" s="9">
        <f xml:space="preserve"> WYNAJEM4[[#This Row],[suma energia i woda]] + WYNAJEM4[[#This Row],[czynsz]]</f>
        <v>754.04</v>
      </c>
    </row>
    <row r="723" spans="1:9" x14ac:dyDescent="0.25">
      <c r="A723" s="1">
        <v>41936</v>
      </c>
      <c r="B723" s="1">
        <v>41964</v>
      </c>
      <c r="C723" s="8">
        <v>3.73</v>
      </c>
      <c r="D723" s="8">
        <v>0.1</v>
      </c>
      <c r="E723">
        <v>3</v>
      </c>
      <c r="F723" s="10">
        <f>(WYNAJEM4[[#This Row],[data_wyjazdu]]-WYNAJEM4[[#This Row],[data_przyjazdu]])</f>
        <v>28</v>
      </c>
      <c r="G723" s="9">
        <f xml:space="preserve"> WYNAJEM4[[#This Row],[energia]] + WYNAJEM4[[#This Row],[woda]]</f>
        <v>3.83</v>
      </c>
      <c r="H723" s="8">
        <f xml:space="preserve"> (10 * WYNAJEM4[[#This Row],[typ]] * WYNAJEM4[[#This Row],[czas wynajecia domku]])</f>
        <v>840</v>
      </c>
      <c r="I723" s="9">
        <f xml:space="preserve"> WYNAJEM4[[#This Row],[suma energia i woda]] + WYNAJEM4[[#This Row],[czynsz]]</f>
        <v>843.83</v>
      </c>
    </row>
    <row r="724" spans="1:9" x14ac:dyDescent="0.25">
      <c r="A724" s="1">
        <v>41937</v>
      </c>
      <c r="B724" s="1">
        <v>41963</v>
      </c>
      <c r="C724" s="8">
        <v>3.94</v>
      </c>
      <c r="D724" s="8">
        <v>0.1</v>
      </c>
      <c r="E724">
        <v>4</v>
      </c>
      <c r="F724" s="10">
        <f>(WYNAJEM4[[#This Row],[data_wyjazdu]]-WYNAJEM4[[#This Row],[data_przyjazdu]])</f>
        <v>26</v>
      </c>
      <c r="G724" s="9">
        <f xml:space="preserve"> WYNAJEM4[[#This Row],[energia]] + WYNAJEM4[[#This Row],[woda]]</f>
        <v>4.04</v>
      </c>
      <c r="H724" s="8">
        <f xml:space="preserve"> (10 * WYNAJEM4[[#This Row],[typ]] * WYNAJEM4[[#This Row],[czas wynajecia domku]])</f>
        <v>1040</v>
      </c>
      <c r="I724" s="9">
        <f xml:space="preserve"> WYNAJEM4[[#This Row],[suma energia i woda]] + WYNAJEM4[[#This Row],[czynsz]]</f>
        <v>1044.04</v>
      </c>
    </row>
    <row r="725" spans="1:9" x14ac:dyDescent="0.25">
      <c r="A725" s="1">
        <v>41937</v>
      </c>
      <c r="B725" s="1">
        <v>41964</v>
      </c>
      <c r="C725" s="8">
        <v>3.57</v>
      </c>
      <c r="D725" s="8">
        <v>0.09</v>
      </c>
      <c r="E725">
        <v>2</v>
      </c>
      <c r="F725" s="10">
        <f>(WYNAJEM4[[#This Row],[data_wyjazdu]]-WYNAJEM4[[#This Row],[data_przyjazdu]])</f>
        <v>27</v>
      </c>
      <c r="G725" s="9">
        <f xml:space="preserve"> WYNAJEM4[[#This Row],[energia]] + WYNAJEM4[[#This Row],[woda]]</f>
        <v>3.6599999999999997</v>
      </c>
      <c r="H725" s="8">
        <f xml:space="preserve"> (10 * WYNAJEM4[[#This Row],[typ]] * WYNAJEM4[[#This Row],[czas wynajecia domku]])</f>
        <v>540</v>
      </c>
      <c r="I725" s="9">
        <f xml:space="preserve"> WYNAJEM4[[#This Row],[suma energia i woda]] + WYNAJEM4[[#This Row],[czynsz]]</f>
        <v>543.66</v>
      </c>
    </row>
    <row r="726" spans="1:9" x14ac:dyDescent="0.25">
      <c r="A726" s="1">
        <v>41937</v>
      </c>
      <c r="B726" s="1">
        <v>41943</v>
      </c>
      <c r="C726" s="8">
        <v>7.31</v>
      </c>
      <c r="D726" s="8">
        <v>0.19</v>
      </c>
      <c r="E726">
        <v>3</v>
      </c>
      <c r="F726" s="10">
        <f>(WYNAJEM4[[#This Row],[data_wyjazdu]]-WYNAJEM4[[#This Row],[data_przyjazdu]])</f>
        <v>6</v>
      </c>
      <c r="G726" s="9">
        <f xml:space="preserve"> WYNAJEM4[[#This Row],[energia]] + WYNAJEM4[[#This Row],[woda]]</f>
        <v>7.5</v>
      </c>
      <c r="H726" s="8">
        <f xml:space="preserve"> (10 * WYNAJEM4[[#This Row],[typ]] * WYNAJEM4[[#This Row],[czas wynajecia domku]])</f>
        <v>180</v>
      </c>
      <c r="I726" s="9">
        <f xml:space="preserve"> WYNAJEM4[[#This Row],[suma energia i woda]] + WYNAJEM4[[#This Row],[czynsz]]</f>
        <v>187.5</v>
      </c>
    </row>
    <row r="727" spans="1:9" x14ac:dyDescent="0.25">
      <c r="A727" s="1">
        <v>41938</v>
      </c>
      <c r="B727" s="1">
        <v>41964</v>
      </c>
      <c r="C727" s="8">
        <v>6.58</v>
      </c>
      <c r="D727" s="8">
        <v>0.17</v>
      </c>
      <c r="E727">
        <v>5</v>
      </c>
      <c r="F727" s="10">
        <f>(WYNAJEM4[[#This Row],[data_wyjazdu]]-WYNAJEM4[[#This Row],[data_przyjazdu]])</f>
        <v>26</v>
      </c>
      <c r="G727" s="9">
        <f xml:space="preserve"> WYNAJEM4[[#This Row],[energia]] + WYNAJEM4[[#This Row],[woda]]</f>
        <v>6.75</v>
      </c>
      <c r="H727" s="8">
        <f xml:space="preserve"> (10 * WYNAJEM4[[#This Row],[typ]] * WYNAJEM4[[#This Row],[czas wynajecia domku]])</f>
        <v>1300</v>
      </c>
      <c r="I727" s="9">
        <f xml:space="preserve"> WYNAJEM4[[#This Row],[suma energia i woda]] + WYNAJEM4[[#This Row],[czynsz]]</f>
        <v>1306.75</v>
      </c>
    </row>
    <row r="728" spans="1:9" x14ac:dyDescent="0.25">
      <c r="A728" s="1">
        <v>41939</v>
      </c>
      <c r="B728" s="1">
        <v>41964</v>
      </c>
      <c r="C728" s="8">
        <v>3.94</v>
      </c>
      <c r="D728" s="8">
        <v>0.1</v>
      </c>
      <c r="E728">
        <v>5</v>
      </c>
      <c r="F728" s="10">
        <f>(WYNAJEM4[[#This Row],[data_wyjazdu]]-WYNAJEM4[[#This Row],[data_przyjazdu]])</f>
        <v>25</v>
      </c>
      <c r="G728" s="9">
        <f xml:space="preserve"> WYNAJEM4[[#This Row],[energia]] + WYNAJEM4[[#This Row],[woda]]</f>
        <v>4.04</v>
      </c>
      <c r="H728" s="8">
        <f xml:space="preserve"> (10 * WYNAJEM4[[#This Row],[typ]] * WYNAJEM4[[#This Row],[czas wynajecia domku]])</f>
        <v>1250</v>
      </c>
      <c r="I728" s="9">
        <f xml:space="preserve"> WYNAJEM4[[#This Row],[suma energia i woda]] + WYNAJEM4[[#This Row],[czynsz]]</f>
        <v>1254.04</v>
      </c>
    </row>
    <row r="729" spans="1:9" x14ac:dyDescent="0.25">
      <c r="A729" s="1">
        <v>41940</v>
      </c>
      <c r="B729" s="1">
        <v>41946</v>
      </c>
      <c r="C729" s="8">
        <v>5.47</v>
      </c>
      <c r="D729" s="8">
        <v>0.14000000000000001</v>
      </c>
      <c r="E729">
        <v>5</v>
      </c>
      <c r="F729" s="10">
        <f>(WYNAJEM4[[#This Row],[data_wyjazdu]]-WYNAJEM4[[#This Row],[data_przyjazdu]])</f>
        <v>6</v>
      </c>
      <c r="G729" s="9">
        <f xml:space="preserve"> WYNAJEM4[[#This Row],[energia]] + WYNAJEM4[[#This Row],[woda]]</f>
        <v>5.6099999999999994</v>
      </c>
      <c r="H729" s="8">
        <f xml:space="preserve"> (10 * WYNAJEM4[[#This Row],[typ]] * WYNAJEM4[[#This Row],[czas wynajecia domku]])</f>
        <v>300</v>
      </c>
      <c r="I729" s="9">
        <f xml:space="preserve"> WYNAJEM4[[#This Row],[suma energia i woda]] + WYNAJEM4[[#This Row],[czynsz]]</f>
        <v>305.61</v>
      </c>
    </row>
    <row r="730" spans="1:9" x14ac:dyDescent="0.25">
      <c r="A730" s="1">
        <v>41941</v>
      </c>
      <c r="B730" s="1">
        <v>41958</v>
      </c>
      <c r="C730" s="8">
        <v>5.23</v>
      </c>
      <c r="D730" s="8">
        <v>0.14000000000000001</v>
      </c>
      <c r="E730">
        <v>3</v>
      </c>
      <c r="F730" s="10">
        <f>(WYNAJEM4[[#This Row],[data_wyjazdu]]-WYNAJEM4[[#This Row],[data_przyjazdu]])</f>
        <v>17</v>
      </c>
      <c r="G730" s="9">
        <f xml:space="preserve"> WYNAJEM4[[#This Row],[energia]] + WYNAJEM4[[#This Row],[woda]]</f>
        <v>5.37</v>
      </c>
      <c r="H730" s="8">
        <f xml:space="preserve"> (10 * WYNAJEM4[[#This Row],[typ]] * WYNAJEM4[[#This Row],[czas wynajecia domku]])</f>
        <v>510</v>
      </c>
      <c r="I730" s="9">
        <f xml:space="preserve"> WYNAJEM4[[#This Row],[suma energia i woda]] + WYNAJEM4[[#This Row],[czynsz]]</f>
        <v>515.37</v>
      </c>
    </row>
    <row r="731" spans="1:9" x14ac:dyDescent="0.25">
      <c r="A731" s="1">
        <v>41941</v>
      </c>
      <c r="B731" s="1">
        <v>41962</v>
      </c>
      <c r="C731" s="8">
        <v>6.58</v>
      </c>
      <c r="D731" s="8">
        <v>0.17</v>
      </c>
      <c r="E731">
        <v>5</v>
      </c>
      <c r="F731" s="10">
        <f>(WYNAJEM4[[#This Row],[data_wyjazdu]]-WYNAJEM4[[#This Row],[data_przyjazdu]])</f>
        <v>21</v>
      </c>
      <c r="G731" s="9">
        <f xml:space="preserve"> WYNAJEM4[[#This Row],[energia]] + WYNAJEM4[[#This Row],[woda]]</f>
        <v>6.75</v>
      </c>
      <c r="H731" s="8">
        <f xml:space="preserve"> (10 * WYNAJEM4[[#This Row],[typ]] * WYNAJEM4[[#This Row],[czas wynajecia domku]])</f>
        <v>1050</v>
      </c>
      <c r="I731" s="9">
        <f xml:space="preserve"> WYNAJEM4[[#This Row],[suma energia i woda]] + WYNAJEM4[[#This Row],[czynsz]]</f>
        <v>1056.75</v>
      </c>
    </row>
    <row r="732" spans="1:9" x14ac:dyDescent="0.25">
      <c r="A732" s="1">
        <v>41941</v>
      </c>
      <c r="B732" s="1">
        <v>41957</v>
      </c>
      <c r="C732" s="8">
        <v>3.79</v>
      </c>
      <c r="D732" s="8">
        <v>0.1</v>
      </c>
      <c r="E732">
        <v>4</v>
      </c>
      <c r="F732" s="10">
        <f>(WYNAJEM4[[#This Row],[data_wyjazdu]]-WYNAJEM4[[#This Row],[data_przyjazdu]])</f>
        <v>16</v>
      </c>
      <c r="G732" s="9">
        <f xml:space="preserve"> WYNAJEM4[[#This Row],[energia]] + WYNAJEM4[[#This Row],[woda]]</f>
        <v>3.89</v>
      </c>
      <c r="H732" s="8">
        <f xml:space="preserve"> (10 * WYNAJEM4[[#This Row],[typ]] * WYNAJEM4[[#This Row],[czas wynajecia domku]])</f>
        <v>640</v>
      </c>
      <c r="I732" s="9">
        <f xml:space="preserve"> WYNAJEM4[[#This Row],[suma energia i woda]] + WYNAJEM4[[#This Row],[czynsz]]</f>
        <v>643.89</v>
      </c>
    </row>
    <row r="733" spans="1:9" x14ac:dyDescent="0.25">
      <c r="A733" s="1">
        <v>41941</v>
      </c>
      <c r="B733" s="1">
        <v>41953</v>
      </c>
      <c r="C733" s="8">
        <v>5.64</v>
      </c>
      <c r="D733" s="8">
        <v>0.15</v>
      </c>
      <c r="E733">
        <v>6</v>
      </c>
      <c r="F733" s="10">
        <f>(WYNAJEM4[[#This Row],[data_wyjazdu]]-WYNAJEM4[[#This Row],[data_przyjazdu]])</f>
        <v>12</v>
      </c>
      <c r="G733" s="9">
        <f xml:space="preserve"> WYNAJEM4[[#This Row],[energia]] + WYNAJEM4[[#This Row],[woda]]</f>
        <v>5.79</v>
      </c>
      <c r="H733" s="8">
        <f xml:space="preserve"> (10 * WYNAJEM4[[#This Row],[typ]] * WYNAJEM4[[#This Row],[czas wynajecia domku]])</f>
        <v>720</v>
      </c>
      <c r="I733" s="9">
        <f xml:space="preserve"> WYNAJEM4[[#This Row],[suma energia i woda]] + WYNAJEM4[[#This Row],[czynsz]]</f>
        <v>725.79</v>
      </c>
    </row>
    <row r="734" spans="1:9" x14ac:dyDescent="0.25">
      <c r="A734" s="1">
        <v>41941</v>
      </c>
      <c r="B734" s="1">
        <v>41944</v>
      </c>
      <c r="C734" s="8">
        <v>11.37</v>
      </c>
      <c r="D734" s="8">
        <v>0.3</v>
      </c>
      <c r="E734">
        <v>2</v>
      </c>
      <c r="F734" s="10">
        <f>(WYNAJEM4[[#This Row],[data_wyjazdu]]-WYNAJEM4[[#This Row],[data_przyjazdu]])</f>
        <v>3</v>
      </c>
      <c r="G734" s="9">
        <f xml:space="preserve"> WYNAJEM4[[#This Row],[energia]] + WYNAJEM4[[#This Row],[woda]]</f>
        <v>11.67</v>
      </c>
      <c r="H734" s="8">
        <f xml:space="preserve"> (10 * WYNAJEM4[[#This Row],[typ]] * WYNAJEM4[[#This Row],[czas wynajecia domku]])</f>
        <v>60</v>
      </c>
      <c r="I734" s="9">
        <f xml:space="preserve"> WYNAJEM4[[#This Row],[suma energia i woda]] + WYNAJEM4[[#This Row],[czynsz]]</f>
        <v>71.67</v>
      </c>
    </row>
    <row r="735" spans="1:9" x14ac:dyDescent="0.25">
      <c r="A735" s="1">
        <v>41941</v>
      </c>
      <c r="B735" s="1">
        <v>41969</v>
      </c>
      <c r="C735" s="8">
        <v>8.9499999999999993</v>
      </c>
      <c r="D735" s="8">
        <v>0.24</v>
      </c>
      <c r="E735">
        <v>2</v>
      </c>
      <c r="F735" s="10">
        <f>(WYNAJEM4[[#This Row],[data_wyjazdu]]-WYNAJEM4[[#This Row],[data_przyjazdu]])</f>
        <v>28</v>
      </c>
      <c r="G735" s="9">
        <f xml:space="preserve"> WYNAJEM4[[#This Row],[energia]] + WYNAJEM4[[#This Row],[woda]]</f>
        <v>9.19</v>
      </c>
      <c r="H735" s="8">
        <f xml:space="preserve"> (10 * WYNAJEM4[[#This Row],[typ]] * WYNAJEM4[[#This Row],[czas wynajecia domku]])</f>
        <v>560</v>
      </c>
      <c r="I735" s="9">
        <f xml:space="preserve"> WYNAJEM4[[#This Row],[suma energia i woda]] + WYNAJEM4[[#This Row],[czynsz]]</f>
        <v>569.19000000000005</v>
      </c>
    </row>
    <row r="736" spans="1:9" x14ac:dyDescent="0.25">
      <c r="A736" s="1">
        <v>41941</v>
      </c>
      <c r="B736" s="1">
        <v>41961</v>
      </c>
      <c r="C736" s="8">
        <v>3.94</v>
      </c>
      <c r="D736" s="8">
        <v>0.1</v>
      </c>
      <c r="E736">
        <v>5</v>
      </c>
      <c r="F736" s="10">
        <f>(WYNAJEM4[[#This Row],[data_wyjazdu]]-WYNAJEM4[[#This Row],[data_przyjazdu]])</f>
        <v>20</v>
      </c>
      <c r="G736" s="9">
        <f xml:space="preserve"> WYNAJEM4[[#This Row],[energia]] + WYNAJEM4[[#This Row],[woda]]</f>
        <v>4.04</v>
      </c>
      <c r="H736" s="8">
        <f xml:space="preserve"> (10 * WYNAJEM4[[#This Row],[typ]] * WYNAJEM4[[#This Row],[czas wynajecia domku]])</f>
        <v>1000</v>
      </c>
      <c r="I736" s="9">
        <f xml:space="preserve"> WYNAJEM4[[#This Row],[suma energia i woda]] + WYNAJEM4[[#This Row],[czynsz]]</f>
        <v>1004.04</v>
      </c>
    </row>
    <row r="737" spans="1:9" x14ac:dyDescent="0.25">
      <c r="A737" s="1">
        <v>41946</v>
      </c>
      <c r="B737" s="1">
        <v>41962</v>
      </c>
      <c r="C737" s="8">
        <v>3.79</v>
      </c>
      <c r="D737" s="8">
        <v>0.1</v>
      </c>
      <c r="E737">
        <v>5</v>
      </c>
      <c r="F737" s="10">
        <f>(WYNAJEM4[[#This Row],[data_wyjazdu]]-WYNAJEM4[[#This Row],[data_przyjazdu]])</f>
        <v>16</v>
      </c>
      <c r="G737" s="9">
        <f xml:space="preserve"> WYNAJEM4[[#This Row],[energia]] + WYNAJEM4[[#This Row],[woda]]</f>
        <v>3.89</v>
      </c>
      <c r="H737" s="8">
        <f xml:space="preserve"> (10 * WYNAJEM4[[#This Row],[typ]] * WYNAJEM4[[#This Row],[czas wynajecia domku]])</f>
        <v>800</v>
      </c>
      <c r="I737" s="9">
        <f xml:space="preserve"> WYNAJEM4[[#This Row],[suma energia i woda]] + WYNAJEM4[[#This Row],[czynsz]]</f>
        <v>803.89</v>
      </c>
    </row>
    <row r="738" spans="1:9" x14ac:dyDescent="0.25">
      <c r="A738" s="1">
        <v>41946</v>
      </c>
      <c r="B738" s="1">
        <v>41971</v>
      </c>
      <c r="C738" s="8">
        <v>6.43</v>
      </c>
      <c r="D738" s="8">
        <v>0.17</v>
      </c>
      <c r="E738">
        <v>2</v>
      </c>
      <c r="F738" s="10">
        <f>(WYNAJEM4[[#This Row],[data_wyjazdu]]-WYNAJEM4[[#This Row],[data_przyjazdu]])</f>
        <v>25</v>
      </c>
      <c r="G738" s="9">
        <f xml:space="preserve"> WYNAJEM4[[#This Row],[energia]] + WYNAJEM4[[#This Row],[woda]]</f>
        <v>6.6</v>
      </c>
      <c r="H738" s="8">
        <f xml:space="preserve"> (10 * WYNAJEM4[[#This Row],[typ]] * WYNAJEM4[[#This Row],[czas wynajecia domku]])</f>
        <v>500</v>
      </c>
      <c r="I738" s="9">
        <f xml:space="preserve"> WYNAJEM4[[#This Row],[suma energia i woda]] + WYNAJEM4[[#This Row],[czynsz]]</f>
        <v>506.6</v>
      </c>
    </row>
    <row r="739" spans="1:9" x14ac:dyDescent="0.25">
      <c r="A739" s="1">
        <v>41946</v>
      </c>
      <c r="B739" s="1">
        <v>41948</v>
      </c>
      <c r="C739" s="8">
        <v>8.5399999999999991</v>
      </c>
      <c r="D739" s="8">
        <v>0.22</v>
      </c>
      <c r="E739">
        <v>6</v>
      </c>
      <c r="F739" s="10">
        <f>(WYNAJEM4[[#This Row],[data_wyjazdu]]-WYNAJEM4[[#This Row],[data_przyjazdu]])</f>
        <v>2</v>
      </c>
      <c r="G739" s="9">
        <f xml:space="preserve"> WYNAJEM4[[#This Row],[energia]] + WYNAJEM4[[#This Row],[woda]]</f>
        <v>8.76</v>
      </c>
      <c r="H739" s="8">
        <f xml:space="preserve"> (10 * WYNAJEM4[[#This Row],[typ]] * WYNAJEM4[[#This Row],[czas wynajecia domku]])</f>
        <v>120</v>
      </c>
      <c r="I739" s="9">
        <f xml:space="preserve"> WYNAJEM4[[#This Row],[suma energia i woda]] + WYNAJEM4[[#This Row],[czynsz]]</f>
        <v>128.76</v>
      </c>
    </row>
    <row r="740" spans="1:9" x14ac:dyDescent="0.25">
      <c r="A740" s="1">
        <v>41946</v>
      </c>
      <c r="B740" s="1">
        <v>41956</v>
      </c>
      <c r="C740" s="8">
        <v>13.02</v>
      </c>
      <c r="D740" s="8">
        <v>0.34</v>
      </c>
      <c r="E740">
        <v>3</v>
      </c>
      <c r="F740" s="10">
        <f>(WYNAJEM4[[#This Row],[data_wyjazdu]]-WYNAJEM4[[#This Row],[data_przyjazdu]])</f>
        <v>10</v>
      </c>
      <c r="G740" s="9">
        <f xml:space="preserve"> WYNAJEM4[[#This Row],[energia]] + WYNAJEM4[[#This Row],[woda]]</f>
        <v>13.36</v>
      </c>
      <c r="H740" s="8">
        <f xml:space="preserve"> (10 * WYNAJEM4[[#This Row],[typ]] * WYNAJEM4[[#This Row],[czas wynajecia domku]])</f>
        <v>300</v>
      </c>
      <c r="I740" s="9">
        <f xml:space="preserve"> WYNAJEM4[[#This Row],[suma energia i woda]] + WYNAJEM4[[#This Row],[czynsz]]</f>
        <v>313.36</v>
      </c>
    </row>
    <row r="741" spans="1:9" x14ac:dyDescent="0.25">
      <c r="A741" s="1">
        <v>41946</v>
      </c>
      <c r="B741" s="1">
        <v>41960</v>
      </c>
      <c r="C741" s="8">
        <v>5.64</v>
      </c>
      <c r="D741" s="8">
        <v>0.15</v>
      </c>
      <c r="E741">
        <v>4</v>
      </c>
      <c r="F741" s="10">
        <f>(WYNAJEM4[[#This Row],[data_wyjazdu]]-WYNAJEM4[[#This Row],[data_przyjazdu]])</f>
        <v>14</v>
      </c>
      <c r="G741" s="9">
        <f xml:space="preserve"> WYNAJEM4[[#This Row],[energia]] + WYNAJEM4[[#This Row],[woda]]</f>
        <v>5.79</v>
      </c>
      <c r="H741" s="8">
        <f xml:space="preserve"> (10 * WYNAJEM4[[#This Row],[typ]] * WYNAJEM4[[#This Row],[czas wynajecia domku]])</f>
        <v>560</v>
      </c>
      <c r="I741" s="9">
        <f xml:space="preserve"> WYNAJEM4[[#This Row],[suma energia i woda]] + WYNAJEM4[[#This Row],[czynsz]]</f>
        <v>565.79</v>
      </c>
    </row>
    <row r="742" spans="1:9" x14ac:dyDescent="0.25">
      <c r="A742" s="1">
        <v>41946</v>
      </c>
      <c r="B742" s="1">
        <v>41966</v>
      </c>
      <c r="C742" s="8">
        <v>4.66</v>
      </c>
      <c r="D742" s="8">
        <v>0.12</v>
      </c>
      <c r="E742">
        <v>6</v>
      </c>
      <c r="F742" s="10">
        <f>(WYNAJEM4[[#This Row],[data_wyjazdu]]-WYNAJEM4[[#This Row],[data_przyjazdu]])</f>
        <v>20</v>
      </c>
      <c r="G742" s="9">
        <f xml:space="preserve"> WYNAJEM4[[#This Row],[energia]] + WYNAJEM4[[#This Row],[woda]]</f>
        <v>4.78</v>
      </c>
      <c r="H742" s="8">
        <f xml:space="preserve"> (10 * WYNAJEM4[[#This Row],[typ]] * WYNAJEM4[[#This Row],[czas wynajecia domku]])</f>
        <v>1200</v>
      </c>
      <c r="I742" s="9">
        <f xml:space="preserve"> WYNAJEM4[[#This Row],[suma energia i woda]] + WYNAJEM4[[#This Row],[czynsz]]</f>
        <v>1204.78</v>
      </c>
    </row>
    <row r="743" spans="1:9" x14ac:dyDescent="0.25">
      <c r="A743" s="1">
        <v>41946</v>
      </c>
      <c r="B743" s="1">
        <v>41968</v>
      </c>
      <c r="C743" s="8">
        <v>7.71</v>
      </c>
      <c r="D743" s="8">
        <v>0.2</v>
      </c>
      <c r="E743">
        <v>5</v>
      </c>
      <c r="F743" s="10">
        <f>(WYNAJEM4[[#This Row],[data_wyjazdu]]-WYNAJEM4[[#This Row],[data_przyjazdu]])</f>
        <v>22</v>
      </c>
      <c r="G743" s="9">
        <f xml:space="preserve"> WYNAJEM4[[#This Row],[energia]] + WYNAJEM4[[#This Row],[woda]]</f>
        <v>7.91</v>
      </c>
      <c r="H743" s="8">
        <f xml:space="preserve"> (10 * WYNAJEM4[[#This Row],[typ]] * WYNAJEM4[[#This Row],[czas wynajecia domku]])</f>
        <v>1100</v>
      </c>
      <c r="I743" s="9">
        <f xml:space="preserve"> WYNAJEM4[[#This Row],[suma energia i woda]] + WYNAJEM4[[#This Row],[czynsz]]</f>
        <v>1107.9100000000001</v>
      </c>
    </row>
    <row r="744" spans="1:9" x14ac:dyDescent="0.25">
      <c r="A744" s="1">
        <v>41946</v>
      </c>
      <c r="B744" s="1">
        <v>41951</v>
      </c>
      <c r="C744" s="8">
        <v>7.71</v>
      </c>
      <c r="D744" s="8">
        <v>0.2</v>
      </c>
      <c r="E744">
        <v>6</v>
      </c>
      <c r="F744" s="10">
        <f>(WYNAJEM4[[#This Row],[data_wyjazdu]]-WYNAJEM4[[#This Row],[data_przyjazdu]])</f>
        <v>5</v>
      </c>
      <c r="G744" s="9">
        <f xml:space="preserve"> WYNAJEM4[[#This Row],[energia]] + WYNAJEM4[[#This Row],[woda]]</f>
        <v>7.91</v>
      </c>
      <c r="H744" s="8">
        <f xml:space="preserve"> (10 * WYNAJEM4[[#This Row],[typ]] * WYNAJEM4[[#This Row],[czas wynajecia domku]])</f>
        <v>300</v>
      </c>
      <c r="I744" s="9">
        <f xml:space="preserve"> WYNAJEM4[[#This Row],[suma energia i woda]] + WYNAJEM4[[#This Row],[czynsz]]</f>
        <v>307.91000000000003</v>
      </c>
    </row>
    <row r="745" spans="1:9" x14ac:dyDescent="0.25">
      <c r="A745" s="1">
        <v>41946</v>
      </c>
      <c r="B745" s="1">
        <v>41957</v>
      </c>
      <c r="C745" s="8">
        <v>6.34</v>
      </c>
      <c r="D745" s="8">
        <v>0.17</v>
      </c>
      <c r="E745">
        <v>3</v>
      </c>
      <c r="F745" s="10">
        <f>(WYNAJEM4[[#This Row],[data_wyjazdu]]-WYNAJEM4[[#This Row],[data_przyjazdu]])</f>
        <v>11</v>
      </c>
      <c r="G745" s="9">
        <f xml:space="preserve"> WYNAJEM4[[#This Row],[energia]] + WYNAJEM4[[#This Row],[woda]]</f>
        <v>6.51</v>
      </c>
      <c r="H745" s="8">
        <f xml:space="preserve"> (10 * WYNAJEM4[[#This Row],[typ]] * WYNAJEM4[[#This Row],[czas wynajecia domku]])</f>
        <v>330</v>
      </c>
      <c r="I745" s="9">
        <f xml:space="preserve"> WYNAJEM4[[#This Row],[suma energia i woda]] + WYNAJEM4[[#This Row],[czynsz]]</f>
        <v>336.51</v>
      </c>
    </row>
    <row r="746" spans="1:9" x14ac:dyDescent="0.25">
      <c r="A746" s="1">
        <v>41946</v>
      </c>
      <c r="B746" s="1">
        <v>41954</v>
      </c>
      <c r="C746" s="8">
        <v>11.37</v>
      </c>
      <c r="D746" s="8">
        <v>0.3</v>
      </c>
      <c r="E746">
        <v>2</v>
      </c>
      <c r="F746" s="10">
        <f>(WYNAJEM4[[#This Row],[data_wyjazdu]]-WYNAJEM4[[#This Row],[data_przyjazdu]])</f>
        <v>8</v>
      </c>
      <c r="G746" s="9">
        <f xml:space="preserve"> WYNAJEM4[[#This Row],[energia]] + WYNAJEM4[[#This Row],[woda]]</f>
        <v>11.67</v>
      </c>
      <c r="H746" s="8">
        <f xml:space="preserve"> (10 * WYNAJEM4[[#This Row],[typ]] * WYNAJEM4[[#This Row],[czas wynajecia domku]])</f>
        <v>160</v>
      </c>
      <c r="I746" s="9">
        <f xml:space="preserve"> WYNAJEM4[[#This Row],[suma energia i woda]] + WYNAJEM4[[#This Row],[czynsz]]</f>
        <v>171.67</v>
      </c>
    </row>
    <row r="747" spans="1:9" x14ac:dyDescent="0.25">
      <c r="A747" s="1">
        <v>41946</v>
      </c>
      <c r="B747" s="1">
        <v>41953</v>
      </c>
      <c r="C747" s="8">
        <v>6.34</v>
      </c>
      <c r="D747" s="8">
        <v>0.17</v>
      </c>
      <c r="E747">
        <v>2</v>
      </c>
      <c r="F747" s="10">
        <f>(WYNAJEM4[[#This Row],[data_wyjazdu]]-WYNAJEM4[[#This Row],[data_przyjazdu]])</f>
        <v>7</v>
      </c>
      <c r="G747" s="9">
        <f xml:space="preserve"> WYNAJEM4[[#This Row],[energia]] + WYNAJEM4[[#This Row],[woda]]</f>
        <v>6.51</v>
      </c>
      <c r="H747" s="8">
        <f xml:space="preserve"> (10 * WYNAJEM4[[#This Row],[typ]] * WYNAJEM4[[#This Row],[czas wynajecia domku]])</f>
        <v>140</v>
      </c>
      <c r="I747" s="9">
        <f xml:space="preserve"> WYNAJEM4[[#This Row],[suma energia i woda]] + WYNAJEM4[[#This Row],[czynsz]]</f>
        <v>146.51</v>
      </c>
    </row>
    <row r="748" spans="1:9" x14ac:dyDescent="0.25">
      <c r="A748" s="1">
        <v>41946</v>
      </c>
      <c r="B748" s="1">
        <v>41955</v>
      </c>
      <c r="C748" s="8">
        <v>3.57</v>
      </c>
      <c r="D748" s="8">
        <v>0.09</v>
      </c>
      <c r="E748">
        <v>6</v>
      </c>
      <c r="F748" s="10">
        <f>(WYNAJEM4[[#This Row],[data_wyjazdu]]-WYNAJEM4[[#This Row],[data_przyjazdu]])</f>
        <v>9</v>
      </c>
      <c r="G748" s="9">
        <f xml:space="preserve"> WYNAJEM4[[#This Row],[energia]] + WYNAJEM4[[#This Row],[woda]]</f>
        <v>3.6599999999999997</v>
      </c>
      <c r="H748" s="8">
        <f xml:space="preserve"> (10 * WYNAJEM4[[#This Row],[typ]] * WYNAJEM4[[#This Row],[czas wynajecia domku]])</f>
        <v>540</v>
      </c>
      <c r="I748" s="9">
        <f xml:space="preserve"> WYNAJEM4[[#This Row],[suma energia i woda]] + WYNAJEM4[[#This Row],[czynsz]]</f>
        <v>543.66</v>
      </c>
    </row>
    <row r="749" spans="1:9" x14ac:dyDescent="0.25">
      <c r="A749" s="1">
        <v>41946</v>
      </c>
      <c r="B749" s="1">
        <v>41964</v>
      </c>
      <c r="C749" s="8">
        <v>7.31</v>
      </c>
      <c r="D749" s="8">
        <v>0.19</v>
      </c>
      <c r="E749">
        <v>3</v>
      </c>
      <c r="F749" s="10">
        <f>(WYNAJEM4[[#This Row],[data_wyjazdu]]-WYNAJEM4[[#This Row],[data_przyjazdu]])</f>
        <v>18</v>
      </c>
      <c r="G749" s="9">
        <f xml:space="preserve"> WYNAJEM4[[#This Row],[energia]] + WYNAJEM4[[#This Row],[woda]]</f>
        <v>7.5</v>
      </c>
      <c r="H749" s="8">
        <f xml:space="preserve"> (10 * WYNAJEM4[[#This Row],[typ]] * WYNAJEM4[[#This Row],[czas wynajecia domku]])</f>
        <v>540</v>
      </c>
      <c r="I749" s="9">
        <f xml:space="preserve"> WYNAJEM4[[#This Row],[suma energia i woda]] + WYNAJEM4[[#This Row],[czynsz]]</f>
        <v>547.5</v>
      </c>
    </row>
    <row r="750" spans="1:9" x14ac:dyDescent="0.25">
      <c r="A750" s="1">
        <v>41946</v>
      </c>
      <c r="B750" s="1">
        <v>41966</v>
      </c>
      <c r="C750" s="8">
        <v>5.64</v>
      </c>
      <c r="D750" s="8">
        <v>0.15</v>
      </c>
      <c r="E750">
        <v>6</v>
      </c>
      <c r="F750" s="10">
        <f>(WYNAJEM4[[#This Row],[data_wyjazdu]]-WYNAJEM4[[#This Row],[data_przyjazdu]])</f>
        <v>20</v>
      </c>
      <c r="G750" s="9">
        <f xml:space="preserve"> WYNAJEM4[[#This Row],[energia]] + WYNAJEM4[[#This Row],[woda]]</f>
        <v>5.79</v>
      </c>
      <c r="H750" s="8">
        <f xml:space="preserve"> (10 * WYNAJEM4[[#This Row],[typ]] * WYNAJEM4[[#This Row],[czas wynajecia domku]])</f>
        <v>1200</v>
      </c>
      <c r="I750" s="9">
        <f xml:space="preserve"> WYNAJEM4[[#This Row],[suma energia i woda]] + WYNAJEM4[[#This Row],[czynsz]]</f>
        <v>1205.79</v>
      </c>
    </row>
    <row r="751" spans="1:9" x14ac:dyDescent="0.25">
      <c r="A751" s="1">
        <v>41946</v>
      </c>
      <c r="B751" s="1">
        <v>41964</v>
      </c>
      <c r="C751" s="8">
        <v>4.25</v>
      </c>
      <c r="D751" s="8">
        <v>0.11</v>
      </c>
      <c r="E751">
        <v>6</v>
      </c>
      <c r="F751" s="10">
        <f>(WYNAJEM4[[#This Row],[data_wyjazdu]]-WYNAJEM4[[#This Row],[data_przyjazdu]])</f>
        <v>18</v>
      </c>
      <c r="G751" s="9">
        <f xml:space="preserve"> WYNAJEM4[[#This Row],[energia]] + WYNAJEM4[[#This Row],[woda]]</f>
        <v>4.3600000000000003</v>
      </c>
      <c r="H751" s="8">
        <f xml:space="preserve"> (10 * WYNAJEM4[[#This Row],[typ]] * WYNAJEM4[[#This Row],[czas wynajecia domku]])</f>
        <v>1080</v>
      </c>
      <c r="I751" s="9">
        <f xml:space="preserve"> WYNAJEM4[[#This Row],[suma energia i woda]] + WYNAJEM4[[#This Row],[czynsz]]</f>
        <v>1084.3599999999999</v>
      </c>
    </row>
    <row r="752" spans="1:9" x14ac:dyDescent="0.25">
      <c r="A752" s="1">
        <v>41946</v>
      </c>
      <c r="B752" s="1">
        <v>41953</v>
      </c>
      <c r="C752" s="8">
        <v>9.1300000000000008</v>
      </c>
      <c r="D752" s="8">
        <v>0.24</v>
      </c>
      <c r="E752">
        <v>5</v>
      </c>
      <c r="F752" s="10">
        <f>(WYNAJEM4[[#This Row],[data_wyjazdu]]-WYNAJEM4[[#This Row],[data_przyjazdu]])</f>
        <v>7</v>
      </c>
      <c r="G752" s="9">
        <f xml:space="preserve"> WYNAJEM4[[#This Row],[energia]] + WYNAJEM4[[#This Row],[woda]]</f>
        <v>9.370000000000001</v>
      </c>
      <c r="H752" s="8">
        <f xml:space="preserve"> (10 * WYNAJEM4[[#This Row],[typ]] * WYNAJEM4[[#This Row],[czas wynajecia domku]])</f>
        <v>350</v>
      </c>
      <c r="I752" s="9">
        <f xml:space="preserve"> WYNAJEM4[[#This Row],[suma energia i woda]] + WYNAJEM4[[#This Row],[czynsz]]</f>
        <v>359.37</v>
      </c>
    </row>
    <row r="753" spans="1:9" x14ac:dyDescent="0.25">
      <c r="A753" s="1">
        <v>41946</v>
      </c>
      <c r="B753" s="1">
        <v>41956</v>
      </c>
      <c r="C753" s="8">
        <v>3.79</v>
      </c>
      <c r="D753" s="8">
        <v>0.1</v>
      </c>
      <c r="E753">
        <v>6</v>
      </c>
      <c r="F753" s="10">
        <f>(WYNAJEM4[[#This Row],[data_wyjazdu]]-WYNAJEM4[[#This Row],[data_przyjazdu]])</f>
        <v>10</v>
      </c>
      <c r="G753" s="9">
        <f xml:space="preserve"> WYNAJEM4[[#This Row],[energia]] + WYNAJEM4[[#This Row],[woda]]</f>
        <v>3.89</v>
      </c>
      <c r="H753" s="8">
        <f xml:space="preserve"> (10 * WYNAJEM4[[#This Row],[typ]] * WYNAJEM4[[#This Row],[czas wynajecia domku]])</f>
        <v>600</v>
      </c>
      <c r="I753" s="9">
        <f xml:space="preserve"> WYNAJEM4[[#This Row],[suma energia i woda]] + WYNAJEM4[[#This Row],[czynsz]]</f>
        <v>603.89</v>
      </c>
    </row>
    <row r="754" spans="1:9" x14ac:dyDescent="0.25">
      <c r="A754" s="1">
        <v>41946</v>
      </c>
      <c r="B754" s="1">
        <v>41948</v>
      </c>
      <c r="C754" s="8">
        <v>9.1300000000000008</v>
      </c>
      <c r="D754" s="8">
        <v>0.24</v>
      </c>
      <c r="E754">
        <v>4</v>
      </c>
      <c r="F754" s="10">
        <f>(WYNAJEM4[[#This Row],[data_wyjazdu]]-WYNAJEM4[[#This Row],[data_przyjazdu]])</f>
        <v>2</v>
      </c>
      <c r="G754" s="9">
        <f xml:space="preserve"> WYNAJEM4[[#This Row],[energia]] + WYNAJEM4[[#This Row],[woda]]</f>
        <v>9.370000000000001</v>
      </c>
      <c r="H754" s="8">
        <f xml:space="preserve"> (10 * WYNAJEM4[[#This Row],[typ]] * WYNAJEM4[[#This Row],[czas wynajecia domku]])</f>
        <v>80</v>
      </c>
      <c r="I754" s="9">
        <f xml:space="preserve"> WYNAJEM4[[#This Row],[suma energia i woda]] + WYNAJEM4[[#This Row],[czynsz]]</f>
        <v>89.37</v>
      </c>
    </row>
    <row r="755" spans="1:9" x14ac:dyDescent="0.25">
      <c r="A755" s="1">
        <v>41947</v>
      </c>
      <c r="B755" s="1">
        <v>41960</v>
      </c>
      <c r="C755" s="8">
        <v>11.44</v>
      </c>
      <c r="D755" s="8">
        <v>0.3</v>
      </c>
      <c r="E755">
        <v>6</v>
      </c>
      <c r="F755" s="10">
        <f>(WYNAJEM4[[#This Row],[data_wyjazdu]]-WYNAJEM4[[#This Row],[data_przyjazdu]])</f>
        <v>13</v>
      </c>
      <c r="G755" s="9">
        <f xml:space="preserve"> WYNAJEM4[[#This Row],[energia]] + WYNAJEM4[[#This Row],[woda]]</f>
        <v>11.74</v>
      </c>
      <c r="H755" s="8">
        <f xml:space="preserve"> (10 * WYNAJEM4[[#This Row],[typ]] * WYNAJEM4[[#This Row],[czas wynajecia domku]])</f>
        <v>780</v>
      </c>
      <c r="I755" s="9">
        <f xml:space="preserve"> WYNAJEM4[[#This Row],[suma energia i woda]] + WYNAJEM4[[#This Row],[czynsz]]</f>
        <v>791.74</v>
      </c>
    </row>
    <row r="756" spans="1:9" x14ac:dyDescent="0.25">
      <c r="A756" s="1">
        <v>41947</v>
      </c>
      <c r="B756" s="1">
        <v>41972</v>
      </c>
      <c r="C756" s="8">
        <v>5.47</v>
      </c>
      <c r="D756" s="8">
        <v>0.14000000000000001</v>
      </c>
      <c r="E756">
        <v>6</v>
      </c>
      <c r="F756" s="10">
        <f>(WYNAJEM4[[#This Row],[data_wyjazdu]]-WYNAJEM4[[#This Row],[data_przyjazdu]])</f>
        <v>25</v>
      </c>
      <c r="G756" s="9">
        <f xml:space="preserve"> WYNAJEM4[[#This Row],[energia]] + WYNAJEM4[[#This Row],[woda]]</f>
        <v>5.6099999999999994</v>
      </c>
      <c r="H756" s="8">
        <f xml:space="preserve"> (10 * WYNAJEM4[[#This Row],[typ]] * WYNAJEM4[[#This Row],[czas wynajecia domku]])</f>
        <v>1500</v>
      </c>
      <c r="I756" s="9">
        <f xml:space="preserve"> WYNAJEM4[[#This Row],[suma energia i woda]] + WYNAJEM4[[#This Row],[czynsz]]</f>
        <v>1505.61</v>
      </c>
    </row>
    <row r="757" spans="1:9" x14ac:dyDescent="0.25">
      <c r="A757" s="1">
        <v>41947</v>
      </c>
      <c r="B757" s="1">
        <v>41968</v>
      </c>
      <c r="C757" s="8">
        <v>14.13</v>
      </c>
      <c r="D757" s="8">
        <v>0.37</v>
      </c>
      <c r="E757">
        <v>2</v>
      </c>
      <c r="F757" s="10">
        <f>(WYNAJEM4[[#This Row],[data_wyjazdu]]-WYNAJEM4[[#This Row],[data_przyjazdu]])</f>
        <v>21</v>
      </c>
      <c r="G757" s="9">
        <f xml:space="preserve"> WYNAJEM4[[#This Row],[energia]] + WYNAJEM4[[#This Row],[woda]]</f>
        <v>14.5</v>
      </c>
      <c r="H757" s="8">
        <f xml:space="preserve"> (10 * WYNAJEM4[[#This Row],[typ]] * WYNAJEM4[[#This Row],[czas wynajecia domku]])</f>
        <v>420</v>
      </c>
      <c r="I757" s="9">
        <f xml:space="preserve"> WYNAJEM4[[#This Row],[suma energia i woda]] + WYNAJEM4[[#This Row],[czynsz]]</f>
        <v>434.5</v>
      </c>
    </row>
    <row r="758" spans="1:9" x14ac:dyDescent="0.25">
      <c r="A758" s="1">
        <v>41947</v>
      </c>
      <c r="B758" s="1">
        <v>41956</v>
      </c>
      <c r="C758" s="8">
        <v>11.69</v>
      </c>
      <c r="D758" s="8">
        <v>0.31</v>
      </c>
      <c r="E758">
        <v>3</v>
      </c>
      <c r="F758" s="10">
        <f>(WYNAJEM4[[#This Row],[data_wyjazdu]]-WYNAJEM4[[#This Row],[data_przyjazdu]])</f>
        <v>9</v>
      </c>
      <c r="G758" s="9">
        <f xml:space="preserve"> WYNAJEM4[[#This Row],[energia]] + WYNAJEM4[[#This Row],[woda]]</f>
        <v>12</v>
      </c>
      <c r="H758" s="8">
        <f xml:space="preserve"> (10 * WYNAJEM4[[#This Row],[typ]] * WYNAJEM4[[#This Row],[czas wynajecia domku]])</f>
        <v>270</v>
      </c>
      <c r="I758" s="9">
        <f xml:space="preserve"> WYNAJEM4[[#This Row],[suma energia i woda]] + WYNAJEM4[[#This Row],[czynsz]]</f>
        <v>282</v>
      </c>
    </row>
    <row r="759" spans="1:9" x14ac:dyDescent="0.25">
      <c r="A759" s="1">
        <v>41947</v>
      </c>
      <c r="B759" s="1">
        <v>41970</v>
      </c>
      <c r="C759" s="8">
        <v>6.75</v>
      </c>
      <c r="D759" s="8">
        <v>0.18</v>
      </c>
      <c r="E759">
        <v>2</v>
      </c>
      <c r="F759" s="10">
        <f>(WYNAJEM4[[#This Row],[data_wyjazdu]]-WYNAJEM4[[#This Row],[data_przyjazdu]])</f>
        <v>23</v>
      </c>
      <c r="G759" s="9">
        <f xml:space="preserve"> WYNAJEM4[[#This Row],[energia]] + WYNAJEM4[[#This Row],[woda]]</f>
        <v>6.93</v>
      </c>
      <c r="H759" s="8">
        <f xml:space="preserve"> (10 * WYNAJEM4[[#This Row],[typ]] * WYNAJEM4[[#This Row],[czas wynajecia domku]])</f>
        <v>460</v>
      </c>
      <c r="I759" s="9">
        <f xml:space="preserve"> WYNAJEM4[[#This Row],[suma energia i woda]] + WYNAJEM4[[#This Row],[czynsz]]</f>
        <v>466.93</v>
      </c>
    </row>
    <row r="760" spans="1:9" x14ac:dyDescent="0.25">
      <c r="A760" s="1">
        <v>41947</v>
      </c>
      <c r="B760" s="1">
        <v>41962</v>
      </c>
      <c r="C760" s="8">
        <v>8.65</v>
      </c>
      <c r="D760" s="8">
        <v>0.23</v>
      </c>
      <c r="E760">
        <v>6</v>
      </c>
      <c r="F760" s="10">
        <f>(WYNAJEM4[[#This Row],[data_wyjazdu]]-WYNAJEM4[[#This Row],[data_przyjazdu]])</f>
        <v>15</v>
      </c>
      <c r="G760" s="9">
        <f xml:space="preserve"> WYNAJEM4[[#This Row],[energia]] + WYNAJEM4[[#This Row],[woda]]</f>
        <v>8.8800000000000008</v>
      </c>
      <c r="H760" s="8">
        <f xml:space="preserve"> (10 * WYNAJEM4[[#This Row],[typ]] * WYNAJEM4[[#This Row],[czas wynajecia domku]])</f>
        <v>900</v>
      </c>
      <c r="I760" s="9">
        <f xml:space="preserve"> WYNAJEM4[[#This Row],[suma energia i woda]] + WYNAJEM4[[#This Row],[czynsz]]</f>
        <v>908.88</v>
      </c>
    </row>
    <row r="761" spans="1:9" x14ac:dyDescent="0.25">
      <c r="A761" s="1">
        <v>41947</v>
      </c>
      <c r="B761" s="1">
        <v>41975</v>
      </c>
      <c r="C761" s="8">
        <v>10.93</v>
      </c>
      <c r="D761" s="8">
        <v>0.28999999999999998</v>
      </c>
      <c r="E761">
        <v>5</v>
      </c>
      <c r="F761" s="10">
        <f>(WYNAJEM4[[#This Row],[data_wyjazdu]]-WYNAJEM4[[#This Row],[data_przyjazdu]])</f>
        <v>28</v>
      </c>
      <c r="G761" s="9">
        <f xml:space="preserve"> WYNAJEM4[[#This Row],[energia]] + WYNAJEM4[[#This Row],[woda]]</f>
        <v>11.219999999999999</v>
      </c>
      <c r="H761" s="8">
        <f xml:space="preserve"> (10 * WYNAJEM4[[#This Row],[typ]] * WYNAJEM4[[#This Row],[czas wynajecia domku]])</f>
        <v>1400</v>
      </c>
      <c r="I761" s="9">
        <f xml:space="preserve"> WYNAJEM4[[#This Row],[suma energia i woda]] + WYNAJEM4[[#This Row],[czynsz]]</f>
        <v>1411.22</v>
      </c>
    </row>
    <row r="762" spans="1:9" x14ac:dyDescent="0.25">
      <c r="A762" s="1">
        <v>41947</v>
      </c>
      <c r="B762" s="1">
        <v>41962</v>
      </c>
      <c r="C762" s="8">
        <v>16.55</v>
      </c>
      <c r="D762" s="8">
        <v>0.44</v>
      </c>
      <c r="E762">
        <v>6</v>
      </c>
      <c r="F762" s="10">
        <f>(WYNAJEM4[[#This Row],[data_wyjazdu]]-WYNAJEM4[[#This Row],[data_przyjazdu]])</f>
        <v>15</v>
      </c>
      <c r="G762" s="9">
        <f xml:space="preserve"> WYNAJEM4[[#This Row],[energia]] + WYNAJEM4[[#This Row],[woda]]</f>
        <v>16.990000000000002</v>
      </c>
      <c r="H762" s="8">
        <f xml:space="preserve"> (10 * WYNAJEM4[[#This Row],[typ]] * WYNAJEM4[[#This Row],[czas wynajecia domku]])</f>
        <v>900</v>
      </c>
      <c r="I762" s="9">
        <f xml:space="preserve"> WYNAJEM4[[#This Row],[suma energia i woda]] + WYNAJEM4[[#This Row],[czynsz]]</f>
        <v>916.99</v>
      </c>
    </row>
    <row r="763" spans="1:9" x14ac:dyDescent="0.25">
      <c r="A763" s="1">
        <v>41947</v>
      </c>
      <c r="B763" s="1">
        <v>41960</v>
      </c>
      <c r="C763" s="8">
        <v>9.06</v>
      </c>
      <c r="D763" s="8">
        <v>0.24</v>
      </c>
      <c r="E763">
        <v>4</v>
      </c>
      <c r="F763" s="10">
        <f>(WYNAJEM4[[#This Row],[data_wyjazdu]]-WYNAJEM4[[#This Row],[data_przyjazdu]])</f>
        <v>13</v>
      </c>
      <c r="G763" s="9">
        <f xml:space="preserve"> WYNAJEM4[[#This Row],[energia]] + WYNAJEM4[[#This Row],[woda]]</f>
        <v>9.3000000000000007</v>
      </c>
      <c r="H763" s="8">
        <f xml:space="preserve"> (10 * WYNAJEM4[[#This Row],[typ]] * WYNAJEM4[[#This Row],[czas wynajecia domku]])</f>
        <v>520</v>
      </c>
      <c r="I763" s="9">
        <f xml:space="preserve"> WYNAJEM4[[#This Row],[suma energia i woda]] + WYNAJEM4[[#This Row],[czynsz]]</f>
        <v>529.29999999999995</v>
      </c>
    </row>
    <row r="764" spans="1:9" x14ac:dyDescent="0.25">
      <c r="A764" s="1">
        <v>41947</v>
      </c>
      <c r="B764" s="1">
        <v>41974</v>
      </c>
      <c r="C764" s="8">
        <v>9.06</v>
      </c>
      <c r="D764" s="8">
        <v>0.24</v>
      </c>
      <c r="E764">
        <v>4</v>
      </c>
      <c r="F764" s="10">
        <f>(WYNAJEM4[[#This Row],[data_wyjazdu]]-WYNAJEM4[[#This Row],[data_przyjazdu]])</f>
        <v>27</v>
      </c>
      <c r="G764" s="9">
        <f xml:space="preserve"> WYNAJEM4[[#This Row],[energia]] + WYNAJEM4[[#This Row],[woda]]</f>
        <v>9.3000000000000007</v>
      </c>
      <c r="H764" s="8">
        <f xml:space="preserve"> (10 * WYNAJEM4[[#This Row],[typ]] * WYNAJEM4[[#This Row],[czas wynajecia domku]])</f>
        <v>1080</v>
      </c>
      <c r="I764" s="9">
        <f xml:space="preserve"> WYNAJEM4[[#This Row],[suma energia i woda]] + WYNAJEM4[[#This Row],[czynsz]]</f>
        <v>1089.3</v>
      </c>
    </row>
    <row r="765" spans="1:9" x14ac:dyDescent="0.25">
      <c r="A765" s="1">
        <v>41947</v>
      </c>
      <c r="B765" s="1">
        <v>41969</v>
      </c>
      <c r="C765" s="8">
        <v>6.43</v>
      </c>
      <c r="D765" s="8">
        <v>0.17</v>
      </c>
      <c r="E765">
        <v>2</v>
      </c>
      <c r="F765" s="10">
        <f>(WYNAJEM4[[#This Row],[data_wyjazdu]]-WYNAJEM4[[#This Row],[data_przyjazdu]])</f>
        <v>22</v>
      </c>
      <c r="G765" s="9">
        <f xml:space="preserve"> WYNAJEM4[[#This Row],[energia]] + WYNAJEM4[[#This Row],[woda]]</f>
        <v>6.6</v>
      </c>
      <c r="H765" s="8">
        <f xml:space="preserve"> (10 * WYNAJEM4[[#This Row],[typ]] * WYNAJEM4[[#This Row],[czas wynajecia domku]])</f>
        <v>440</v>
      </c>
      <c r="I765" s="9">
        <f xml:space="preserve"> WYNAJEM4[[#This Row],[suma energia i woda]] + WYNAJEM4[[#This Row],[czynsz]]</f>
        <v>446.6</v>
      </c>
    </row>
    <row r="766" spans="1:9" x14ac:dyDescent="0.25">
      <c r="A766" s="1">
        <v>41947</v>
      </c>
      <c r="B766" s="1">
        <v>41954</v>
      </c>
      <c r="C766" s="8">
        <v>6.23</v>
      </c>
      <c r="D766" s="8">
        <v>0.16</v>
      </c>
      <c r="E766">
        <v>3</v>
      </c>
      <c r="F766" s="10">
        <f>(WYNAJEM4[[#This Row],[data_wyjazdu]]-WYNAJEM4[[#This Row],[data_przyjazdu]])</f>
        <v>7</v>
      </c>
      <c r="G766" s="9">
        <f xml:space="preserve"> WYNAJEM4[[#This Row],[energia]] + WYNAJEM4[[#This Row],[woda]]</f>
        <v>6.3900000000000006</v>
      </c>
      <c r="H766" s="8">
        <f xml:space="preserve"> (10 * WYNAJEM4[[#This Row],[typ]] * WYNAJEM4[[#This Row],[czas wynajecia domku]])</f>
        <v>210</v>
      </c>
      <c r="I766" s="9">
        <f xml:space="preserve"> WYNAJEM4[[#This Row],[suma energia i woda]] + WYNAJEM4[[#This Row],[czynsz]]</f>
        <v>216.39</v>
      </c>
    </row>
    <row r="767" spans="1:9" x14ac:dyDescent="0.25">
      <c r="A767" s="1">
        <v>41947</v>
      </c>
      <c r="B767" s="1">
        <v>41952</v>
      </c>
      <c r="C767" s="8">
        <v>6.75</v>
      </c>
      <c r="D767" s="8">
        <v>0.18</v>
      </c>
      <c r="E767">
        <v>3</v>
      </c>
      <c r="F767" s="10">
        <f>(WYNAJEM4[[#This Row],[data_wyjazdu]]-WYNAJEM4[[#This Row],[data_przyjazdu]])</f>
        <v>5</v>
      </c>
      <c r="G767" s="9">
        <f xml:space="preserve"> WYNAJEM4[[#This Row],[energia]] + WYNAJEM4[[#This Row],[woda]]</f>
        <v>6.93</v>
      </c>
      <c r="H767" s="8">
        <f xml:space="preserve"> (10 * WYNAJEM4[[#This Row],[typ]] * WYNAJEM4[[#This Row],[czas wynajecia domku]])</f>
        <v>150</v>
      </c>
      <c r="I767" s="9">
        <f xml:space="preserve"> WYNAJEM4[[#This Row],[suma energia i woda]] + WYNAJEM4[[#This Row],[czynsz]]</f>
        <v>156.93</v>
      </c>
    </row>
    <row r="768" spans="1:9" x14ac:dyDescent="0.25">
      <c r="A768" s="1">
        <v>41947</v>
      </c>
      <c r="B768" s="1">
        <v>41953</v>
      </c>
      <c r="C768" s="8">
        <v>10.79</v>
      </c>
      <c r="D768" s="8">
        <v>0.28000000000000003</v>
      </c>
      <c r="E768">
        <v>6</v>
      </c>
      <c r="F768" s="10">
        <f>(WYNAJEM4[[#This Row],[data_wyjazdu]]-WYNAJEM4[[#This Row],[data_przyjazdu]])</f>
        <v>6</v>
      </c>
      <c r="G768" s="9">
        <f xml:space="preserve"> WYNAJEM4[[#This Row],[energia]] + WYNAJEM4[[#This Row],[woda]]</f>
        <v>11.069999999999999</v>
      </c>
      <c r="H768" s="8">
        <f xml:space="preserve"> (10 * WYNAJEM4[[#This Row],[typ]] * WYNAJEM4[[#This Row],[czas wynajecia domku]])</f>
        <v>360</v>
      </c>
      <c r="I768" s="9">
        <f xml:space="preserve"> WYNAJEM4[[#This Row],[suma energia i woda]] + WYNAJEM4[[#This Row],[czynsz]]</f>
        <v>371.07</v>
      </c>
    </row>
    <row r="769" spans="1:9" x14ac:dyDescent="0.25">
      <c r="A769" s="1">
        <v>41949</v>
      </c>
      <c r="B769" s="1">
        <v>41956</v>
      </c>
      <c r="C769" s="8">
        <v>5.67</v>
      </c>
      <c r="D769" s="8">
        <v>0.15</v>
      </c>
      <c r="E769">
        <v>4</v>
      </c>
      <c r="F769" s="10">
        <f>(WYNAJEM4[[#This Row],[data_wyjazdu]]-WYNAJEM4[[#This Row],[data_przyjazdu]])</f>
        <v>7</v>
      </c>
      <c r="G769" s="9">
        <f xml:space="preserve"> WYNAJEM4[[#This Row],[energia]] + WYNAJEM4[[#This Row],[woda]]</f>
        <v>5.82</v>
      </c>
      <c r="H769" s="8">
        <f xml:space="preserve"> (10 * WYNAJEM4[[#This Row],[typ]] * WYNAJEM4[[#This Row],[czas wynajecia domku]])</f>
        <v>280</v>
      </c>
      <c r="I769" s="9">
        <f xml:space="preserve"> WYNAJEM4[[#This Row],[suma energia i woda]] + WYNAJEM4[[#This Row],[czynsz]]</f>
        <v>285.82</v>
      </c>
    </row>
    <row r="770" spans="1:9" x14ac:dyDescent="0.25">
      <c r="A770" s="1">
        <v>41949</v>
      </c>
      <c r="B770" s="1">
        <v>41959</v>
      </c>
      <c r="C770" s="8">
        <v>11.44</v>
      </c>
      <c r="D770" s="8">
        <v>0.3</v>
      </c>
      <c r="E770">
        <v>4</v>
      </c>
      <c r="F770" s="10">
        <f>(WYNAJEM4[[#This Row],[data_wyjazdu]]-WYNAJEM4[[#This Row],[data_przyjazdu]])</f>
        <v>10</v>
      </c>
      <c r="G770" s="9">
        <f xml:space="preserve"> WYNAJEM4[[#This Row],[energia]] + WYNAJEM4[[#This Row],[woda]]</f>
        <v>11.74</v>
      </c>
      <c r="H770" s="8">
        <f xml:space="preserve"> (10 * WYNAJEM4[[#This Row],[typ]] * WYNAJEM4[[#This Row],[czas wynajecia domku]])</f>
        <v>400</v>
      </c>
      <c r="I770" s="9">
        <f xml:space="preserve"> WYNAJEM4[[#This Row],[suma energia i woda]] + WYNAJEM4[[#This Row],[czynsz]]</f>
        <v>411.74</v>
      </c>
    </row>
    <row r="771" spans="1:9" x14ac:dyDescent="0.25">
      <c r="A771" s="1">
        <v>41950</v>
      </c>
      <c r="B771" s="1">
        <v>41977</v>
      </c>
      <c r="C771" s="8">
        <v>4.25</v>
      </c>
      <c r="D771" s="8">
        <v>0.11</v>
      </c>
      <c r="E771">
        <v>5</v>
      </c>
      <c r="F771" s="10">
        <f>(WYNAJEM4[[#This Row],[data_wyjazdu]]-WYNAJEM4[[#This Row],[data_przyjazdu]])</f>
        <v>27</v>
      </c>
      <c r="G771" s="9">
        <f xml:space="preserve"> WYNAJEM4[[#This Row],[energia]] + WYNAJEM4[[#This Row],[woda]]</f>
        <v>4.3600000000000003</v>
      </c>
      <c r="H771" s="8">
        <f xml:space="preserve"> (10 * WYNAJEM4[[#This Row],[typ]] * WYNAJEM4[[#This Row],[czas wynajecia domku]])</f>
        <v>1350</v>
      </c>
      <c r="I771" s="9">
        <f xml:space="preserve"> WYNAJEM4[[#This Row],[suma energia i woda]] + WYNAJEM4[[#This Row],[czynsz]]</f>
        <v>1354.36</v>
      </c>
    </row>
    <row r="772" spans="1:9" x14ac:dyDescent="0.25">
      <c r="A772" s="1">
        <v>41950</v>
      </c>
      <c r="B772" s="1">
        <v>41953</v>
      </c>
      <c r="C772" s="8">
        <v>3.94</v>
      </c>
      <c r="D772" s="8">
        <v>0.1</v>
      </c>
      <c r="E772">
        <v>2</v>
      </c>
      <c r="F772" s="10">
        <f>(WYNAJEM4[[#This Row],[data_wyjazdu]]-WYNAJEM4[[#This Row],[data_przyjazdu]])</f>
        <v>3</v>
      </c>
      <c r="G772" s="9">
        <f xml:space="preserve"> WYNAJEM4[[#This Row],[energia]] + WYNAJEM4[[#This Row],[woda]]</f>
        <v>4.04</v>
      </c>
      <c r="H772" s="8">
        <f xml:space="preserve"> (10 * WYNAJEM4[[#This Row],[typ]] * WYNAJEM4[[#This Row],[czas wynajecia domku]])</f>
        <v>60</v>
      </c>
      <c r="I772" s="9">
        <f xml:space="preserve"> WYNAJEM4[[#This Row],[suma energia i woda]] + WYNAJEM4[[#This Row],[czynsz]]</f>
        <v>64.040000000000006</v>
      </c>
    </row>
    <row r="773" spans="1:9" x14ac:dyDescent="0.25">
      <c r="A773" s="1">
        <v>41950</v>
      </c>
      <c r="B773" s="1">
        <v>41972</v>
      </c>
      <c r="C773" s="8">
        <v>3.57</v>
      </c>
      <c r="D773" s="8">
        <v>0.09</v>
      </c>
      <c r="E773">
        <v>4</v>
      </c>
      <c r="F773" s="10">
        <f>(WYNAJEM4[[#This Row],[data_wyjazdu]]-WYNAJEM4[[#This Row],[data_przyjazdu]])</f>
        <v>22</v>
      </c>
      <c r="G773" s="9">
        <f xml:space="preserve"> WYNAJEM4[[#This Row],[energia]] + WYNAJEM4[[#This Row],[woda]]</f>
        <v>3.6599999999999997</v>
      </c>
      <c r="H773" s="8">
        <f xml:space="preserve"> (10 * WYNAJEM4[[#This Row],[typ]] * WYNAJEM4[[#This Row],[czas wynajecia domku]])</f>
        <v>880</v>
      </c>
      <c r="I773" s="9">
        <f xml:space="preserve"> WYNAJEM4[[#This Row],[suma energia i woda]] + WYNAJEM4[[#This Row],[czynsz]]</f>
        <v>883.66</v>
      </c>
    </row>
    <row r="774" spans="1:9" x14ac:dyDescent="0.25">
      <c r="A774" s="1">
        <v>41950</v>
      </c>
      <c r="B774" s="1">
        <v>41952</v>
      </c>
      <c r="C774" s="8">
        <v>5.67</v>
      </c>
      <c r="D774" s="8">
        <v>0.15</v>
      </c>
      <c r="E774">
        <v>6</v>
      </c>
      <c r="F774" s="10">
        <f>(WYNAJEM4[[#This Row],[data_wyjazdu]]-WYNAJEM4[[#This Row],[data_przyjazdu]])</f>
        <v>2</v>
      </c>
      <c r="G774" s="9">
        <f xml:space="preserve"> WYNAJEM4[[#This Row],[energia]] + WYNAJEM4[[#This Row],[woda]]</f>
        <v>5.82</v>
      </c>
      <c r="H774" s="8">
        <f xml:space="preserve"> (10 * WYNAJEM4[[#This Row],[typ]] * WYNAJEM4[[#This Row],[czas wynajecia domku]])</f>
        <v>120</v>
      </c>
      <c r="I774" s="9">
        <f xml:space="preserve"> WYNAJEM4[[#This Row],[suma energia i woda]] + WYNAJEM4[[#This Row],[czynsz]]</f>
        <v>125.82</v>
      </c>
    </row>
    <row r="775" spans="1:9" x14ac:dyDescent="0.25">
      <c r="A775" s="1">
        <v>41950</v>
      </c>
      <c r="B775" s="1">
        <v>41967</v>
      </c>
      <c r="C775" s="8">
        <v>5.67</v>
      </c>
      <c r="D775" s="8">
        <v>0.15</v>
      </c>
      <c r="E775">
        <v>4</v>
      </c>
      <c r="F775" s="10">
        <f>(WYNAJEM4[[#This Row],[data_wyjazdu]]-WYNAJEM4[[#This Row],[data_przyjazdu]])</f>
        <v>17</v>
      </c>
      <c r="G775" s="9">
        <f xml:space="preserve"> WYNAJEM4[[#This Row],[energia]] + WYNAJEM4[[#This Row],[woda]]</f>
        <v>5.82</v>
      </c>
      <c r="H775" s="8">
        <f xml:space="preserve"> (10 * WYNAJEM4[[#This Row],[typ]] * WYNAJEM4[[#This Row],[czas wynajecia domku]])</f>
        <v>680</v>
      </c>
      <c r="I775" s="9">
        <f xml:space="preserve"> WYNAJEM4[[#This Row],[suma energia i woda]] + WYNAJEM4[[#This Row],[czynsz]]</f>
        <v>685.82</v>
      </c>
    </row>
    <row r="776" spans="1:9" x14ac:dyDescent="0.25">
      <c r="A776" s="1">
        <v>41953</v>
      </c>
      <c r="B776" s="1">
        <v>41978</v>
      </c>
      <c r="C776" s="8">
        <v>16.829999999999998</v>
      </c>
      <c r="D776" s="8">
        <v>0.44</v>
      </c>
      <c r="E776">
        <v>6</v>
      </c>
      <c r="F776" s="10">
        <f>(WYNAJEM4[[#This Row],[data_wyjazdu]]-WYNAJEM4[[#This Row],[data_przyjazdu]])</f>
        <v>25</v>
      </c>
      <c r="G776" s="9">
        <f xml:space="preserve"> WYNAJEM4[[#This Row],[energia]] + WYNAJEM4[[#This Row],[woda]]</f>
        <v>17.27</v>
      </c>
      <c r="H776" s="8">
        <f xml:space="preserve"> (10 * WYNAJEM4[[#This Row],[typ]] * WYNAJEM4[[#This Row],[czas wynajecia domku]])</f>
        <v>1500</v>
      </c>
      <c r="I776" s="9">
        <f xml:space="preserve"> WYNAJEM4[[#This Row],[suma energia i woda]] + WYNAJEM4[[#This Row],[czynsz]]</f>
        <v>1517.27</v>
      </c>
    </row>
    <row r="777" spans="1:9" x14ac:dyDescent="0.25">
      <c r="A777" s="1">
        <v>41956</v>
      </c>
      <c r="B777" s="1">
        <v>41958</v>
      </c>
      <c r="C777" s="8">
        <v>5.23</v>
      </c>
      <c r="D777" s="8">
        <v>0.14000000000000001</v>
      </c>
      <c r="E777">
        <v>4</v>
      </c>
      <c r="F777" s="10">
        <f>(WYNAJEM4[[#This Row],[data_wyjazdu]]-WYNAJEM4[[#This Row],[data_przyjazdu]])</f>
        <v>2</v>
      </c>
      <c r="G777" s="9">
        <f xml:space="preserve"> WYNAJEM4[[#This Row],[energia]] + WYNAJEM4[[#This Row],[woda]]</f>
        <v>5.37</v>
      </c>
      <c r="H777" s="8">
        <f xml:space="preserve"> (10 * WYNAJEM4[[#This Row],[typ]] * WYNAJEM4[[#This Row],[czas wynajecia domku]])</f>
        <v>80</v>
      </c>
      <c r="I777" s="9">
        <f xml:space="preserve"> WYNAJEM4[[#This Row],[suma energia i woda]] + WYNAJEM4[[#This Row],[czynsz]]</f>
        <v>85.37</v>
      </c>
    </row>
    <row r="778" spans="1:9" x14ac:dyDescent="0.25">
      <c r="A778" s="1">
        <v>41957</v>
      </c>
      <c r="B778" s="1">
        <v>41966</v>
      </c>
      <c r="C778" s="8">
        <v>3.73</v>
      </c>
      <c r="D778" s="8">
        <v>0.1</v>
      </c>
      <c r="E778">
        <v>3</v>
      </c>
      <c r="F778" s="10">
        <f>(WYNAJEM4[[#This Row],[data_wyjazdu]]-WYNAJEM4[[#This Row],[data_przyjazdu]])</f>
        <v>9</v>
      </c>
      <c r="G778" s="9">
        <f xml:space="preserve"> WYNAJEM4[[#This Row],[energia]] + WYNAJEM4[[#This Row],[woda]]</f>
        <v>3.83</v>
      </c>
      <c r="H778" s="8">
        <f xml:space="preserve"> (10 * WYNAJEM4[[#This Row],[typ]] * WYNAJEM4[[#This Row],[czas wynajecia domku]])</f>
        <v>270</v>
      </c>
      <c r="I778" s="9">
        <f xml:space="preserve"> WYNAJEM4[[#This Row],[suma energia i woda]] + WYNAJEM4[[#This Row],[czynsz]]</f>
        <v>273.83</v>
      </c>
    </row>
    <row r="779" spans="1:9" x14ac:dyDescent="0.25">
      <c r="A779" s="1">
        <v>41958</v>
      </c>
      <c r="B779" s="1">
        <v>41985</v>
      </c>
      <c r="C779" s="8">
        <v>8.7200000000000006</v>
      </c>
      <c r="D779" s="8">
        <v>0.23</v>
      </c>
      <c r="E779">
        <v>6</v>
      </c>
      <c r="F779" s="10">
        <f>(WYNAJEM4[[#This Row],[data_wyjazdu]]-WYNAJEM4[[#This Row],[data_przyjazdu]])</f>
        <v>27</v>
      </c>
      <c r="G779" s="9">
        <f xml:space="preserve"> WYNAJEM4[[#This Row],[energia]] + WYNAJEM4[[#This Row],[woda]]</f>
        <v>8.9500000000000011</v>
      </c>
      <c r="H779" s="8">
        <f xml:space="preserve"> (10 * WYNAJEM4[[#This Row],[typ]] * WYNAJEM4[[#This Row],[czas wynajecia domku]])</f>
        <v>1620</v>
      </c>
      <c r="I779" s="9">
        <f xml:space="preserve"> WYNAJEM4[[#This Row],[suma energia i woda]] + WYNAJEM4[[#This Row],[czynsz]]</f>
        <v>1628.95</v>
      </c>
    </row>
    <row r="780" spans="1:9" x14ac:dyDescent="0.25">
      <c r="A780" s="1">
        <v>41958</v>
      </c>
      <c r="B780" s="1">
        <v>41975</v>
      </c>
      <c r="C780" s="8">
        <v>19.54</v>
      </c>
      <c r="D780" s="8">
        <v>0.51</v>
      </c>
      <c r="E780">
        <v>2</v>
      </c>
      <c r="F780" s="10">
        <f>(WYNAJEM4[[#This Row],[data_wyjazdu]]-WYNAJEM4[[#This Row],[data_przyjazdu]])</f>
        <v>17</v>
      </c>
      <c r="G780" s="9">
        <f xml:space="preserve"> WYNAJEM4[[#This Row],[energia]] + WYNAJEM4[[#This Row],[woda]]</f>
        <v>20.05</v>
      </c>
      <c r="H780" s="8">
        <f xml:space="preserve"> (10 * WYNAJEM4[[#This Row],[typ]] * WYNAJEM4[[#This Row],[czas wynajecia domku]])</f>
        <v>340</v>
      </c>
      <c r="I780" s="9">
        <f xml:space="preserve"> WYNAJEM4[[#This Row],[suma energia i woda]] + WYNAJEM4[[#This Row],[czynsz]]</f>
        <v>360.05</v>
      </c>
    </row>
    <row r="781" spans="1:9" x14ac:dyDescent="0.25">
      <c r="A781" s="1">
        <v>41958</v>
      </c>
      <c r="B781" s="1">
        <v>41980</v>
      </c>
      <c r="C781" s="8">
        <v>2.29</v>
      </c>
      <c r="D781" s="8">
        <v>0.06</v>
      </c>
      <c r="E781">
        <v>4</v>
      </c>
      <c r="F781" s="10">
        <f>(WYNAJEM4[[#This Row],[data_wyjazdu]]-WYNAJEM4[[#This Row],[data_przyjazdu]])</f>
        <v>22</v>
      </c>
      <c r="G781" s="9">
        <f xml:space="preserve"> WYNAJEM4[[#This Row],[energia]] + WYNAJEM4[[#This Row],[woda]]</f>
        <v>2.35</v>
      </c>
      <c r="H781" s="8">
        <f xml:space="preserve"> (10 * WYNAJEM4[[#This Row],[typ]] * WYNAJEM4[[#This Row],[czas wynajecia domku]])</f>
        <v>880</v>
      </c>
      <c r="I781" s="9">
        <f xml:space="preserve"> WYNAJEM4[[#This Row],[suma energia i woda]] + WYNAJEM4[[#This Row],[czynsz]]</f>
        <v>882.35</v>
      </c>
    </row>
    <row r="782" spans="1:9" x14ac:dyDescent="0.25">
      <c r="A782" s="1">
        <v>41958</v>
      </c>
      <c r="B782" s="1">
        <v>41986</v>
      </c>
      <c r="C782" s="8">
        <v>8.9499999999999993</v>
      </c>
      <c r="D782" s="8">
        <v>0.24</v>
      </c>
      <c r="E782">
        <v>6</v>
      </c>
      <c r="F782" s="10">
        <f>(WYNAJEM4[[#This Row],[data_wyjazdu]]-WYNAJEM4[[#This Row],[data_przyjazdu]])</f>
        <v>28</v>
      </c>
      <c r="G782" s="9">
        <f xml:space="preserve"> WYNAJEM4[[#This Row],[energia]] + WYNAJEM4[[#This Row],[woda]]</f>
        <v>9.19</v>
      </c>
      <c r="H782" s="8">
        <f xml:space="preserve"> (10 * WYNAJEM4[[#This Row],[typ]] * WYNAJEM4[[#This Row],[czas wynajecia domku]])</f>
        <v>1680</v>
      </c>
      <c r="I782" s="9">
        <f xml:space="preserve"> WYNAJEM4[[#This Row],[suma energia i woda]] + WYNAJEM4[[#This Row],[czynsz]]</f>
        <v>1689.19</v>
      </c>
    </row>
    <row r="783" spans="1:9" x14ac:dyDescent="0.25">
      <c r="A783" s="1">
        <v>41958</v>
      </c>
      <c r="B783" s="1">
        <v>41969</v>
      </c>
      <c r="C783" s="8">
        <v>5.67</v>
      </c>
      <c r="D783" s="8">
        <v>0.15</v>
      </c>
      <c r="E783">
        <v>6</v>
      </c>
      <c r="F783" s="10">
        <f>(WYNAJEM4[[#This Row],[data_wyjazdu]]-WYNAJEM4[[#This Row],[data_przyjazdu]])</f>
        <v>11</v>
      </c>
      <c r="G783" s="9">
        <f xml:space="preserve"> WYNAJEM4[[#This Row],[energia]] + WYNAJEM4[[#This Row],[woda]]</f>
        <v>5.82</v>
      </c>
      <c r="H783" s="8">
        <f xml:space="preserve"> (10 * WYNAJEM4[[#This Row],[typ]] * WYNAJEM4[[#This Row],[czas wynajecia domku]])</f>
        <v>660</v>
      </c>
      <c r="I783" s="9">
        <f xml:space="preserve"> WYNAJEM4[[#This Row],[suma energia i woda]] + WYNAJEM4[[#This Row],[czynsz]]</f>
        <v>665.82</v>
      </c>
    </row>
    <row r="784" spans="1:9" x14ac:dyDescent="0.25">
      <c r="A784" s="1">
        <v>41958</v>
      </c>
      <c r="B784" s="1">
        <v>41982</v>
      </c>
      <c r="C784" s="8">
        <v>8.83</v>
      </c>
      <c r="D784" s="8">
        <v>0.23</v>
      </c>
      <c r="E784">
        <v>4</v>
      </c>
      <c r="F784" s="10">
        <f>(WYNAJEM4[[#This Row],[data_wyjazdu]]-WYNAJEM4[[#This Row],[data_przyjazdu]])</f>
        <v>24</v>
      </c>
      <c r="G784" s="9">
        <f xml:space="preserve"> WYNAJEM4[[#This Row],[energia]] + WYNAJEM4[[#This Row],[woda]]</f>
        <v>9.06</v>
      </c>
      <c r="H784" s="8">
        <f xml:space="preserve"> (10 * WYNAJEM4[[#This Row],[typ]] * WYNAJEM4[[#This Row],[czas wynajecia domku]])</f>
        <v>960</v>
      </c>
      <c r="I784" s="9">
        <f xml:space="preserve"> WYNAJEM4[[#This Row],[suma energia i woda]] + WYNAJEM4[[#This Row],[czynsz]]</f>
        <v>969.06</v>
      </c>
    </row>
    <row r="785" spans="1:9" x14ac:dyDescent="0.25">
      <c r="A785" s="1">
        <v>41958</v>
      </c>
      <c r="B785" s="1">
        <v>41963</v>
      </c>
      <c r="C785" s="8">
        <v>10.79</v>
      </c>
      <c r="D785" s="8">
        <v>0.28000000000000003</v>
      </c>
      <c r="E785">
        <v>4</v>
      </c>
      <c r="F785" s="10">
        <f>(WYNAJEM4[[#This Row],[data_wyjazdu]]-WYNAJEM4[[#This Row],[data_przyjazdu]])</f>
        <v>5</v>
      </c>
      <c r="G785" s="9">
        <f xml:space="preserve"> WYNAJEM4[[#This Row],[energia]] + WYNAJEM4[[#This Row],[woda]]</f>
        <v>11.069999999999999</v>
      </c>
      <c r="H785" s="8">
        <f xml:space="preserve"> (10 * WYNAJEM4[[#This Row],[typ]] * WYNAJEM4[[#This Row],[czas wynajecia domku]])</f>
        <v>200</v>
      </c>
      <c r="I785" s="9">
        <f xml:space="preserve"> WYNAJEM4[[#This Row],[suma energia i woda]] + WYNAJEM4[[#This Row],[czynsz]]</f>
        <v>211.07</v>
      </c>
    </row>
    <row r="786" spans="1:9" x14ac:dyDescent="0.25">
      <c r="A786" s="1">
        <v>41958</v>
      </c>
      <c r="B786" s="1">
        <v>41961</v>
      </c>
      <c r="C786" s="8">
        <v>5.67</v>
      </c>
      <c r="D786" s="8">
        <v>0.15</v>
      </c>
      <c r="E786">
        <v>6</v>
      </c>
      <c r="F786" s="10">
        <f>(WYNAJEM4[[#This Row],[data_wyjazdu]]-WYNAJEM4[[#This Row],[data_przyjazdu]])</f>
        <v>3</v>
      </c>
      <c r="G786" s="9">
        <f xml:space="preserve"> WYNAJEM4[[#This Row],[energia]] + WYNAJEM4[[#This Row],[woda]]</f>
        <v>5.82</v>
      </c>
      <c r="H786" s="8">
        <f xml:space="preserve"> (10 * WYNAJEM4[[#This Row],[typ]] * WYNAJEM4[[#This Row],[czas wynajecia domku]])</f>
        <v>180</v>
      </c>
      <c r="I786" s="9">
        <f xml:space="preserve"> WYNAJEM4[[#This Row],[suma energia i woda]] + WYNAJEM4[[#This Row],[czynsz]]</f>
        <v>185.82</v>
      </c>
    </row>
    <row r="787" spans="1:9" x14ac:dyDescent="0.25">
      <c r="A787" s="1">
        <v>41958</v>
      </c>
      <c r="B787" s="1">
        <v>41972</v>
      </c>
      <c r="C787" s="8">
        <v>14.31</v>
      </c>
      <c r="D787" s="8">
        <v>0.38</v>
      </c>
      <c r="E787">
        <v>5</v>
      </c>
      <c r="F787" s="10">
        <f>(WYNAJEM4[[#This Row],[data_wyjazdu]]-WYNAJEM4[[#This Row],[data_przyjazdu]])</f>
        <v>14</v>
      </c>
      <c r="G787" s="9">
        <f xml:space="preserve"> WYNAJEM4[[#This Row],[energia]] + WYNAJEM4[[#This Row],[woda]]</f>
        <v>14.690000000000001</v>
      </c>
      <c r="H787" s="8">
        <f xml:space="preserve"> (10 * WYNAJEM4[[#This Row],[typ]] * WYNAJEM4[[#This Row],[czas wynajecia domku]])</f>
        <v>700</v>
      </c>
      <c r="I787" s="9">
        <f xml:space="preserve"> WYNAJEM4[[#This Row],[suma energia i woda]] + WYNAJEM4[[#This Row],[czynsz]]</f>
        <v>714.69</v>
      </c>
    </row>
    <row r="788" spans="1:9" x14ac:dyDescent="0.25">
      <c r="A788" s="1">
        <v>41958</v>
      </c>
      <c r="B788" s="1">
        <v>41976</v>
      </c>
      <c r="C788" s="8">
        <v>5.67</v>
      </c>
      <c r="D788" s="8">
        <v>0.15</v>
      </c>
      <c r="E788">
        <v>6</v>
      </c>
      <c r="F788" s="10">
        <f>(WYNAJEM4[[#This Row],[data_wyjazdu]]-WYNAJEM4[[#This Row],[data_przyjazdu]])</f>
        <v>18</v>
      </c>
      <c r="G788" s="9">
        <f xml:space="preserve"> WYNAJEM4[[#This Row],[energia]] + WYNAJEM4[[#This Row],[woda]]</f>
        <v>5.82</v>
      </c>
      <c r="H788" s="8">
        <f xml:space="preserve"> (10 * WYNAJEM4[[#This Row],[typ]] * WYNAJEM4[[#This Row],[czas wynajecia domku]])</f>
        <v>1080</v>
      </c>
      <c r="I788" s="9">
        <f xml:space="preserve"> WYNAJEM4[[#This Row],[suma energia i woda]] + WYNAJEM4[[#This Row],[czynsz]]</f>
        <v>1085.82</v>
      </c>
    </row>
    <row r="789" spans="1:9" x14ac:dyDescent="0.25">
      <c r="A789" s="1">
        <v>41958</v>
      </c>
      <c r="B789" s="1">
        <v>41961</v>
      </c>
      <c r="C789" s="8">
        <v>6.75</v>
      </c>
      <c r="D789" s="8">
        <v>0.18</v>
      </c>
      <c r="E789">
        <v>6</v>
      </c>
      <c r="F789" s="10">
        <f>(WYNAJEM4[[#This Row],[data_wyjazdu]]-WYNAJEM4[[#This Row],[data_przyjazdu]])</f>
        <v>3</v>
      </c>
      <c r="G789" s="9">
        <f xml:space="preserve"> WYNAJEM4[[#This Row],[energia]] + WYNAJEM4[[#This Row],[woda]]</f>
        <v>6.93</v>
      </c>
      <c r="H789" s="8">
        <f xml:space="preserve"> (10 * WYNAJEM4[[#This Row],[typ]] * WYNAJEM4[[#This Row],[czas wynajecia domku]])</f>
        <v>180</v>
      </c>
      <c r="I789" s="9">
        <f xml:space="preserve"> WYNAJEM4[[#This Row],[suma energia i woda]] + WYNAJEM4[[#This Row],[czynsz]]</f>
        <v>186.93</v>
      </c>
    </row>
    <row r="790" spans="1:9" x14ac:dyDescent="0.25">
      <c r="A790" s="1">
        <v>41958</v>
      </c>
      <c r="B790" s="1">
        <v>41964</v>
      </c>
      <c r="C790" s="8">
        <v>12.01</v>
      </c>
      <c r="D790" s="8">
        <v>0.32</v>
      </c>
      <c r="E790">
        <v>4</v>
      </c>
      <c r="F790" s="10">
        <f>(WYNAJEM4[[#This Row],[data_wyjazdu]]-WYNAJEM4[[#This Row],[data_przyjazdu]])</f>
        <v>6</v>
      </c>
      <c r="G790" s="9">
        <f xml:space="preserve"> WYNAJEM4[[#This Row],[energia]] + WYNAJEM4[[#This Row],[woda]]</f>
        <v>12.33</v>
      </c>
      <c r="H790" s="8">
        <f xml:space="preserve"> (10 * WYNAJEM4[[#This Row],[typ]] * WYNAJEM4[[#This Row],[czas wynajecia domku]])</f>
        <v>240</v>
      </c>
      <c r="I790" s="9">
        <f xml:space="preserve"> WYNAJEM4[[#This Row],[suma energia i woda]] + WYNAJEM4[[#This Row],[czynsz]]</f>
        <v>252.33</v>
      </c>
    </row>
    <row r="791" spans="1:9" x14ac:dyDescent="0.25">
      <c r="A791" s="1">
        <v>41958</v>
      </c>
      <c r="B791" s="1">
        <v>41973</v>
      </c>
      <c r="C791" s="8">
        <v>5.23</v>
      </c>
      <c r="D791" s="8">
        <v>0.14000000000000001</v>
      </c>
      <c r="E791">
        <v>6</v>
      </c>
      <c r="F791" s="10">
        <f>(WYNAJEM4[[#This Row],[data_wyjazdu]]-WYNAJEM4[[#This Row],[data_przyjazdu]])</f>
        <v>15</v>
      </c>
      <c r="G791" s="9">
        <f xml:space="preserve"> WYNAJEM4[[#This Row],[energia]] + WYNAJEM4[[#This Row],[woda]]</f>
        <v>5.37</v>
      </c>
      <c r="H791" s="8">
        <f xml:space="preserve"> (10 * WYNAJEM4[[#This Row],[typ]] * WYNAJEM4[[#This Row],[czas wynajecia domku]])</f>
        <v>900</v>
      </c>
      <c r="I791" s="9">
        <f xml:space="preserve"> WYNAJEM4[[#This Row],[suma energia i woda]] + WYNAJEM4[[#This Row],[czynsz]]</f>
        <v>905.37</v>
      </c>
    </row>
    <row r="792" spans="1:9" x14ac:dyDescent="0.25">
      <c r="A792" s="1">
        <v>41958</v>
      </c>
      <c r="B792" s="1">
        <v>41978</v>
      </c>
      <c r="C792" s="8">
        <v>13.81</v>
      </c>
      <c r="D792" s="8">
        <v>0.36</v>
      </c>
      <c r="E792">
        <v>4</v>
      </c>
      <c r="F792" s="10">
        <f>(WYNAJEM4[[#This Row],[data_wyjazdu]]-WYNAJEM4[[#This Row],[data_przyjazdu]])</f>
        <v>20</v>
      </c>
      <c r="G792" s="9">
        <f xml:space="preserve"> WYNAJEM4[[#This Row],[energia]] + WYNAJEM4[[#This Row],[woda]]</f>
        <v>14.17</v>
      </c>
      <c r="H792" s="8">
        <f xml:space="preserve"> (10 * WYNAJEM4[[#This Row],[typ]] * WYNAJEM4[[#This Row],[czas wynajecia domku]])</f>
        <v>800</v>
      </c>
      <c r="I792" s="9">
        <f xml:space="preserve"> WYNAJEM4[[#This Row],[suma energia i woda]] + WYNAJEM4[[#This Row],[czynsz]]</f>
        <v>814.17</v>
      </c>
    </row>
    <row r="793" spans="1:9" x14ac:dyDescent="0.25">
      <c r="A793" s="1">
        <v>41958</v>
      </c>
      <c r="B793" s="1">
        <v>41970</v>
      </c>
      <c r="C793" s="8">
        <v>5.23</v>
      </c>
      <c r="D793" s="8">
        <v>0.14000000000000001</v>
      </c>
      <c r="E793">
        <v>3</v>
      </c>
      <c r="F793" s="10">
        <f>(WYNAJEM4[[#This Row],[data_wyjazdu]]-WYNAJEM4[[#This Row],[data_przyjazdu]])</f>
        <v>12</v>
      </c>
      <c r="G793" s="9">
        <f xml:space="preserve"> WYNAJEM4[[#This Row],[energia]] + WYNAJEM4[[#This Row],[woda]]</f>
        <v>5.37</v>
      </c>
      <c r="H793" s="8">
        <f xml:space="preserve"> (10 * WYNAJEM4[[#This Row],[typ]] * WYNAJEM4[[#This Row],[czas wynajecia domku]])</f>
        <v>360</v>
      </c>
      <c r="I793" s="9">
        <f xml:space="preserve"> WYNAJEM4[[#This Row],[suma energia i woda]] + WYNAJEM4[[#This Row],[czynsz]]</f>
        <v>365.37</v>
      </c>
    </row>
    <row r="794" spans="1:9" x14ac:dyDescent="0.25">
      <c r="A794" s="1">
        <v>41959</v>
      </c>
      <c r="B794" s="1">
        <v>41968</v>
      </c>
      <c r="C794" s="8">
        <v>4.25</v>
      </c>
      <c r="D794" s="8">
        <v>0.11</v>
      </c>
      <c r="E794">
        <v>6</v>
      </c>
      <c r="F794" s="10">
        <f>(WYNAJEM4[[#This Row],[data_wyjazdu]]-WYNAJEM4[[#This Row],[data_przyjazdu]])</f>
        <v>9</v>
      </c>
      <c r="G794" s="9">
        <f xml:space="preserve"> WYNAJEM4[[#This Row],[energia]] + WYNAJEM4[[#This Row],[woda]]</f>
        <v>4.3600000000000003</v>
      </c>
      <c r="H794" s="8">
        <f xml:space="preserve"> (10 * WYNAJEM4[[#This Row],[typ]] * WYNAJEM4[[#This Row],[czas wynajecia domku]])</f>
        <v>540</v>
      </c>
      <c r="I794" s="9">
        <f xml:space="preserve"> WYNAJEM4[[#This Row],[suma energia i woda]] + WYNAJEM4[[#This Row],[czynsz]]</f>
        <v>544.36</v>
      </c>
    </row>
    <row r="795" spans="1:9" x14ac:dyDescent="0.25">
      <c r="A795" s="1">
        <v>41959</v>
      </c>
      <c r="B795" s="1">
        <v>41984</v>
      </c>
      <c r="C795" s="8">
        <v>5.23</v>
      </c>
      <c r="D795" s="8">
        <v>0.14000000000000001</v>
      </c>
      <c r="E795">
        <v>4</v>
      </c>
      <c r="F795" s="10">
        <f>(WYNAJEM4[[#This Row],[data_wyjazdu]]-WYNAJEM4[[#This Row],[data_przyjazdu]])</f>
        <v>25</v>
      </c>
      <c r="G795" s="9">
        <f xml:space="preserve"> WYNAJEM4[[#This Row],[energia]] + WYNAJEM4[[#This Row],[woda]]</f>
        <v>5.37</v>
      </c>
      <c r="H795" s="8">
        <f xml:space="preserve"> (10 * WYNAJEM4[[#This Row],[typ]] * WYNAJEM4[[#This Row],[czas wynajecia domku]])</f>
        <v>1000</v>
      </c>
      <c r="I795" s="9">
        <f xml:space="preserve"> WYNAJEM4[[#This Row],[suma energia i woda]] + WYNAJEM4[[#This Row],[czynsz]]</f>
        <v>1005.37</v>
      </c>
    </row>
    <row r="796" spans="1:9" x14ac:dyDescent="0.25">
      <c r="A796" s="1">
        <v>41959</v>
      </c>
      <c r="B796" s="1">
        <v>41983</v>
      </c>
      <c r="C796" s="8">
        <v>6.23</v>
      </c>
      <c r="D796" s="8">
        <v>0.16</v>
      </c>
      <c r="E796">
        <v>2</v>
      </c>
      <c r="F796" s="10">
        <f>(WYNAJEM4[[#This Row],[data_wyjazdu]]-WYNAJEM4[[#This Row],[data_przyjazdu]])</f>
        <v>24</v>
      </c>
      <c r="G796" s="9">
        <f xml:space="preserve"> WYNAJEM4[[#This Row],[energia]] + WYNAJEM4[[#This Row],[woda]]</f>
        <v>6.3900000000000006</v>
      </c>
      <c r="H796" s="8">
        <f xml:space="preserve"> (10 * WYNAJEM4[[#This Row],[typ]] * WYNAJEM4[[#This Row],[czas wynajecia domku]])</f>
        <v>480</v>
      </c>
      <c r="I796" s="9">
        <f xml:space="preserve"> WYNAJEM4[[#This Row],[suma energia i woda]] + WYNAJEM4[[#This Row],[czynsz]]</f>
        <v>486.39</v>
      </c>
    </row>
    <row r="797" spans="1:9" x14ac:dyDescent="0.25">
      <c r="A797" s="1">
        <v>41959</v>
      </c>
      <c r="B797" s="1">
        <v>41971</v>
      </c>
      <c r="C797" s="8">
        <v>16.55</v>
      </c>
      <c r="D797" s="8">
        <v>0.44</v>
      </c>
      <c r="E797">
        <v>5</v>
      </c>
      <c r="F797" s="10">
        <f>(WYNAJEM4[[#This Row],[data_wyjazdu]]-WYNAJEM4[[#This Row],[data_przyjazdu]])</f>
        <v>12</v>
      </c>
      <c r="G797" s="9">
        <f xml:space="preserve"> WYNAJEM4[[#This Row],[energia]] + WYNAJEM4[[#This Row],[woda]]</f>
        <v>16.990000000000002</v>
      </c>
      <c r="H797" s="8">
        <f xml:space="preserve"> (10 * WYNAJEM4[[#This Row],[typ]] * WYNAJEM4[[#This Row],[czas wynajecia domku]])</f>
        <v>600</v>
      </c>
      <c r="I797" s="9">
        <f xml:space="preserve"> WYNAJEM4[[#This Row],[suma energia i woda]] + WYNAJEM4[[#This Row],[czynsz]]</f>
        <v>616.99</v>
      </c>
    </row>
    <row r="798" spans="1:9" x14ac:dyDescent="0.25">
      <c r="A798" s="1">
        <v>41959</v>
      </c>
      <c r="B798" s="1">
        <v>41966</v>
      </c>
      <c r="C798" s="8">
        <v>5.78</v>
      </c>
      <c r="D798" s="8">
        <v>0.15</v>
      </c>
      <c r="E798">
        <v>6</v>
      </c>
      <c r="F798" s="10">
        <f>(WYNAJEM4[[#This Row],[data_wyjazdu]]-WYNAJEM4[[#This Row],[data_przyjazdu]])</f>
        <v>7</v>
      </c>
      <c r="G798" s="9">
        <f xml:space="preserve"> WYNAJEM4[[#This Row],[energia]] + WYNAJEM4[[#This Row],[woda]]</f>
        <v>5.9300000000000006</v>
      </c>
      <c r="H798" s="8">
        <f xml:space="preserve"> (10 * WYNAJEM4[[#This Row],[typ]] * WYNAJEM4[[#This Row],[czas wynajecia domku]])</f>
        <v>420</v>
      </c>
      <c r="I798" s="9">
        <f xml:space="preserve"> WYNAJEM4[[#This Row],[suma energia i woda]] + WYNAJEM4[[#This Row],[czynsz]]</f>
        <v>425.93</v>
      </c>
    </row>
    <row r="799" spans="1:9" x14ac:dyDescent="0.25">
      <c r="A799" s="1">
        <v>41959</v>
      </c>
      <c r="B799" s="1">
        <v>41978</v>
      </c>
      <c r="C799" s="8">
        <v>11.69</v>
      </c>
      <c r="D799" s="8">
        <v>0.31</v>
      </c>
      <c r="E799">
        <v>5</v>
      </c>
      <c r="F799" s="10">
        <f>(WYNAJEM4[[#This Row],[data_wyjazdu]]-WYNAJEM4[[#This Row],[data_przyjazdu]])</f>
        <v>19</v>
      </c>
      <c r="G799" s="9">
        <f xml:space="preserve"> WYNAJEM4[[#This Row],[energia]] + WYNAJEM4[[#This Row],[woda]]</f>
        <v>12</v>
      </c>
      <c r="H799" s="8">
        <f xml:space="preserve"> (10 * WYNAJEM4[[#This Row],[typ]] * WYNAJEM4[[#This Row],[czas wynajecia domku]])</f>
        <v>950</v>
      </c>
      <c r="I799" s="9">
        <f xml:space="preserve"> WYNAJEM4[[#This Row],[suma energia i woda]] + WYNAJEM4[[#This Row],[czynsz]]</f>
        <v>962</v>
      </c>
    </row>
    <row r="800" spans="1:9" x14ac:dyDescent="0.25">
      <c r="A800" s="1">
        <v>41959</v>
      </c>
      <c r="B800" s="1">
        <v>41985</v>
      </c>
      <c r="C800" s="8">
        <v>11.78</v>
      </c>
      <c r="D800" s="8">
        <v>0.31</v>
      </c>
      <c r="E800">
        <v>2</v>
      </c>
      <c r="F800" s="10">
        <f>(WYNAJEM4[[#This Row],[data_wyjazdu]]-WYNAJEM4[[#This Row],[data_przyjazdu]])</f>
        <v>26</v>
      </c>
      <c r="G800" s="9">
        <f xml:space="preserve"> WYNAJEM4[[#This Row],[energia]] + WYNAJEM4[[#This Row],[woda]]</f>
        <v>12.09</v>
      </c>
      <c r="H800" s="8">
        <f xml:space="preserve"> (10 * WYNAJEM4[[#This Row],[typ]] * WYNAJEM4[[#This Row],[czas wynajecia domku]])</f>
        <v>520</v>
      </c>
      <c r="I800" s="9">
        <f xml:space="preserve"> WYNAJEM4[[#This Row],[suma energia i woda]] + WYNAJEM4[[#This Row],[czynsz]]</f>
        <v>532.09</v>
      </c>
    </row>
    <row r="801" spans="1:9" x14ac:dyDescent="0.25">
      <c r="A801" s="1">
        <v>41959</v>
      </c>
      <c r="B801" s="1">
        <v>41974</v>
      </c>
      <c r="C801" s="8">
        <v>8.39</v>
      </c>
      <c r="D801" s="8">
        <v>0.22</v>
      </c>
      <c r="E801">
        <v>6</v>
      </c>
      <c r="F801" s="10">
        <f>(WYNAJEM4[[#This Row],[data_wyjazdu]]-WYNAJEM4[[#This Row],[data_przyjazdu]])</f>
        <v>15</v>
      </c>
      <c r="G801" s="9">
        <f xml:space="preserve"> WYNAJEM4[[#This Row],[energia]] + WYNAJEM4[[#This Row],[woda]]</f>
        <v>8.6100000000000012</v>
      </c>
      <c r="H801" s="8">
        <f xml:space="preserve"> (10 * WYNAJEM4[[#This Row],[typ]] * WYNAJEM4[[#This Row],[czas wynajecia domku]])</f>
        <v>900</v>
      </c>
      <c r="I801" s="9">
        <f xml:space="preserve"> WYNAJEM4[[#This Row],[suma energia i woda]] + WYNAJEM4[[#This Row],[czynsz]]</f>
        <v>908.61</v>
      </c>
    </row>
    <row r="802" spans="1:9" x14ac:dyDescent="0.25">
      <c r="A802" s="1">
        <v>41959</v>
      </c>
      <c r="B802" s="1">
        <v>41976</v>
      </c>
      <c r="C802" s="8">
        <v>6.75</v>
      </c>
      <c r="D802" s="8">
        <v>0.18</v>
      </c>
      <c r="E802">
        <v>6</v>
      </c>
      <c r="F802" s="10">
        <f>(WYNAJEM4[[#This Row],[data_wyjazdu]]-WYNAJEM4[[#This Row],[data_przyjazdu]])</f>
        <v>17</v>
      </c>
      <c r="G802" s="9">
        <f xml:space="preserve"> WYNAJEM4[[#This Row],[energia]] + WYNAJEM4[[#This Row],[woda]]</f>
        <v>6.93</v>
      </c>
      <c r="H802" s="8">
        <f xml:space="preserve"> (10 * WYNAJEM4[[#This Row],[typ]] * WYNAJEM4[[#This Row],[czas wynajecia domku]])</f>
        <v>1020</v>
      </c>
      <c r="I802" s="9">
        <f xml:space="preserve"> WYNAJEM4[[#This Row],[suma energia i woda]] + WYNAJEM4[[#This Row],[czynsz]]</f>
        <v>1026.93</v>
      </c>
    </row>
    <row r="803" spans="1:9" x14ac:dyDescent="0.25">
      <c r="A803" s="1">
        <v>41960</v>
      </c>
      <c r="B803" s="1">
        <v>41964</v>
      </c>
      <c r="C803" s="8">
        <v>3.94</v>
      </c>
      <c r="D803" s="8">
        <v>0.1</v>
      </c>
      <c r="E803">
        <v>6</v>
      </c>
      <c r="F803" s="10">
        <f>(WYNAJEM4[[#This Row],[data_wyjazdu]]-WYNAJEM4[[#This Row],[data_przyjazdu]])</f>
        <v>4</v>
      </c>
      <c r="G803" s="9">
        <f xml:space="preserve"> WYNAJEM4[[#This Row],[energia]] + WYNAJEM4[[#This Row],[woda]]</f>
        <v>4.04</v>
      </c>
      <c r="H803" s="8">
        <f xml:space="preserve"> (10 * WYNAJEM4[[#This Row],[typ]] * WYNAJEM4[[#This Row],[czas wynajecia domku]])</f>
        <v>240</v>
      </c>
      <c r="I803" s="9">
        <f xml:space="preserve"> WYNAJEM4[[#This Row],[suma energia i woda]] + WYNAJEM4[[#This Row],[czynsz]]</f>
        <v>244.04</v>
      </c>
    </row>
    <row r="804" spans="1:9" x14ac:dyDescent="0.25">
      <c r="A804" s="1">
        <v>41960</v>
      </c>
      <c r="B804" s="1">
        <v>41980</v>
      </c>
      <c r="C804" s="8">
        <v>3.57</v>
      </c>
      <c r="D804" s="8">
        <v>0.09</v>
      </c>
      <c r="E804">
        <v>6</v>
      </c>
      <c r="F804" s="10">
        <f>(WYNAJEM4[[#This Row],[data_wyjazdu]]-WYNAJEM4[[#This Row],[data_przyjazdu]])</f>
        <v>20</v>
      </c>
      <c r="G804" s="9">
        <f xml:space="preserve"> WYNAJEM4[[#This Row],[energia]] + WYNAJEM4[[#This Row],[woda]]</f>
        <v>3.6599999999999997</v>
      </c>
      <c r="H804" s="8">
        <f xml:space="preserve"> (10 * WYNAJEM4[[#This Row],[typ]] * WYNAJEM4[[#This Row],[czas wynajecia domku]])</f>
        <v>1200</v>
      </c>
      <c r="I804" s="9">
        <f xml:space="preserve"> WYNAJEM4[[#This Row],[suma energia i woda]] + WYNAJEM4[[#This Row],[czynsz]]</f>
        <v>1203.6600000000001</v>
      </c>
    </row>
    <row r="805" spans="1:9" x14ac:dyDescent="0.25">
      <c r="A805" s="1">
        <v>41960</v>
      </c>
      <c r="B805" s="1">
        <v>41980</v>
      </c>
      <c r="C805" s="8">
        <v>14.13</v>
      </c>
      <c r="D805" s="8">
        <v>0.37</v>
      </c>
      <c r="E805">
        <v>5</v>
      </c>
      <c r="F805" s="10">
        <f>(WYNAJEM4[[#This Row],[data_wyjazdu]]-WYNAJEM4[[#This Row],[data_przyjazdu]])</f>
        <v>20</v>
      </c>
      <c r="G805" s="9">
        <f xml:space="preserve"> WYNAJEM4[[#This Row],[energia]] + WYNAJEM4[[#This Row],[woda]]</f>
        <v>14.5</v>
      </c>
      <c r="H805" s="8">
        <f xml:space="preserve"> (10 * WYNAJEM4[[#This Row],[typ]] * WYNAJEM4[[#This Row],[czas wynajecia domku]])</f>
        <v>1000</v>
      </c>
      <c r="I805" s="9">
        <f xml:space="preserve"> WYNAJEM4[[#This Row],[suma energia i woda]] + WYNAJEM4[[#This Row],[czynsz]]</f>
        <v>1014.5</v>
      </c>
    </row>
    <row r="806" spans="1:9" x14ac:dyDescent="0.25">
      <c r="A806" s="1">
        <v>41960</v>
      </c>
      <c r="B806" s="1">
        <v>41967</v>
      </c>
      <c r="C806" s="8">
        <v>5.57</v>
      </c>
      <c r="D806" s="8">
        <v>0.15</v>
      </c>
      <c r="E806">
        <v>2</v>
      </c>
      <c r="F806" s="10">
        <f>(WYNAJEM4[[#This Row],[data_wyjazdu]]-WYNAJEM4[[#This Row],[data_przyjazdu]])</f>
        <v>7</v>
      </c>
      <c r="G806" s="9">
        <f xml:space="preserve"> WYNAJEM4[[#This Row],[energia]] + WYNAJEM4[[#This Row],[woda]]</f>
        <v>5.7200000000000006</v>
      </c>
      <c r="H806" s="8">
        <f xml:space="preserve"> (10 * WYNAJEM4[[#This Row],[typ]] * WYNAJEM4[[#This Row],[czas wynajecia domku]])</f>
        <v>140</v>
      </c>
      <c r="I806" s="9">
        <f xml:space="preserve"> WYNAJEM4[[#This Row],[suma energia i woda]] + WYNAJEM4[[#This Row],[czynsz]]</f>
        <v>145.72</v>
      </c>
    </row>
    <row r="807" spans="1:9" x14ac:dyDescent="0.25">
      <c r="A807" s="1">
        <v>41960</v>
      </c>
      <c r="B807" s="1">
        <v>41979</v>
      </c>
      <c r="C807" s="8">
        <v>8.7200000000000006</v>
      </c>
      <c r="D807" s="8">
        <v>0.23</v>
      </c>
      <c r="E807">
        <v>2</v>
      </c>
      <c r="F807" s="10">
        <f>(WYNAJEM4[[#This Row],[data_wyjazdu]]-WYNAJEM4[[#This Row],[data_przyjazdu]])</f>
        <v>19</v>
      </c>
      <c r="G807" s="9">
        <f xml:space="preserve"> WYNAJEM4[[#This Row],[energia]] + WYNAJEM4[[#This Row],[woda]]</f>
        <v>8.9500000000000011</v>
      </c>
      <c r="H807" s="8">
        <f xml:space="preserve"> (10 * WYNAJEM4[[#This Row],[typ]] * WYNAJEM4[[#This Row],[czas wynajecia domku]])</f>
        <v>380</v>
      </c>
      <c r="I807" s="9">
        <f xml:space="preserve"> WYNAJEM4[[#This Row],[suma energia i woda]] + WYNAJEM4[[#This Row],[czynsz]]</f>
        <v>388.95</v>
      </c>
    </row>
    <row r="808" spans="1:9" x14ac:dyDescent="0.25">
      <c r="A808" s="1">
        <v>41961</v>
      </c>
      <c r="B808" s="1">
        <v>41987</v>
      </c>
      <c r="C808" s="8">
        <v>5.67</v>
      </c>
      <c r="D808" s="8">
        <v>0.15</v>
      </c>
      <c r="E808">
        <v>3</v>
      </c>
      <c r="F808" s="10">
        <f>(WYNAJEM4[[#This Row],[data_wyjazdu]]-WYNAJEM4[[#This Row],[data_przyjazdu]])</f>
        <v>26</v>
      </c>
      <c r="G808" s="9">
        <f xml:space="preserve"> WYNAJEM4[[#This Row],[energia]] + WYNAJEM4[[#This Row],[woda]]</f>
        <v>5.82</v>
      </c>
      <c r="H808" s="8">
        <f xml:space="preserve"> (10 * WYNAJEM4[[#This Row],[typ]] * WYNAJEM4[[#This Row],[czas wynajecia domku]])</f>
        <v>780</v>
      </c>
      <c r="I808" s="9">
        <f xml:space="preserve"> WYNAJEM4[[#This Row],[suma energia i woda]] + WYNAJEM4[[#This Row],[czynsz]]</f>
        <v>785.82</v>
      </c>
    </row>
    <row r="809" spans="1:9" x14ac:dyDescent="0.25">
      <c r="A809" s="1">
        <v>41961</v>
      </c>
      <c r="B809" s="1">
        <v>41972</v>
      </c>
      <c r="C809" s="8">
        <v>3.94</v>
      </c>
      <c r="D809" s="8">
        <v>0.1</v>
      </c>
      <c r="E809">
        <v>4</v>
      </c>
      <c r="F809" s="10">
        <f>(WYNAJEM4[[#This Row],[data_wyjazdu]]-WYNAJEM4[[#This Row],[data_przyjazdu]])</f>
        <v>11</v>
      </c>
      <c r="G809" s="9">
        <f xml:space="preserve"> WYNAJEM4[[#This Row],[energia]] + WYNAJEM4[[#This Row],[woda]]</f>
        <v>4.04</v>
      </c>
      <c r="H809" s="8">
        <f xml:space="preserve"> (10 * WYNAJEM4[[#This Row],[typ]] * WYNAJEM4[[#This Row],[czas wynajecia domku]])</f>
        <v>440</v>
      </c>
      <c r="I809" s="9">
        <f xml:space="preserve"> WYNAJEM4[[#This Row],[suma energia i woda]] + WYNAJEM4[[#This Row],[czynsz]]</f>
        <v>444.04</v>
      </c>
    </row>
    <row r="810" spans="1:9" x14ac:dyDescent="0.25">
      <c r="A810" s="1">
        <v>41961</v>
      </c>
      <c r="B810" s="1">
        <v>41966</v>
      </c>
      <c r="C810" s="8">
        <v>5.67</v>
      </c>
      <c r="D810" s="8">
        <v>0.15</v>
      </c>
      <c r="E810">
        <v>3</v>
      </c>
      <c r="F810" s="10">
        <f>(WYNAJEM4[[#This Row],[data_wyjazdu]]-WYNAJEM4[[#This Row],[data_przyjazdu]])</f>
        <v>5</v>
      </c>
      <c r="G810" s="9">
        <f xml:space="preserve"> WYNAJEM4[[#This Row],[energia]] + WYNAJEM4[[#This Row],[woda]]</f>
        <v>5.82</v>
      </c>
      <c r="H810" s="8">
        <f xml:space="preserve"> (10 * WYNAJEM4[[#This Row],[typ]] * WYNAJEM4[[#This Row],[czas wynajecia domku]])</f>
        <v>150</v>
      </c>
      <c r="I810" s="9">
        <f xml:space="preserve"> WYNAJEM4[[#This Row],[suma energia i woda]] + WYNAJEM4[[#This Row],[czynsz]]</f>
        <v>155.82</v>
      </c>
    </row>
    <row r="811" spans="1:9" x14ac:dyDescent="0.25">
      <c r="A811" s="1">
        <v>41962</v>
      </c>
      <c r="B811" s="1">
        <v>41984</v>
      </c>
      <c r="C811" s="8">
        <v>6.34</v>
      </c>
      <c r="D811" s="8">
        <v>0.17</v>
      </c>
      <c r="E811">
        <v>6</v>
      </c>
      <c r="F811" s="10">
        <f>(WYNAJEM4[[#This Row],[data_wyjazdu]]-WYNAJEM4[[#This Row],[data_przyjazdu]])</f>
        <v>22</v>
      </c>
      <c r="G811" s="9">
        <f xml:space="preserve"> WYNAJEM4[[#This Row],[energia]] + WYNAJEM4[[#This Row],[woda]]</f>
        <v>6.51</v>
      </c>
      <c r="H811" s="8">
        <f xml:space="preserve"> (10 * WYNAJEM4[[#This Row],[typ]] * WYNAJEM4[[#This Row],[czas wynajecia domku]])</f>
        <v>1320</v>
      </c>
      <c r="I811" s="9">
        <f xml:space="preserve"> WYNAJEM4[[#This Row],[suma energia i woda]] + WYNAJEM4[[#This Row],[czynsz]]</f>
        <v>1326.51</v>
      </c>
    </row>
    <row r="812" spans="1:9" x14ac:dyDescent="0.25">
      <c r="A812" s="1">
        <v>41962</v>
      </c>
      <c r="B812" s="1">
        <v>41970</v>
      </c>
      <c r="C812" s="8">
        <v>2.0099999999999998</v>
      </c>
      <c r="D812" s="8">
        <v>0.05</v>
      </c>
      <c r="E812">
        <v>4</v>
      </c>
      <c r="F812" s="10">
        <f>(WYNAJEM4[[#This Row],[data_wyjazdu]]-WYNAJEM4[[#This Row],[data_przyjazdu]])</f>
        <v>8</v>
      </c>
      <c r="G812" s="9">
        <f xml:space="preserve"> WYNAJEM4[[#This Row],[energia]] + WYNAJEM4[[#This Row],[woda]]</f>
        <v>2.0599999999999996</v>
      </c>
      <c r="H812" s="8">
        <f xml:space="preserve"> (10 * WYNAJEM4[[#This Row],[typ]] * WYNAJEM4[[#This Row],[czas wynajecia domku]])</f>
        <v>320</v>
      </c>
      <c r="I812" s="9">
        <f xml:space="preserve"> WYNAJEM4[[#This Row],[suma energia i woda]] + WYNAJEM4[[#This Row],[czynsz]]</f>
        <v>322.06</v>
      </c>
    </row>
    <row r="813" spans="1:9" x14ac:dyDescent="0.25">
      <c r="A813" s="1">
        <v>41962</v>
      </c>
      <c r="B813" s="1">
        <v>41972</v>
      </c>
      <c r="C813" s="8">
        <v>5.67</v>
      </c>
      <c r="D813" s="8">
        <v>0.15</v>
      </c>
      <c r="E813">
        <v>3</v>
      </c>
      <c r="F813" s="10">
        <f>(WYNAJEM4[[#This Row],[data_wyjazdu]]-WYNAJEM4[[#This Row],[data_przyjazdu]])</f>
        <v>10</v>
      </c>
      <c r="G813" s="9">
        <f xml:space="preserve"> WYNAJEM4[[#This Row],[energia]] + WYNAJEM4[[#This Row],[woda]]</f>
        <v>5.82</v>
      </c>
      <c r="H813" s="8">
        <f xml:space="preserve"> (10 * WYNAJEM4[[#This Row],[typ]] * WYNAJEM4[[#This Row],[czas wynajecia domku]])</f>
        <v>300</v>
      </c>
      <c r="I813" s="9">
        <f xml:space="preserve"> WYNAJEM4[[#This Row],[suma energia i woda]] + WYNAJEM4[[#This Row],[czynsz]]</f>
        <v>305.82</v>
      </c>
    </row>
    <row r="814" spans="1:9" x14ac:dyDescent="0.25">
      <c r="A814" s="1">
        <v>41962</v>
      </c>
      <c r="B814" s="1">
        <v>41969</v>
      </c>
      <c r="C814" s="8">
        <v>6.43</v>
      </c>
      <c r="D814" s="8">
        <v>0.17</v>
      </c>
      <c r="E814">
        <v>5</v>
      </c>
      <c r="F814" s="10">
        <f>(WYNAJEM4[[#This Row],[data_wyjazdu]]-WYNAJEM4[[#This Row],[data_przyjazdu]])</f>
        <v>7</v>
      </c>
      <c r="G814" s="9">
        <f xml:space="preserve"> WYNAJEM4[[#This Row],[energia]] + WYNAJEM4[[#This Row],[woda]]</f>
        <v>6.6</v>
      </c>
      <c r="H814" s="8">
        <f xml:space="preserve"> (10 * WYNAJEM4[[#This Row],[typ]] * WYNAJEM4[[#This Row],[czas wynajecia domku]])</f>
        <v>350</v>
      </c>
      <c r="I814" s="9">
        <f xml:space="preserve"> WYNAJEM4[[#This Row],[suma energia i woda]] + WYNAJEM4[[#This Row],[czynsz]]</f>
        <v>356.6</v>
      </c>
    </row>
    <row r="815" spans="1:9" x14ac:dyDescent="0.25">
      <c r="A815" s="1">
        <v>41963</v>
      </c>
      <c r="B815" s="1">
        <v>41971</v>
      </c>
      <c r="C815" s="8">
        <v>8.39</v>
      </c>
      <c r="D815" s="8">
        <v>0.22</v>
      </c>
      <c r="E815">
        <v>6</v>
      </c>
      <c r="F815" s="10">
        <f>(WYNAJEM4[[#This Row],[data_wyjazdu]]-WYNAJEM4[[#This Row],[data_przyjazdu]])</f>
        <v>8</v>
      </c>
      <c r="G815" s="9">
        <f xml:space="preserve"> WYNAJEM4[[#This Row],[energia]] + WYNAJEM4[[#This Row],[woda]]</f>
        <v>8.6100000000000012</v>
      </c>
      <c r="H815" s="8">
        <f xml:space="preserve"> (10 * WYNAJEM4[[#This Row],[typ]] * WYNAJEM4[[#This Row],[czas wynajecia domku]])</f>
        <v>480</v>
      </c>
      <c r="I815" s="9">
        <f xml:space="preserve"> WYNAJEM4[[#This Row],[suma energia i woda]] + WYNAJEM4[[#This Row],[czynsz]]</f>
        <v>488.61</v>
      </c>
    </row>
    <row r="816" spans="1:9" x14ac:dyDescent="0.25">
      <c r="A816" s="1">
        <v>41963</v>
      </c>
      <c r="B816" s="1">
        <v>41968</v>
      </c>
      <c r="C816" s="8">
        <v>5.67</v>
      </c>
      <c r="D816" s="8">
        <v>0.15</v>
      </c>
      <c r="E816">
        <v>5</v>
      </c>
      <c r="F816" s="10">
        <f>(WYNAJEM4[[#This Row],[data_wyjazdu]]-WYNAJEM4[[#This Row],[data_przyjazdu]])</f>
        <v>5</v>
      </c>
      <c r="G816" s="9">
        <f xml:space="preserve"> WYNAJEM4[[#This Row],[energia]] + WYNAJEM4[[#This Row],[woda]]</f>
        <v>5.82</v>
      </c>
      <c r="H816" s="8">
        <f xml:space="preserve"> (10 * WYNAJEM4[[#This Row],[typ]] * WYNAJEM4[[#This Row],[czas wynajecia domku]])</f>
        <v>250</v>
      </c>
      <c r="I816" s="9">
        <f xml:space="preserve"> WYNAJEM4[[#This Row],[suma energia i woda]] + WYNAJEM4[[#This Row],[czynsz]]</f>
        <v>255.82</v>
      </c>
    </row>
    <row r="817" spans="1:9" x14ac:dyDescent="0.25">
      <c r="A817" s="1">
        <v>41963</v>
      </c>
      <c r="B817" s="1">
        <v>41965</v>
      </c>
      <c r="C817" s="8">
        <v>2.72</v>
      </c>
      <c r="D817" s="8">
        <v>7.0000000000000007E-2</v>
      </c>
      <c r="E817">
        <v>2</v>
      </c>
      <c r="F817" s="10">
        <f>(WYNAJEM4[[#This Row],[data_wyjazdu]]-WYNAJEM4[[#This Row],[data_przyjazdu]])</f>
        <v>2</v>
      </c>
      <c r="G817" s="9">
        <f xml:space="preserve"> WYNAJEM4[[#This Row],[energia]] + WYNAJEM4[[#This Row],[woda]]</f>
        <v>2.79</v>
      </c>
      <c r="H817" s="8">
        <f xml:space="preserve"> (10 * WYNAJEM4[[#This Row],[typ]] * WYNAJEM4[[#This Row],[czas wynajecia domku]])</f>
        <v>40</v>
      </c>
      <c r="I817" s="9">
        <f xml:space="preserve"> WYNAJEM4[[#This Row],[suma energia i woda]] + WYNAJEM4[[#This Row],[czynsz]]</f>
        <v>42.79</v>
      </c>
    </row>
    <row r="818" spans="1:9" x14ac:dyDescent="0.25">
      <c r="A818" s="1">
        <v>41964</v>
      </c>
      <c r="B818" s="1">
        <v>41980</v>
      </c>
      <c r="C818" s="8">
        <v>7.31</v>
      </c>
      <c r="D818" s="8">
        <v>0.19</v>
      </c>
      <c r="E818">
        <v>4</v>
      </c>
      <c r="F818" s="10">
        <f>(WYNAJEM4[[#This Row],[data_wyjazdu]]-WYNAJEM4[[#This Row],[data_przyjazdu]])</f>
        <v>16</v>
      </c>
      <c r="G818" s="9">
        <f xml:space="preserve"> WYNAJEM4[[#This Row],[energia]] + WYNAJEM4[[#This Row],[woda]]</f>
        <v>7.5</v>
      </c>
      <c r="H818" s="8">
        <f xml:space="preserve"> (10 * WYNAJEM4[[#This Row],[typ]] * WYNAJEM4[[#This Row],[czas wynajecia domku]])</f>
        <v>640</v>
      </c>
      <c r="I818" s="9">
        <f xml:space="preserve"> WYNAJEM4[[#This Row],[suma energia i woda]] + WYNAJEM4[[#This Row],[czynsz]]</f>
        <v>647.5</v>
      </c>
    </row>
    <row r="819" spans="1:9" x14ac:dyDescent="0.25">
      <c r="A819" s="1">
        <v>41964</v>
      </c>
      <c r="B819" s="1">
        <v>41990</v>
      </c>
      <c r="C819" s="8">
        <v>5.23</v>
      </c>
      <c r="D819" s="8">
        <v>0.14000000000000001</v>
      </c>
      <c r="E819">
        <v>6</v>
      </c>
      <c r="F819" s="10">
        <f>(WYNAJEM4[[#This Row],[data_wyjazdu]]-WYNAJEM4[[#This Row],[data_przyjazdu]])</f>
        <v>26</v>
      </c>
      <c r="G819" s="9">
        <f xml:space="preserve"> WYNAJEM4[[#This Row],[energia]] + WYNAJEM4[[#This Row],[woda]]</f>
        <v>5.37</v>
      </c>
      <c r="H819" s="8">
        <f xml:space="preserve"> (10 * WYNAJEM4[[#This Row],[typ]] * WYNAJEM4[[#This Row],[czas wynajecia domku]])</f>
        <v>1560</v>
      </c>
      <c r="I819" s="9">
        <f xml:space="preserve"> WYNAJEM4[[#This Row],[suma energia i woda]] + WYNAJEM4[[#This Row],[czynsz]]</f>
        <v>1565.37</v>
      </c>
    </row>
    <row r="820" spans="1:9" x14ac:dyDescent="0.25">
      <c r="A820" s="1">
        <v>41965</v>
      </c>
      <c r="B820" s="1">
        <v>41968</v>
      </c>
      <c r="C820" s="8">
        <v>8.83</v>
      </c>
      <c r="D820" s="8">
        <v>0.23</v>
      </c>
      <c r="E820">
        <v>6</v>
      </c>
      <c r="F820" s="10">
        <f>(WYNAJEM4[[#This Row],[data_wyjazdu]]-WYNAJEM4[[#This Row],[data_przyjazdu]])</f>
        <v>3</v>
      </c>
      <c r="G820" s="9">
        <f xml:space="preserve"> WYNAJEM4[[#This Row],[energia]] + WYNAJEM4[[#This Row],[woda]]</f>
        <v>9.06</v>
      </c>
      <c r="H820" s="8">
        <f xml:space="preserve"> (10 * WYNAJEM4[[#This Row],[typ]] * WYNAJEM4[[#This Row],[czas wynajecia domku]])</f>
        <v>180</v>
      </c>
      <c r="I820" s="9">
        <f xml:space="preserve"> WYNAJEM4[[#This Row],[suma energia i woda]] + WYNAJEM4[[#This Row],[czynsz]]</f>
        <v>189.06</v>
      </c>
    </row>
    <row r="821" spans="1:9" x14ac:dyDescent="0.25">
      <c r="A821" s="1">
        <v>41965</v>
      </c>
      <c r="B821" s="1">
        <v>41971</v>
      </c>
      <c r="C821" s="8">
        <v>2.0099999999999998</v>
      </c>
      <c r="D821" s="8">
        <v>0.05</v>
      </c>
      <c r="E821">
        <v>5</v>
      </c>
      <c r="F821" s="10">
        <f>(WYNAJEM4[[#This Row],[data_wyjazdu]]-WYNAJEM4[[#This Row],[data_przyjazdu]])</f>
        <v>6</v>
      </c>
      <c r="G821" s="9">
        <f xml:space="preserve"> WYNAJEM4[[#This Row],[energia]] + WYNAJEM4[[#This Row],[woda]]</f>
        <v>2.0599999999999996</v>
      </c>
      <c r="H821" s="8">
        <f xml:space="preserve"> (10 * WYNAJEM4[[#This Row],[typ]] * WYNAJEM4[[#This Row],[czas wynajecia domku]])</f>
        <v>300</v>
      </c>
      <c r="I821" s="9">
        <f xml:space="preserve"> WYNAJEM4[[#This Row],[suma energia i woda]] + WYNAJEM4[[#This Row],[czynsz]]</f>
        <v>302.06</v>
      </c>
    </row>
    <row r="822" spans="1:9" x14ac:dyDescent="0.25">
      <c r="A822" s="1">
        <v>41965</v>
      </c>
      <c r="B822" s="1">
        <v>41983</v>
      </c>
      <c r="C822" s="8">
        <v>8.89</v>
      </c>
      <c r="D822" s="8">
        <v>0.23</v>
      </c>
      <c r="E822">
        <v>6</v>
      </c>
      <c r="F822" s="10">
        <f>(WYNAJEM4[[#This Row],[data_wyjazdu]]-WYNAJEM4[[#This Row],[data_przyjazdu]])</f>
        <v>18</v>
      </c>
      <c r="G822" s="9">
        <f xml:space="preserve"> WYNAJEM4[[#This Row],[energia]] + WYNAJEM4[[#This Row],[woda]]</f>
        <v>9.120000000000001</v>
      </c>
      <c r="H822" s="8">
        <f xml:space="preserve"> (10 * WYNAJEM4[[#This Row],[typ]] * WYNAJEM4[[#This Row],[czas wynajecia domku]])</f>
        <v>1080</v>
      </c>
      <c r="I822" s="9">
        <f xml:space="preserve"> WYNAJEM4[[#This Row],[suma energia i woda]] + WYNAJEM4[[#This Row],[czynsz]]</f>
        <v>1089.1199999999999</v>
      </c>
    </row>
    <row r="823" spans="1:9" x14ac:dyDescent="0.25">
      <c r="A823" s="1">
        <v>41965</v>
      </c>
      <c r="B823" s="1">
        <v>41984</v>
      </c>
      <c r="C823" s="8">
        <v>6.34</v>
      </c>
      <c r="D823" s="8">
        <v>0.17</v>
      </c>
      <c r="E823">
        <v>6</v>
      </c>
      <c r="F823" s="10">
        <f>(WYNAJEM4[[#This Row],[data_wyjazdu]]-WYNAJEM4[[#This Row],[data_przyjazdu]])</f>
        <v>19</v>
      </c>
      <c r="G823" s="9">
        <f xml:space="preserve"> WYNAJEM4[[#This Row],[energia]] + WYNAJEM4[[#This Row],[woda]]</f>
        <v>6.51</v>
      </c>
      <c r="H823" s="8">
        <f xml:space="preserve"> (10 * WYNAJEM4[[#This Row],[typ]] * WYNAJEM4[[#This Row],[czas wynajecia domku]])</f>
        <v>1140</v>
      </c>
      <c r="I823" s="9">
        <f xml:space="preserve"> WYNAJEM4[[#This Row],[suma energia i woda]] + WYNAJEM4[[#This Row],[czynsz]]</f>
        <v>1146.51</v>
      </c>
    </row>
    <row r="824" spans="1:9" x14ac:dyDescent="0.25">
      <c r="A824" s="1">
        <v>41965</v>
      </c>
      <c r="B824" s="1">
        <v>41968</v>
      </c>
      <c r="C824" s="8">
        <v>14.31</v>
      </c>
      <c r="D824" s="8">
        <v>0.38</v>
      </c>
      <c r="E824">
        <v>3</v>
      </c>
      <c r="F824" s="10">
        <f>(WYNAJEM4[[#This Row],[data_wyjazdu]]-WYNAJEM4[[#This Row],[data_przyjazdu]])</f>
        <v>3</v>
      </c>
      <c r="G824" s="9">
        <f xml:space="preserve"> WYNAJEM4[[#This Row],[energia]] + WYNAJEM4[[#This Row],[woda]]</f>
        <v>14.690000000000001</v>
      </c>
      <c r="H824" s="8">
        <f xml:space="preserve"> (10 * WYNAJEM4[[#This Row],[typ]] * WYNAJEM4[[#This Row],[czas wynajecia domku]])</f>
        <v>90</v>
      </c>
      <c r="I824" s="9">
        <f xml:space="preserve"> WYNAJEM4[[#This Row],[suma energia i woda]] + WYNAJEM4[[#This Row],[czynsz]]</f>
        <v>104.69</v>
      </c>
    </row>
    <row r="825" spans="1:9" x14ac:dyDescent="0.25">
      <c r="A825" s="1">
        <v>41965</v>
      </c>
      <c r="B825" s="1">
        <v>41973</v>
      </c>
      <c r="C825" s="8">
        <v>11.42</v>
      </c>
      <c r="D825" s="8">
        <v>0.3</v>
      </c>
      <c r="E825">
        <v>6</v>
      </c>
      <c r="F825" s="10">
        <f>(WYNAJEM4[[#This Row],[data_wyjazdu]]-WYNAJEM4[[#This Row],[data_przyjazdu]])</f>
        <v>8</v>
      </c>
      <c r="G825" s="9">
        <f xml:space="preserve"> WYNAJEM4[[#This Row],[energia]] + WYNAJEM4[[#This Row],[woda]]</f>
        <v>11.72</v>
      </c>
      <c r="H825" s="8">
        <f xml:space="preserve"> (10 * WYNAJEM4[[#This Row],[typ]] * WYNAJEM4[[#This Row],[czas wynajecia domku]])</f>
        <v>480</v>
      </c>
      <c r="I825" s="9">
        <f xml:space="preserve"> WYNAJEM4[[#This Row],[suma energia i woda]] + WYNAJEM4[[#This Row],[czynsz]]</f>
        <v>491.72</v>
      </c>
    </row>
    <row r="826" spans="1:9" x14ac:dyDescent="0.25">
      <c r="A826" s="1">
        <v>41965</v>
      </c>
      <c r="B826" s="1">
        <v>41969</v>
      </c>
      <c r="C826" s="8">
        <v>9.4600000000000009</v>
      </c>
      <c r="D826" s="8">
        <v>0.25</v>
      </c>
      <c r="E826">
        <v>4</v>
      </c>
      <c r="F826" s="10">
        <f>(WYNAJEM4[[#This Row],[data_wyjazdu]]-WYNAJEM4[[#This Row],[data_przyjazdu]])</f>
        <v>4</v>
      </c>
      <c r="G826" s="9">
        <f xml:space="preserve"> WYNAJEM4[[#This Row],[energia]] + WYNAJEM4[[#This Row],[woda]]</f>
        <v>9.7100000000000009</v>
      </c>
      <c r="H826" s="8">
        <f xml:space="preserve"> (10 * WYNAJEM4[[#This Row],[typ]] * WYNAJEM4[[#This Row],[czas wynajecia domku]])</f>
        <v>160</v>
      </c>
      <c r="I826" s="9">
        <f xml:space="preserve"> WYNAJEM4[[#This Row],[suma energia i woda]] + WYNAJEM4[[#This Row],[czynsz]]</f>
        <v>169.71</v>
      </c>
    </row>
    <row r="827" spans="1:9" x14ac:dyDescent="0.25">
      <c r="A827" s="1">
        <v>41966</v>
      </c>
      <c r="B827" s="1">
        <v>41984</v>
      </c>
      <c r="C827" s="8">
        <v>6.58</v>
      </c>
      <c r="D827" s="8">
        <v>0.17</v>
      </c>
      <c r="E827">
        <v>5</v>
      </c>
      <c r="F827" s="10">
        <f>(WYNAJEM4[[#This Row],[data_wyjazdu]]-WYNAJEM4[[#This Row],[data_przyjazdu]])</f>
        <v>18</v>
      </c>
      <c r="G827" s="9">
        <f xml:space="preserve"> WYNAJEM4[[#This Row],[energia]] + WYNAJEM4[[#This Row],[woda]]</f>
        <v>6.75</v>
      </c>
      <c r="H827" s="8">
        <f xml:space="preserve"> (10 * WYNAJEM4[[#This Row],[typ]] * WYNAJEM4[[#This Row],[czas wynajecia domku]])</f>
        <v>900</v>
      </c>
      <c r="I827" s="9">
        <f xml:space="preserve"> WYNAJEM4[[#This Row],[suma energia i woda]] + WYNAJEM4[[#This Row],[czynsz]]</f>
        <v>906.75</v>
      </c>
    </row>
    <row r="828" spans="1:9" x14ac:dyDescent="0.25">
      <c r="A828" s="1">
        <v>41967</v>
      </c>
      <c r="B828" s="1">
        <v>41991</v>
      </c>
      <c r="C828" s="8">
        <v>11.42</v>
      </c>
      <c r="D828" s="8">
        <v>0.3</v>
      </c>
      <c r="E828">
        <v>4</v>
      </c>
      <c r="F828" s="10">
        <f>(WYNAJEM4[[#This Row],[data_wyjazdu]]-WYNAJEM4[[#This Row],[data_przyjazdu]])</f>
        <v>24</v>
      </c>
      <c r="G828" s="9">
        <f xml:space="preserve"> WYNAJEM4[[#This Row],[energia]] + WYNAJEM4[[#This Row],[woda]]</f>
        <v>11.72</v>
      </c>
      <c r="H828" s="8">
        <f xml:space="preserve"> (10 * WYNAJEM4[[#This Row],[typ]] * WYNAJEM4[[#This Row],[czas wynajecia domku]])</f>
        <v>960</v>
      </c>
      <c r="I828" s="9">
        <f xml:space="preserve"> WYNAJEM4[[#This Row],[suma energia i woda]] + WYNAJEM4[[#This Row],[czynsz]]</f>
        <v>971.72</v>
      </c>
    </row>
    <row r="829" spans="1:9" x14ac:dyDescent="0.25">
      <c r="A829" s="1">
        <v>41967</v>
      </c>
      <c r="B829" s="1">
        <v>41988</v>
      </c>
      <c r="C829" s="8">
        <v>2.29</v>
      </c>
      <c r="D829" s="8">
        <v>0.06</v>
      </c>
      <c r="E829">
        <v>6</v>
      </c>
      <c r="F829" s="10">
        <f>(WYNAJEM4[[#This Row],[data_wyjazdu]]-WYNAJEM4[[#This Row],[data_przyjazdu]])</f>
        <v>21</v>
      </c>
      <c r="G829" s="9">
        <f xml:space="preserve"> WYNAJEM4[[#This Row],[energia]] + WYNAJEM4[[#This Row],[woda]]</f>
        <v>2.35</v>
      </c>
      <c r="H829" s="8">
        <f xml:space="preserve"> (10 * WYNAJEM4[[#This Row],[typ]] * WYNAJEM4[[#This Row],[czas wynajecia domku]])</f>
        <v>1260</v>
      </c>
      <c r="I829" s="9">
        <f xml:space="preserve"> WYNAJEM4[[#This Row],[suma energia i woda]] + WYNAJEM4[[#This Row],[czynsz]]</f>
        <v>1262.3499999999999</v>
      </c>
    </row>
    <row r="830" spans="1:9" x14ac:dyDescent="0.25">
      <c r="A830" s="1">
        <v>41968</v>
      </c>
      <c r="B830" s="1">
        <v>41993</v>
      </c>
      <c r="C830" s="8">
        <v>8.7200000000000006</v>
      </c>
      <c r="D830" s="8">
        <v>0.23</v>
      </c>
      <c r="E830">
        <v>3</v>
      </c>
      <c r="F830" s="10">
        <f>(WYNAJEM4[[#This Row],[data_wyjazdu]]-WYNAJEM4[[#This Row],[data_przyjazdu]])</f>
        <v>25</v>
      </c>
      <c r="G830" s="9">
        <f xml:space="preserve"> WYNAJEM4[[#This Row],[energia]] + WYNAJEM4[[#This Row],[woda]]</f>
        <v>8.9500000000000011</v>
      </c>
      <c r="H830" s="8">
        <f xml:space="preserve"> (10 * WYNAJEM4[[#This Row],[typ]] * WYNAJEM4[[#This Row],[czas wynajecia domku]])</f>
        <v>750</v>
      </c>
      <c r="I830" s="9">
        <f xml:space="preserve"> WYNAJEM4[[#This Row],[suma energia i woda]] + WYNAJEM4[[#This Row],[czynsz]]</f>
        <v>758.95</v>
      </c>
    </row>
    <row r="831" spans="1:9" x14ac:dyDescent="0.25">
      <c r="A831" s="1">
        <v>41968</v>
      </c>
      <c r="B831" s="1">
        <v>41974</v>
      </c>
      <c r="C831" s="8">
        <v>2.29</v>
      </c>
      <c r="D831" s="8">
        <v>0.06</v>
      </c>
      <c r="E831">
        <v>3</v>
      </c>
      <c r="F831" s="10">
        <f>(WYNAJEM4[[#This Row],[data_wyjazdu]]-WYNAJEM4[[#This Row],[data_przyjazdu]])</f>
        <v>6</v>
      </c>
      <c r="G831" s="9">
        <f xml:space="preserve"> WYNAJEM4[[#This Row],[energia]] + WYNAJEM4[[#This Row],[woda]]</f>
        <v>2.35</v>
      </c>
      <c r="H831" s="8">
        <f xml:space="preserve"> (10 * WYNAJEM4[[#This Row],[typ]] * WYNAJEM4[[#This Row],[czas wynajecia domku]])</f>
        <v>180</v>
      </c>
      <c r="I831" s="9">
        <f xml:space="preserve"> WYNAJEM4[[#This Row],[suma energia i woda]] + WYNAJEM4[[#This Row],[czynsz]]</f>
        <v>182.35</v>
      </c>
    </row>
    <row r="832" spans="1:9" x14ac:dyDescent="0.25">
      <c r="A832" s="1">
        <v>41968</v>
      </c>
      <c r="B832" s="1">
        <v>41975</v>
      </c>
      <c r="C832" s="8">
        <v>6.58</v>
      </c>
      <c r="D832" s="8">
        <v>0.17</v>
      </c>
      <c r="E832">
        <v>3</v>
      </c>
      <c r="F832" s="10">
        <f>(WYNAJEM4[[#This Row],[data_wyjazdu]]-WYNAJEM4[[#This Row],[data_przyjazdu]])</f>
        <v>7</v>
      </c>
      <c r="G832" s="9">
        <f xml:space="preserve"> WYNAJEM4[[#This Row],[energia]] + WYNAJEM4[[#This Row],[woda]]</f>
        <v>6.75</v>
      </c>
      <c r="H832" s="8">
        <f xml:space="preserve"> (10 * WYNAJEM4[[#This Row],[typ]] * WYNAJEM4[[#This Row],[czas wynajecia domku]])</f>
        <v>210</v>
      </c>
      <c r="I832" s="9">
        <f xml:space="preserve"> WYNAJEM4[[#This Row],[suma energia i woda]] + WYNAJEM4[[#This Row],[czynsz]]</f>
        <v>216.75</v>
      </c>
    </row>
    <row r="833" spans="1:9" x14ac:dyDescent="0.25">
      <c r="A833" s="1">
        <v>41970</v>
      </c>
      <c r="B833" s="1">
        <v>41972</v>
      </c>
      <c r="C833" s="8">
        <v>7.35</v>
      </c>
      <c r="D833" s="8">
        <v>0.19</v>
      </c>
      <c r="E833">
        <v>6</v>
      </c>
      <c r="F833" s="10">
        <f>(WYNAJEM4[[#This Row],[data_wyjazdu]]-WYNAJEM4[[#This Row],[data_przyjazdu]])</f>
        <v>2</v>
      </c>
      <c r="G833" s="9">
        <f xml:space="preserve"> WYNAJEM4[[#This Row],[energia]] + WYNAJEM4[[#This Row],[woda]]</f>
        <v>7.54</v>
      </c>
      <c r="H833" s="8">
        <f xml:space="preserve"> (10 * WYNAJEM4[[#This Row],[typ]] * WYNAJEM4[[#This Row],[czas wynajecia domku]])</f>
        <v>120</v>
      </c>
      <c r="I833" s="9">
        <f xml:space="preserve"> WYNAJEM4[[#This Row],[suma energia i woda]] + WYNAJEM4[[#This Row],[czynsz]]</f>
        <v>127.54</v>
      </c>
    </row>
    <row r="834" spans="1:9" x14ac:dyDescent="0.25">
      <c r="A834" s="1">
        <v>41970</v>
      </c>
      <c r="B834" s="1">
        <v>41982</v>
      </c>
      <c r="C834" s="8">
        <v>6.43</v>
      </c>
      <c r="D834" s="8">
        <v>0.17</v>
      </c>
      <c r="E834">
        <v>4</v>
      </c>
      <c r="F834" s="10">
        <f>(WYNAJEM4[[#This Row],[data_wyjazdu]]-WYNAJEM4[[#This Row],[data_przyjazdu]])</f>
        <v>12</v>
      </c>
      <c r="G834" s="9">
        <f xml:space="preserve"> WYNAJEM4[[#This Row],[energia]] + WYNAJEM4[[#This Row],[woda]]</f>
        <v>6.6</v>
      </c>
      <c r="H834" s="8">
        <f xml:space="preserve"> (10 * WYNAJEM4[[#This Row],[typ]] * WYNAJEM4[[#This Row],[czas wynajecia domku]])</f>
        <v>480</v>
      </c>
      <c r="I834" s="9">
        <f xml:space="preserve"> WYNAJEM4[[#This Row],[suma energia i woda]] + WYNAJEM4[[#This Row],[czynsz]]</f>
        <v>486.6</v>
      </c>
    </row>
    <row r="835" spans="1:9" x14ac:dyDescent="0.25">
      <c r="A835" s="1">
        <v>41970</v>
      </c>
      <c r="B835" s="1">
        <v>41987</v>
      </c>
      <c r="C835" s="8">
        <v>8.65</v>
      </c>
      <c r="D835" s="8">
        <v>0.23</v>
      </c>
      <c r="E835">
        <v>3</v>
      </c>
      <c r="F835" s="10">
        <f>(WYNAJEM4[[#This Row],[data_wyjazdu]]-WYNAJEM4[[#This Row],[data_przyjazdu]])</f>
        <v>17</v>
      </c>
      <c r="G835" s="9">
        <f xml:space="preserve"> WYNAJEM4[[#This Row],[energia]] + WYNAJEM4[[#This Row],[woda]]</f>
        <v>8.8800000000000008</v>
      </c>
      <c r="H835" s="8">
        <f xml:space="preserve"> (10 * WYNAJEM4[[#This Row],[typ]] * WYNAJEM4[[#This Row],[czas wynajecia domku]])</f>
        <v>510</v>
      </c>
      <c r="I835" s="9">
        <f xml:space="preserve"> WYNAJEM4[[#This Row],[suma energia i woda]] + WYNAJEM4[[#This Row],[czynsz]]</f>
        <v>518.88</v>
      </c>
    </row>
    <row r="836" spans="1:9" x14ac:dyDescent="0.25">
      <c r="A836" s="1">
        <v>41970</v>
      </c>
      <c r="B836" s="1">
        <v>41994</v>
      </c>
      <c r="C836" s="8">
        <v>13.82</v>
      </c>
      <c r="D836" s="8">
        <v>0.36</v>
      </c>
      <c r="E836">
        <v>3</v>
      </c>
      <c r="F836" s="10">
        <f>(WYNAJEM4[[#This Row],[data_wyjazdu]]-WYNAJEM4[[#This Row],[data_przyjazdu]])</f>
        <v>24</v>
      </c>
      <c r="G836" s="9">
        <f xml:space="preserve"> WYNAJEM4[[#This Row],[energia]] + WYNAJEM4[[#This Row],[woda]]</f>
        <v>14.18</v>
      </c>
      <c r="H836" s="8">
        <f xml:space="preserve"> (10 * WYNAJEM4[[#This Row],[typ]] * WYNAJEM4[[#This Row],[czas wynajecia domku]])</f>
        <v>720</v>
      </c>
      <c r="I836" s="9">
        <f xml:space="preserve"> WYNAJEM4[[#This Row],[suma energia i woda]] + WYNAJEM4[[#This Row],[czynsz]]</f>
        <v>734.18</v>
      </c>
    </row>
    <row r="837" spans="1:9" x14ac:dyDescent="0.25">
      <c r="A837" s="1">
        <v>41970</v>
      </c>
      <c r="B837" s="1">
        <v>41992</v>
      </c>
      <c r="C837" s="8">
        <v>5.67</v>
      </c>
      <c r="D837" s="8">
        <v>0.15</v>
      </c>
      <c r="E837">
        <v>4</v>
      </c>
      <c r="F837" s="10">
        <f>(WYNAJEM4[[#This Row],[data_wyjazdu]]-WYNAJEM4[[#This Row],[data_przyjazdu]])</f>
        <v>22</v>
      </c>
      <c r="G837" s="9">
        <f xml:space="preserve"> WYNAJEM4[[#This Row],[energia]] + WYNAJEM4[[#This Row],[woda]]</f>
        <v>5.82</v>
      </c>
      <c r="H837" s="8">
        <f xml:space="preserve"> (10 * WYNAJEM4[[#This Row],[typ]] * WYNAJEM4[[#This Row],[czas wynajecia domku]])</f>
        <v>880</v>
      </c>
      <c r="I837" s="9">
        <f xml:space="preserve"> WYNAJEM4[[#This Row],[suma energia i woda]] + WYNAJEM4[[#This Row],[czynsz]]</f>
        <v>885.82</v>
      </c>
    </row>
    <row r="838" spans="1:9" x14ac:dyDescent="0.25">
      <c r="A838" s="1">
        <v>41970</v>
      </c>
      <c r="B838" s="1">
        <v>41986</v>
      </c>
      <c r="C838" s="8">
        <v>6.75</v>
      </c>
      <c r="D838" s="8">
        <v>0.18</v>
      </c>
      <c r="E838">
        <v>2</v>
      </c>
      <c r="F838" s="10">
        <f>(WYNAJEM4[[#This Row],[data_wyjazdu]]-WYNAJEM4[[#This Row],[data_przyjazdu]])</f>
        <v>16</v>
      </c>
      <c r="G838" s="9">
        <f xml:space="preserve"> WYNAJEM4[[#This Row],[energia]] + WYNAJEM4[[#This Row],[woda]]</f>
        <v>6.93</v>
      </c>
      <c r="H838" s="8">
        <f xml:space="preserve"> (10 * WYNAJEM4[[#This Row],[typ]] * WYNAJEM4[[#This Row],[czas wynajecia domku]])</f>
        <v>320</v>
      </c>
      <c r="I838" s="9">
        <f xml:space="preserve"> WYNAJEM4[[#This Row],[suma energia i woda]] + WYNAJEM4[[#This Row],[czynsz]]</f>
        <v>326.93</v>
      </c>
    </row>
    <row r="839" spans="1:9" x14ac:dyDescent="0.25">
      <c r="A839" s="1">
        <v>41970</v>
      </c>
      <c r="B839" s="1">
        <v>41992</v>
      </c>
      <c r="C839" s="8">
        <v>5.67</v>
      </c>
      <c r="D839" s="8">
        <v>0.15</v>
      </c>
      <c r="E839">
        <v>5</v>
      </c>
      <c r="F839" s="10">
        <f>(WYNAJEM4[[#This Row],[data_wyjazdu]]-WYNAJEM4[[#This Row],[data_przyjazdu]])</f>
        <v>22</v>
      </c>
      <c r="G839" s="9">
        <f xml:space="preserve"> WYNAJEM4[[#This Row],[energia]] + WYNAJEM4[[#This Row],[woda]]</f>
        <v>5.82</v>
      </c>
      <c r="H839" s="8">
        <f xml:space="preserve"> (10 * WYNAJEM4[[#This Row],[typ]] * WYNAJEM4[[#This Row],[czas wynajecia domku]])</f>
        <v>1100</v>
      </c>
      <c r="I839" s="9">
        <f xml:space="preserve"> WYNAJEM4[[#This Row],[suma energia i woda]] + WYNAJEM4[[#This Row],[czynsz]]</f>
        <v>1105.82</v>
      </c>
    </row>
    <row r="840" spans="1:9" x14ac:dyDescent="0.25">
      <c r="A840" s="1">
        <v>41970</v>
      </c>
      <c r="B840" s="1">
        <v>41987</v>
      </c>
      <c r="C840" s="8">
        <v>14.31</v>
      </c>
      <c r="D840" s="8">
        <v>0.38</v>
      </c>
      <c r="E840">
        <v>3</v>
      </c>
      <c r="F840" s="10">
        <f>(WYNAJEM4[[#This Row],[data_wyjazdu]]-WYNAJEM4[[#This Row],[data_przyjazdu]])</f>
        <v>17</v>
      </c>
      <c r="G840" s="9">
        <f xml:space="preserve"> WYNAJEM4[[#This Row],[energia]] + WYNAJEM4[[#This Row],[woda]]</f>
        <v>14.690000000000001</v>
      </c>
      <c r="H840" s="8">
        <f xml:space="preserve"> (10 * WYNAJEM4[[#This Row],[typ]] * WYNAJEM4[[#This Row],[czas wynajecia domku]])</f>
        <v>510</v>
      </c>
      <c r="I840" s="9">
        <f xml:space="preserve"> WYNAJEM4[[#This Row],[suma energia i woda]] + WYNAJEM4[[#This Row],[czynsz]]</f>
        <v>524.69000000000005</v>
      </c>
    </row>
    <row r="841" spans="1:9" x14ac:dyDescent="0.25">
      <c r="A841" s="1">
        <v>41970</v>
      </c>
      <c r="B841" s="1">
        <v>41979</v>
      </c>
      <c r="C841" s="8">
        <v>16.55</v>
      </c>
      <c r="D841" s="8">
        <v>0.44</v>
      </c>
      <c r="E841">
        <v>4</v>
      </c>
      <c r="F841" s="10">
        <f>(WYNAJEM4[[#This Row],[data_wyjazdu]]-WYNAJEM4[[#This Row],[data_przyjazdu]])</f>
        <v>9</v>
      </c>
      <c r="G841" s="9">
        <f xml:space="preserve"> WYNAJEM4[[#This Row],[energia]] + WYNAJEM4[[#This Row],[woda]]</f>
        <v>16.990000000000002</v>
      </c>
      <c r="H841" s="8">
        <f xml:space="preserve"> (10 * WYNAJEM4[[#This Row],[typ]] * WYNAJEM4[[#This Row],[czas wynajecia domku]])</f>
        <v>360</v>
      </c>
      <c r="I841" s="9">
        <f xml:space="preserve"> WYNAJEM4[[#This Row],[suma energia i woda]] + WYNAJEM4[[#This Row],[czynsz]]</f>
        <v>376.99</v>
      </c>
    </row>
    <row r="842" spans="1:9" x14ac:dyDescent="0.25">
      <c r="A842" s="1">
        <v>41970</v>
      </c>
      <c r="B842" s="1">
        <v>41974</v>
      </c>
      <c r="C842" s="8">
        <v>11.44</v>
      </c>
      <c r="D842" s="8">
        <v>0.3</v>
      </c>
      <c r="E842">
        <v>4</v>
      </c>
      <c r="F842" s="10">
        <f>(WYNAJEM4[[#This Row],[data_wyjazdu]]-WYNAJEM4[[#This Row],[data_przyjazdu]])</f>
        <v>4</v>
      </c>
      <c r="G842" s="9">
        <f xml:space="preserve"> WYNAJEM4[[#This Row],[energia]] + WYNAJEM4[[#This Row],[woda]]</f>
        <v>11.74</v>
      </c>
      <c r="H842" s="8">
        <f xml:space="preserve"> (10 * WYNAJEM4[[#This Row],[typ]] * WYNAJEM4[[#This Row],[czas wynajecia domku]])</f>
        <v>160</v>
      </c>
      <c r="I842" s="9">
        <f xml:space="preserve"> WYNAJEM4[[#This Row],[suma energia i woda]] + WYNAJEM4[[#This Row],[czynsz]]</f>
        <v>171.74</v>
      </c>
    </row>
    <row r="843" spans="1:9" x14ac:dyDescent="0.25">
      <c r="A843" s="1">
        <v>41970</v>
      </c>
      <c r="B843" s="1">
        <v>41992</v>
      </c>
      <c r="C843" s="8">
        <v>4.66</v>
      </c>
      <c r="D843" s="8">
        <v>0.12</v>
      </c>
      <c r="E843">
        <v>4</v>
      </c>
      <c r="F843" s="10">
        <f>(WYNAJEM4[[#This Row],[data_wyjazdu]]-WYNAJEM4[[#This Row],[data_przyjazdu]])</f>
        <v>22</v>
      </c>
      <c r="G843" s="9">
        <f xml:space="preserve"> WYNAJEM4[[#This Row],[energia]] + WYNAJEM4[[#This Row],[woda]]</f>
        <v>4.78</v>
      </c>
      <c r="H843" s="8">
        <f xml:space="preserve"> (10 * WYNAJEM4[[#This Row],[typ]] * WYNAJEM4[[#This Row],[czas wynajecia domku]])</f>
        <v>880</v>
      </c>
      <c r="I843" s="9">
        <f xml:space="preserve"> WYNAJEM4[[#This Row],[suma energia i woda]] + WYNAJEM4[[#This Row],[czynsz]]</f>
        <v>884.78</v>
      </c>
    </row>
    <row r="844" spans="1:9" x14ac:dyDescent="0.25">
      <c r="A844" s="1">
        <v>41970</v>
      </c>
      <c r="B844" s="1">
        <v>41995</v>
      </c>
      <c r="C844" s="8">
        <v>3.73</v>
      </c>
      <c r="D844" s="8">
        <v>0.1</v>
      </c>
      <c r="E844">
        <v>6</v>
      </c>
      <c r="F844" s="10">
        <f>(WYNAJEM4[[#This Row],[data_wyjazdu]]-WYNAJEM4[[#This Row],[data_przyjazdu]])</f>
        <v>25</v>
      </c>
      <c r="G844" s="9">
        <f xml:space="preserve"> WYNAJEM4[[#This Row],[energia]] + WYNAJEM4[[#This Row],[woda]]</f>
        <v>3.83</v>
      </c>
      <c r="H844" s="8">
        <f xml:space="preserve"> (10 * WYNAJEM4[[#This Row],[typ]] * WYNAJEM4[[#This Row],[czas wynajecia domku]])</f>
        <v>1500</v>
      </c>
      <c r="I844" s="9">
        <f xml:space="preserve"> WYNAJEM4[[#This Row],[suma energia i woda]] + WYNAJEM4[[#This Row],[czynsz]]</f>
        <v>1503.83</v>
      </c>
    </row>
    <row r="845" spans="1:9" x14ac:dyDescent="0.25">
      <c r="A845" s="1">
        <v>41970</v>
      </c>
      <c r="B845" s="1">
        <v>41982</v>
      </c>
      <c r="C845" s="8">
        <v>6.75</v>
      </c>
      <c r="D845" s="8">
        <v>0.18</v>
      </c>
      <c r="E845">
        <v>3</v>
      </c>
      <c r="F845" s="10">
        <f>(WYNAJEM4[[#This Row],[data_wyjazdu]]-WYNAJEM4[[#This Row],[data_przyjazdu]])</f>
        <v>12</v>
      </c>
      <c r="G845" s="9">
        <f xml:space="preserve"> WYNAJEM4[[#This Row],[energia]] + WYNAJEM4[[#This Row],[woda]]</f>
        <v>6.93</v>
      </c>
      <c r="H845" s="8">
        <f xml:space="preserve"> (10 * WYNAJEM4[[#This Row],[typ]] * WYNAJEM4[[#This Row],[czas wynajecia domku]])</f>
        <v>360</v>
      </c>
      <c r="I845" s="9">
        <f xml:space="preserve"> WYNAJEM4[[#This Row],[suma energia i woda]] + WYNAJEM4[[#This Row],[czynsz]]</f>
        <v>366.93</v>
      </c>
    </row>
    <row r="846" spans="1:9" x14ac:dyDescent="0.25">
      <c r="A846" s="1">
        <v>41970</v>
      </c>
      <c r="B846" s="1">
        <v>41981</v>
      </c>
      <c r="C846" s="8">
        <v>2.72</v>
      </c>
      <c r="D846" s="8">
        <v>7.0000000000000007E-2</v>
      </c>
      <c r="E846">
        <v>6</v>
      </c>
      <c r="F846" s="10">
        <f>(WYNAJEM4[[#This Row],[data_wyjazdu]]-WYNAJEM4[[#This Row],[data_przyjazdu]])</f>
        <v>11</v>
      </c>
      <c r="G846" s="9">
        <f xml:space="preserve"> WYNAJEM4[[#This Row],[energia]] + WYNAJEM4[[#This Row],[woda]]</f>
        <v>2.79</v>
      </c>
      <c r="H846" s="8">
        <f xml:space="preserve"> (10 * WYNAJEM4[[#This Row],[typ]] * WYNAJEM4[[#This Row],[czas wynajecia domku]])</f>
        <v>660</v>
      </c>
      <c r="I846" s="9">
        <f xml:space="preserve"> WYNAJEM4[[#This Row],[suma energia i woda]] + WYNAJEM4[[#This Row],[czynsz]]</f>
        <v>662.79</v>
      </c>
    </row>
    <row r="847" spans="1:9" x14ac:dyDescent="0.25">
      <c r="A847" s="1">
        <v>41970</v>
      </c>
      <c r="B847" s="1">
        <v>41990</v>
      </c>
      <c r="C847" s="8">
        <v>7.71</v>
      </c>
      <c r="D847" s="8">
        <v>0.2</v>
      </c>
      <c r="E847">
        <v>6</v>
      </c>
      <c r="F847" s="10">
        <f>(WYNAJEM4[[#This Row],[data_wyjazdu]]-WYNAJEM4[[#This Row],[data_przyjazdu]])</f>
        <v>20</v>
      </c>
      <c r="G847" s="9">
        <f xml:space="preserve"> WYNAJEM4[[#This Row],[energia]] + WYNAJEM4[[#This Row],[woda]]</f>
        <v>7.91</v>
      </c>
      <c r="H847" s="8">
        <f xml:space="preserve"> (10 * WYNAJEM4[[#This Row],[typ]] * WYNAJEM4[[#This Row],[czas wynajecia domku]])</f>
        <v>1200</v>
      </c>
      <c r="I847" s="9">
        <f xml:space="preserve"> WYNAJEM4[[#This Row],[suma energia i woda]] + WYNAJEM4[[#This Row],[czynsz]]</f>
        <v>1207.9100000000001</v>
      </c>
    </row>
    <row r="848" spans="1:9" x14ac:dyDescent="0.25">
      <c r="A848" s="1">
        <v>41970</v>
      </c>
      <c r="B848" s="1">
        <v>41972</v>
      </c>
      <c r="C848" s="8">
        <v>6.58</v>
      </c>
      <c r="D848" s="8">
        <v>0.17</v>
      </c>
      <c r="E848">
        <v>6</v>
      </c>
      <c r="F848" s="10">
        <f>(WYNAJEM4[[#This Row],[data_wyjazdu]]-WYNAJEM4[[#This Row],[data_przyjazdu]])</f>
        <v>2</v>
      </c>
      <c r="G848" s="9">
        <f xml:space="preserve"> WYNAJEM4[[#This Row],[energia]] + WYNAJEM4[[#This Row],[woda]]</f>
        <v>6.75</v>
      </c>
      <c r="H848" s="8">
        <f xml:space="preserve"> (10 * WYNAJEM4[[#This Row],[typ]] * WYNAJEM4[[#This Row],[czas wynajecia domku]])</f>
        <v>120</v>
      </c>
      <c r="I848" s="9">
        <f xml:space="preserve"> WYNAJEM4[[#This Row],[suma energia i woda]] + WYNAJEM4[[#This Row],[czynsz]]</f>
        <v>126.75</v>
      </c>
    </row>
    <row r="849" spans="1:9" x14ac:dyDescent="0.25">
      <c r="A849" s="1">
        <v>41970</v>
      </c>
      <c r="B849" s="1">
        <v>41986</v>
      </c>
      <c r="C849" s="8">
        <v>8.89</v>
      </c>
      <c r="D849" s="8">
        <v>0.23</v>
      </c>
      <c r="E849">
        <v>2</v>
      </c>
      <c r="F849" s="10">
        <f>(WYNAJEM4[[#This Row],[data_wyjazdu]]-WYNAJEM4[[#This Row],[data_przyjazdu]])</f>
        <v>16</v>
      </c>
      <c r="G849" s="9">
        <f xml:space="preserve"> WYNAJEM4[[#This Row],[energia]] + WYNAJEM4[[#This Row],[woda]]</f>
        <v>9.120000000000001</v>
      </c>
      <c r="H849" s="8">
        <f xml:space="preserve"> (10 * WYNAJEM4[[#This Row],[typ]] * WYNAJEM4[[#This Row],[czas wynajecia domku]])</f>
        <v>320</v>
      </c>
      <c r="I849" s="9">
        <f xml:space="preserve"> WYNAJEM4[[#This Row],[suma energia i woda]] + WYNAJEM4[[#This Row],[czynsz]]</f>
        <v>329.12</v>
      </c>
    </row>
    <row r="850" spans="1:9" x14ac:dyDescent="0.25">
      <c r="A850" s="1">
        <v>41970</v>
      </c>
      <c r="B850" s="1">
        <v>41986</v>
      </c>
      <c r="C850" s="8">
        <v>5.47</v>
      </c>
      <c r="D850" s="8">
        <v>0.14000000000000001</v>
      </c>
      <c r="E850">
        <v>4</v>
      </c>
      <c r="F850" s="10">
        <f>(WYNAJEM4[[#This Row],[data_wyjazdu]]-WYNAJEM4[[#This Row],[data_przyjazdu]])</f>
        <v>16</v>
      </c>
      <c r="G850" s="9">
        <f xml:space="preserve"> WYNAJEM4[[#This Row],[energia]] + WYNAJEM4[[#This Row],[woda]]</f>
        <v>5.6099999999999994</v>
      </c>
      <c r="H850" s="8">
        <f xml:space="preserve"> (10 * WYNAJEM4[[#This Row],[typ]] * WYNAJEM4[[#This Row],[czas wynajecia domku]])</f>
        <v>640</v>
      </c>
      <c r="I850" s="9">
        <f xml:space="preserve"> WYNAJEM4[[#This Row],[suma energia i woda]] + WYNAJEM4[[#This Row],[czynsz]]</f>
        <v>645.61</v>
      </c>
    </row>
    <row r="851" spans="1:9" x14ac:dyDescent="0.25">
      <c r="A851" s="1">
        <v>41971</v>
      </c>
      <c r="B851" s="1">
        <v>41987</v>
      </c>
      <c r="C851" s="8">
        <v>12.01</v>
      </c>
      <c r="D851" s="8">
        <v>0.32</v>
      </c>
      <c r="E851">
        <v>2</v>
      </c>
      <c r="F851" s="10">
        <f>(WYNAJEM4[[#This Row],[data_wyjazdu]]-WYNAJEM4[[#This Row],[data_przyjazdu]])</f>
        <v>16</v>
      </c>
      <c r="G851" s="9">
        <f xml:space="preserve"> WYNAJEM4[[#This Row],[energia]] + WYNAJEM4[[#This Row],[woda]]</f>
        <v>12.33</v>
      </c>
      <c r="H851" s="8">
        <f xml:space="preserve"> (10 * WYNAJEM4[[#This Row],[typ]] * WYNAJEM4[[#This Row],[czas wynajecia domku]])</f>
        <v>320</v>
      </c>
      <c r="I851" s="9">
        <f xml:space="preserve"> WYNAJEM4[[#This Row],[suma energia i woda]] + WYNAJEM4[[#This Row],[czynsz]]</f>
        <v>332.33</v>
      </c>
    </row>
    <row r="852" spans="1:9" x14ac:dyDescent="0.25">
      <c r="A852" s="1">
        <v>41971</v>
      </c>
      <c r="B852" s="1">
        <v>41976</v>
      </c>
      <c r="C852" s="8">
        <v>11.44</v>
      </c>
      <c r="D852" s="8">
        <v>0.3</v>
      </c>
      <c r="E852">
        <v>3</v>
      </c>
      <c r="F852" s="10">
        <f>(WYNAJEM4[[#This Row],[data_wyjazdu]]-WYNAJEM4[[#This Row],[data_przyjazdu]])</f>
        <v>5</v>
      </c>
      <c r="G852" s="9">
        <f xml:space="preserve"> WYNAJEM4[[#This Row],[energia]] + WYNAJEM4[[#This Row],[woda]]</f>
        <v>11.74</v>
      </c>
      <c r="H852" s="8">
        <f xml:space="preserve"> (10 * WYNAJEM4[[#This Row],[typ]] * WYNAJEM4[[#This Row],[czas wynajecia domku]])</f>
        <v>150</v>
      </c>
      <c r="I852" s="9">
        <f xml:space="preserve"> WYNAJEM4[[#This Row],[suma energia i woda]] + WYNAJEM4[[#This Row],[czynsz]]</f>
        <v>161.74</v>
      </c>
    </row>
    <row r="853" spans="1:9" x14ac:dyDescent="0.25">
      <c r="A853" s="1">
        <v>41971</v>
      </c>
      <c r="B853" s="1">
        <v>41986</v>
      </c>
      <c r="C853" s="8">
        <v>14.13</v>
      </c>
      <c r="D853" s="8">
        <v>0.37</v>
      </c>
      <c r="E853">
        <v>3</v>
      </c>
      <c r="F853" s="10">
        <f>(WYNAJEM4[[#This Row],[data_wyjazdu]]-WYNAJEM4[[#This Row],[data_przyjazdu]])</f>
        <v>15</v>
      </c>
      <c r="G853" s="9">
        <f xml:space="preserve"> WYNAJEM4[[#This Row],[energia]] + WYNAJEM4[[#This Row],[woda]]</f>
        <v>14.5</v>
      </c>
      <c r="H853" s="8">
        <f xml:space="preserve"> (10 * WYNAJEM4[[#This Row],[typ]] * WYNAJEM4[[#This Row],[czas wynajecia domku]])</f>
        <v>450</v>
      </c>
      <c r="I853" s="9">
        <f xml:space="preserve"> WYNAJEM4[[#This Row],[suma energia i woda]] + WYNAJEM4[[#This Row],[czynsz]]</f>
        <v>464.5</v>
      </c>
    </row>
    <row r="854" spans="1:9" x14ac:dyDescent="0.25">
      <c r="A854" s="1">
        <v>41971</v>
      </c>
      <c r="B854" s="1">
        <v>41983</v>
      </c>
      <c r="C854" s="8">
        <v>8.9499999999999993</v>
      </c>
      <c r="D854" s="8">
        <v>0.24</v>
      </c>
      <c r="E854">
        <v>6</v>
      </c>
      <c r="F854" s="10">
        <f>(WYNAJEM4[[#This Row],[data_wyjazdu]]-WYNAJEM4[[#This Row],[data_przyjazdu]])</f>
        <v>12</v>
      </c>
      <c r="G854" s="9">
        <f xml:space="preserve"> WYNAJEM4[[#This Row],[energia]] + WYNAJEM4[[#This Row],[woda]]</f>
        <v>9.19</v>
      </c>
      <c r="H854" s="8">
        <f xml:space="preserve"> (10 * WYNAJEM4[[#This Row],[typ]] * WYNAJEM4[[#This Row],[czas wynajecia domku]])</f>
        <v>720</v>
      </c>
      <c r="I854" s="9">
        <f xml:space="preserve"> WYNAJEM4[[#This Row],[suma energia i woda]] + WYNAJEM4[[#This Row],[czynsz]]</f>
        <v>729.19</v>
      </c>
    </row>
    <row r="855" spans="1:9" x14ac:dyDescent="0.25">
      <c r="A855" s="1">
        <v>41971</v>
      </c>
      <c r="B855" s="1">
        <v>41973</v>
      </c>
      <c r="C855" s="8">
        <v>8.89</v>
      </c>
      <c r="D855" s="8">
        <v>0.23</v>
      </c>
      <c r="E855">
        <v>2</v>
      </c>
      <c r="F855" s="10">
        <f>(WYNAJEM4[[#This Row],[data_wyjazdu]]-WYNAJEM4[[#This Row],[data_przyjazdu]])</f>
        <v>2</v>
      </c>
      <c r="G855" s="9">
        <f xml:space="preserve"> WYNAJEM4[[#This Row],[energia]] + WYNAJEM4[[#This Row],[woda]]</f>
        <v>9.120000000000001</v>
      </c>
      <c r="H855" s="8">
        <f xml:space="preserve"> (10 * WYNAJEM4[[#This Row],[typ]] * WYNAJEM4[[#This Row],[czas wynajecia domku]])</f>
        <v>40</v>
      </c>
      <c r="I855" s="9">
        <f xml:space="preserve"> WYNAJEM4[[#This Row],[suma energia i woda]] + WYNAJEM4[[#This Row],[czynsz]]</f>
        <v>49.120000000000005</v>
      </c>
    </row>
    <row r="856" spans="1:9" x14ac:dyDescent="0.25">
      <c r="A856" s="1">
        <v>41971</v>
      </c>
      <c r="B856" s="1">
        <v>41975</v>
      </c>
      <c r="C856" s="8">
        <v>6.43</v>
      </c>
      <c r="D856" s="8">
        <v>0.17</v>
      </c>
      <c r="E856">
        <v>5</v>
      </c>
      <c r="F856" s="10">
        <f>(WYNAJEM4[[#This Row],[data_wyjazdu]]-WYNAJEM4[[#This Row],[data_przyjazdu]])</f>
        <v>4</v>
      </c>
      <c r="G856" s="9">
        <f xml:space="preserve"> WYNAJEM4[[#This Row],[energia]] + WYNAJEM4[[#This Row],[woda]]</f>
        <v>6.6</v>
      </c>
      <c r="H856" s="8">
        <f xml:space="preserve"> (10 * WYNAJEM4[[#This Row],[typ]] * WYNAJEM4[[#This Row],[czas wynajecia domku]])</f>
        <v>200</v>
      </c>
      <c r="I856" s="9">
        <f xml:space="preserve"> WYNAJEM4[[#This Row],[suma energia i woda]] + WYNAJEM4[[#This Row],[czynsz]]</f>
        <v>206.6</v>
      </c>
    </row>
    <row r="857" spans="1:9" x14ac:dyDescent="0.25">
      <c r="A857" s="1">
        <v>41971</v>
      </c>
      <c r="B857" s="1">
        <v>41974</v>
      </c>
      <c r="C857" s="8">
        <v>3.94</v>
      </c>
      <c r="D857" s="8">
        <v>0.1</v>
      </c>
      <c r="E857">
        <v>3</v>
      </c>
      <c r="F857" s="10">
        <f>(WYNAJEM4[[#This Row],[data_wyjazdu]]-WYNAJEM4[[#This Row],[data_przyjazdu]])</f>
        <v>3</v>
      </c>
      <c r="G857" s="9">
        <f xml:space="preserve"> WYNAJEM4[[#This Row],[energia]] + WYNAJEM4[[#This Row],[woda]]</f>
        <v>4.04</v>
      </c>
      <c r="H857" s="8">
        <f xml:space="preserve"> (10 * WYNAJEM4[[#This Row],[typ]] * WYNAJEM4[[#This Row],[czas wynajecia domku]])</f>
        <v>90</v>
      </c>
      <c r="I857" s="9">
        <f xml:space="preserve"> WYNAJEM4[[#This Row],[suma energia i woda]] + WYNAJEM4[[#This Row],[czynsz]]</f>
        <v>94.04</v>
      </c>
    </row>
    <row r="858" spans="1:9" x14ac:dyDescent="0.25">
      <c r="A858" s="1">
        <v>41971</v>
      </c>
      <c r="B858" s="1">
        <v>41973</v>
      </c>
      <c r="C858" s="8">
        <v>6.23</v>
      </c>
      <c r="D858" s="8">
        <v>0.16</v>
      </c>
      <c r="E858">
        <v>3</v>
      </c>
      <c r="F858" s="10">
        <f>(WYNAJEM4[[#This Row],[data_wyjazdu]]-WYNAJEM4[[#This Row],[data_przyjazdu]])</f>
        <v>2</v>
      </c>
      <c r="G858" s="9">
        <f xml:space="preserve"> WYNAJEM4[[#This Row],[energia]] + WYNAJEM4[[#This Row],[woda]]</f>
        <v>6.3900000000000006</v>
      </c>
      <c r="H858" s="8">
        <f xml:space="preserve"> (10 * WYNAJEM4[[#This Row],[typ]] * WYNAJEM4[[#This Row],[czas wynajecia domku]])</f>
        <v>60</v>
      </c>
      <c r="I858" s="9">
        <f xml:space="preserve"> WYNAJEM4[[#This Row],[suma energia i woda]] + WYNAJEM4[[#This Row],[czynsz]]</f>
        <v>66.39</v>
      </c>
    </row>
    <row r="859" spans="1:9" x14ac:dyDescent="0.25">
      <c r="A859" s="1">
        <v>41971</v>
      </c>
      <c r="B859" s="1">
        <v>41999</v>
      </c>
      <c r="C859" s="8">
        <v>13.82</v>
      </c>
      <c r="D859" s="8">
        <v>0.36</v>
      </c>
      <c r="E859">
        <v>3</v>
      </c>
      <c r="F859" s="10">
        <f>(WYNAJEM4[[#This Row],[data_wyjazdu]]-WYNAJEM4[[#This Row],[data_przyjazdu]])</f>
        <v>28</v>
      </c>
      <c r="G859" s="9">
        <f xml:space="preserve"> WYNAJEM4[[#This Row],[energia]] + WYNAJEM4[[#This Row],[woda]]</f>
        <v>14.18</v>
      </c>
      <c r="H859" s="8">
        <f xml:space="preserve"> (10 * WYNAJEM4[[#This Row],[typ]] * WYNAJEM4[[#This Row],[czas wynajecia domku]])</f>
        <v>840</v>
      </c>
      <c r="I859" s="9">
        <f xml:space="preserve"> WYNAJEM4[[#This Row],[suma energia i woda]] + WYNAJEM4[[#This Row],[czynsz]]</f>
        <v>854.18</v>
      </c>
    </row>
    <row r="860" spans="1:9" x14ac:dyDescent="0.25">
      <c r="A860" s="1">
        <v>41971</v>
      </c>
      <c r="B860" s="1">
        <v>41987</v>
      </c>
      <c r="C860" s="8">
        <v>4.66</v>
      </c>
      <c r="D860" s="8">
        <v>0.12</v>
      </c>
      <c r="E860">
        <v>4</v>
      </c>
      <c r="F860" s="10">
        <f>(WYNAJEM4[[#This Row],[data_wyjazdu]]-WYNAJEM4[[#This Row],[data_przyjazdu]])</f>
        <v>16</v>
      </c>
      <c r="G860" s="9">
        <f xml:space="preserve"> WYNAJEM4[[#This Row],[energia]] + WYNAJEM4[[#This Row],[woda]]</f>
        <v>4.78</v>
      </c>
      <c r="H860" s="8">
        <f xml:space="preserve"> (10 * WYNAJEM4[[#This Row],[typ]] * WYNAJEM4[[#This Row],[czas wynajecia domku]])</f>
        <v>640</v>
      </c>
      <c r="I860" s="9">
        <f xml:space="preserve"> WYNAJEM4[[#This Row],[suma energia i woda]] + WYNAJEM4[[#This Row],[czynsz]]</f>
        <v>644.78</v>
      </c>
    </row>
    <row r="861" spans="1:9" x14ac:dyDescent="0.25">
      <c r="A861" s="1">
        <v>41971</v>
      </c>
      <c r="B861" s="1">
        <v>41998</v>
      </c>
      <c r="C861" s="8">
        <v>6.58</v>
      </c>
      <c r="D861" s="8">
        <v>0.17</v>
      </c>
      <c r="E861">
        <v>6</v>
      </c>
      <c r="F861" s="10">
        <f>(WYNAJEM4[[#This Row],[data_wyjazdu]]-WYNAJEM4[[#This Row],[data_przyjazdu]])</f>
        <v>27</v>
      </c>
      <c r="G861" s="9">
        <f xml:space="preserve"> WYNAJEM4[[#This Row],[energia]] + WYNAJEM4[[#This Row],[woda]]</f>
        <v>6.75</v>
      </c>
      <c r="H861" s="8">
        <f xml:space="preserve"> (10 * WYNAJEM4[[#This Row],[typ]] * WYNAJEM4[[#This Row],[czas wynajecia domku]])</f>
        <v>1620</v>
      </c>
      <c r="I861" s="9">
        <f xml:space="preserve"> WYNAJEM4[[#This Row],[suma energia i woda]] + WYNAJEM4[[#This Row],[czynsz]]</f>
        <v>1626.75</v>
      </c>
    </row>
    <row r="862" spans="1:9" x14ac:dyDescent="0.25">
      <c r="A862" s="1">
        <v>41971</v>
      </c>
      <c r="B862" s="1">
        <v>41987</v>
      </c>
      <c r="C862" s="8">
        <v>5.23</v>
      </c>
      <c r="D862" s="8">
        <v>0.14000000000000001</v>
      </c>
      <c r="E862">
        <v>2</v>
      </c>
      <c r="F862" s="10">
        <f>(WYNAJEM4[[#This Row],[data_wyjazdu]]-WYNAJEM4[[#This Row],[data_przyjazdu]])</f>
        <v>16</v>
      </c>
      <c r="G862" s="9">
        <f xml:space="preserve"> WYNAJEM4[[#This Row],[energia]] + WYNAJEM4[[#This Row],[woda]]</f>
        <v>5.37</v>
      </c>
      <c r="H862" s="8">
        <f xml:space="preserve"> (10 * WYNAJEM4[[#This Row],[typ]] * WYNAJEM4[[#This Row],[czas wynajecia domku]])</f>
        <v>320</v>
      </c>
      <c r="I862" s="9">
        <f xml:space="preserve"> WYNAJEM4[[#This Row],[suma energia i woda]] + WYNAJEM4[[#This Row],[czynsz]]</f>
        <v>325.37</v>
      </c>
    </row>
    <row r="863" spans="1:9" x14ac:dyDescent="0.25">
      <c r="A863" s="1">
        <v>41971</v>
      </c>
      <c r="B863" s="1">
        <v>41999</v>
      </c>
      <c r="C863" s="8">
        <v>14</v>
      </c>
      <c r="D863" s="8">
        <v>0.37</v>
      </c>
      <c r="E863">
        <v>6</v>
      </c>
      <c r="F863" s="10">
        <f>(WYNAJEM4[[#This Row],[data_wyjazdu]]-WYNAJEM4[[#This Row],[data_przyjazdu]])</f>
        <v>28</v>
      </c>
      <c r="G863" s="9">
        <f xml:space="preserve"> WYNAJEM4[[#This Row],[energia]] + WYNAJEM4[[#This Row],[woda]]</f>
        <v>14.37</v>
      </c>
      <c r="H863" s="8">
        <f xml:space="preserve"> (10 * WYNAJEM4[[#This Row],[typ]] * WYNAJEM4[[#This Row],[czas wynajecia domku]])</f>
        <v>1680</v>
      </c>
      <c r="I863" s="9">
        <f xml:space="preserve"> WYNAJEM4[[#This Row],[suma energia i woda]] + WYNAJEM4[[#This Row],[czynsz]]</f>
        <v>1694.37</v>
      </c>
    </row>
    <row r="864" spans="1:9" x14ac:dyDescent="0.25">
      <c r="A864" s="1">
        <v>41971</v>
      </c>
      <c r="B864" s="1">
        <v>41993</v>
      </c>
      <c r="C864" s="8">
        <v>8.65</v>
      </c>
      <c r="D864" s="8">
        <v>0.23</v>
      </c>
      <c r="E864">
        <v>2</v>
      </c>
      <c r="F864" s="10">
        <f>(WYNAJEM4[[#This Row],[data_wyjazdu]]-WYNAJEM4[[#This Row],[data_przyjazdu]])</f>
        <v>22</v>
      </c>
      <c r="G864" s="9">
        <f xml:space="preserve"> WYNAJEM4[[#This Row],[energia]] + WYNAJEM4[[#This Row],[woda]]</f>
        <v>8.8800000000000008</v>
      </c>
      <c r="H864" s="8">
        <f xml:space="preserve"> (10 * WYNAJEM4[[#This Row],[typ]] * WYNAJEM4[[#This Row],[czas wynajecia domku]])</f>
        <v>440</v>
      </c>
      <c r="I864" s="9">
        <f xml:space="preserve"> WYNAJEM4[[#This Row],[suma energia i woda]] + WYNAJEM4[[#This Row],[czynsz]]</f>
        <v>448.88</v>
      </c>
    </row>
    <row r="865" spans="1:9" x14ac:dyDescent="0.25">
      <c r="A865" s="1">
        <v>41971</v>
      </c>
      <c r="B865" s="1">
        <v>41988</v>
      </c>
      <c r="C865" s="8">
        <v>19.54</v>
      </c>
      <c r="D865" s="8">
        <v>0.51</v>
      </c>
      <c r="E865">
        <v>6</v>
      </c>
      <c r="F865" s="10">
        <f>(WYNAJEM4[[#This Row],[data_wyjazdu]]-WYNAJEM4[[#This Row],[data_przyjazdu]])</f>
        <v>17</v>
      </c>
      <c r="G865" s="9">
        <f xml:space="preserve"> WYNAJEM4[[#This Row],[energia]] + WYNAJEM4[[#This Row],[woda]]</f>
        <v>20.05</v>
      </c>
      <c r="H865" s="8">
        <f xml:space="preserve"> (10 * WYNAJEM4[[#This Row],[typ]] * WYNAJEM4[[#This Row],[czas wynajecia domku]])</f>
        <v>1020</v>
      </c>
      <c r="I865" s="9">
        <f xml:space="preserve"> WYNAJEM4[[#This Row],[suma energia i woda]] + WYNAJEM4[[#This Row],[czynsz]]</f>
        <v>1040.05</v>
      </c>
    </row>
    <row r="866" spans="1:9" x14ac:dyDescent="0.25">
      <c r="A866" s="1">
        <v>41971</v>
      </c>
      <c r="B866" s="1">
        <v>41994</v>
      </c>
      <c r="C866" s="8">
        <v>8.83</v>
      </c>
      <c r="D866" s="8">
        <v>0.23</v>
      </c>
      <c r="E866">
        <v>2</v>
      </c>
      <c r="F866" s="10">
        <f>(WYNAJEM4[[#This Row],[data_wyjazdu]]-WYNAJEM4[[#This Row],[data_przyjazdu]])</f>
        <v>23</v>
      </c>
      <c r="G866" s="9">
        <f xml:space="preserve"> WYNAJEM4[[#This Row],[energia]] + WYNAJEM4[[#This Row],[woda]]</f>
        <v>9.06</v>
      </c>
      <c r="H866" s="8">
        <f xml:space="preserve"> (10 * WYNAJEM4[[#This Row],[typ]] * WYNAJEM4[[#This Row],[czas wynajecia domku]])</f>
        <v>460</v>
      </c>
      <c r="I866" s="9">
        <f xml:space="preserve"> WYNAJEM4[[#This Row],[suma energia i woda]] + WYNAJEM4[[#This Row],[czynsz]]</f>
        <v>469.06</v>
      </c>
    </row>
    <row r="867" spans="1:9" x14ac:dyDescent="0.25">
      <c r="A867" s="1">
        <v>41971</v>
      </c>
      <c r="B867" s="1">
        <v>41994</v>
      </c>
      <c r="C867" s="8">
        <v>5.64</v>
      </c>
      <c r="D867" s="8">
        <v>0.15</v>
      </c>
      <c r="E867">
        <v>3</v>
      </c>
      <c r="F867" s="10">
        <f>(WYNAJEM4[[#This Row],[data_wyjazdu]]-WYNAJEM4[[#This Row],[data_przyjazdu]])</f>
        <v>23</v>
      </c>
      <c r="G867" s="9">
        <f xml:space="preserve"> WYNAJEM4[[#This Row],[energia]] + WYNAJEM4[[#This Row],[woda]]</f>
        <v>5.79</v>
      </c>
      <c r="H867" s="8">
        <f xml:space="preserve"> (10 * WYNAJEM4[[#This Row],[typ]] * WYNAJEM4[[#This Row],[czas wynajecia domku]])</f>
        <v>690</v>
      </c>
      <c r="I867" s="9">
        <f xml:space="preserve"> WYNAJEM4[[#This Row],[suma energia i woda]] + WYNAJEM4[[#This Row],[czynsz]]</f>
        <v>695.79</v>
      </c>
    </row>
    <row r="868" spans="1:9" x14ac:dyDescent="0.25">
      <c r="A868" s="1">
        <v>41971</v>
      </c>
      <c r="B868" s="1">
        <v>41995</v>
      </c>
      <c r="C868" s="8">
        <v>8.89</v>
      </c>
      <c r="D868" s="8">
        <v>0.23</v>
      </c>
      <c r="E868">
        <v>4</v>
      </c>
      <c r="F868" s="10">
        <f>(WYNAJEM4[[#This Row],[data_wyjazdu]]-WYNAJEM4[[#This Row],[data_przyjazdu]])</f>
        <v>24</v>
      </c>
      <c r="G868" s="9">
        <f xml:space="preserve"> WYNAJEM4[[#This Row],[energia]] + WYNAJEM4[[#This Row],[woda]]</f>
        <v>9.120000000000001</v>
      </c>
      <c r="H868" s="8">
        <f xml:space="preserve"> (10 * WYNAJEM4[[#This Row],[typ]] * WYNAJEM4[[#This Row],[czas wynajecia domku]])</f>
        <v>960</v>
      </c>
      <c r="I868" s="9">
        <f xml:space="preserve"> WYNAJEM4[[#This Row],[suma energia i woda]] + WYNAJEM4[[#This Row],[czynsz]]</f>
        <v>969.12</v>
      </c>
    </row>
    <row r="869" spans="1:9" x14ac:dyDescent="0.25">
      <c r="A869" s="1">
        <v>41971</v>
      </c>
      <c r="B869" s="1">
        <v>41981</v>
      </c>
      <c r="C869" s="8">
        <v>16.829999999999998</v>
      </c>
      <c r="D869" s="8">
        <v>0.44</v>
      </c>
      <c r="E869">
        <v>2</v>
      </c>
      <c r="F869" s="10">
        <f>(WYNAJEM4[[#This Row],[data_wyjazdu]]-WYNAJEM4[[#This Row],[data_przyjazdu]])</f>
        <v>10</v>
      </c>
      <c r="G869" s="9">
        <f xml:space="preserve"> WYNAJEM4[[#This Row],[energia]] + WYNAJEM4[[#This Row],[woda]]</f>
        <v>17.27</v>
      </c>
      <c r="H869" s="8">
        <f xml:space="preserve"> (10 * WYNAJEM4[[#This Row],[typ]] * WYNAJEM4[[#This Row],[czas wynajecia domku]])</f>
        <v>200</v>
      </c>
      <c r="I869" s="9">
        <f xml:space="preserve"> WYNAJEM4[[#This Row],[suma energia i woda]] + WYNAJEM4[[#This Row],[czynsz]]</f>
        <v>217.27</v>
      </c>
    </row>
    <row r="870" spans="1:9" x14ac:dyDescent="0.25">
      <c r="A870" s="1">
        <v>41971</v>
      </c>
      <c r="B870" s="1">
        <v>41982</v>
      </c>
      <c r="C870" s="8">
        <v>11.42</v>
      </c>
      <c r="D870" s="8">
        <v>0.3</v>
      </c>
      <c r="E870">
        <v>2</v>
      </c>
      <c r="F870" s="10">
        <f>(WYNAJEM4[[#This Row],[data_wyjazdu]]-WYNAJEM4[[#This Row],[data_przyjazdu]])</f>
        <v>11</v>
      </c>
      <c r="G870" s="9">
        <f xml:space="preserve"> WYNAJEM4[[#This Row],[energia]] + WYNAJEM4[[#This Row],[woda]]</f>
        <v>11.72</v>
      </c>
      <c r="H870" s="8">
        <f xml:space="preserve"> (10 * WYNAJEM4[[#This Row],[typ]] * WYNAJEM4[[#This Row],[czas wynajecia domku]])</f>
        <v>220</v>
      </c>
      <c r="I870" s="9">
        <f xml:space="preserve"> WYNAJEM4[[#This Row],[suma energia i woda]] + WYNAJEM4[[#This Row],[czynsz]]</f>
        <v>231.72</v>
      </c>
    </row>
    <row r="871" spans="1:9" x14ac:dyDescent="0.25">
      <c r="A871" s="1">
        <v>41972</v>
      </c>
      <c r="B871" s="1">
        <v>41979</v>
      </c>
      <c r="C871" s="8">
        <v>5.64</v>
      </c>
      <c r="D871" s="8">
        <v>0.15</v>
      </c>
      <c r="E871">
        <v>3</v>
      </c>
      <c r="F871" s="10">
        <f>(WYNAJEM4[[#This Row],[data_wyjazdu]]-WYNAJEM4[[#This Row],[data_przyjazdu]])</f>
        <v>7</v>
      </c>
      <c r="G871" s="9">
        <f xml:space="preserve"> WYNAJEM4[[#This Row],[energia]] + WYNAJEM4[[#This Row],[woda]]</f>
        <v>5.79</v>
      </c>
      <c r="H871" s="8">
        <f xml:space="preserve"> (10 * WYNAJEM4[[#This Row],[typ]] * WYNAJEM4[[#This Row],[czas wynajecia domku]])</f>
        <v>210</v>
      </c>
      <c r="I871" s="9">
        <f xml:space="preserve"> WYNAJEM4[[#This Row],[suma energia i woda]] + WYNAJEM4[[#This Row],[czynsz]]</f>
        <v>215.79</v>
      </c>
    </row>
    <row r="872" spans="1:9" x14ac:dyDescent="0.25">
      <c r="A872" s="1">
        <v>41974</v>
      </c>
      <c r="B872" s="1">
        <v>41985</v>
      </c>
      <c r="C872" s="8">
        <v>8.7200000000000006</v>
      </c>
      <c r="D872" s="8">
        <v>0.23</v>
      </c>
      <c r="E872">
        <v>6</v>
      </c>
      <c r="F872" s="10">
        <f>(WYNAJEM4[[#This Row],[data_wyjazdu]]-WYNAJEM4[[#This Row],[data_przyjazdu]])</f>
        <v>11</v>
      </c>
      <c r="G872" s="9">
        <f xml:space="preserve"> WYNAJEM4[[#This Row],[energia]] + WYNAJEM4[[#This Row],[woda]]</f>
        <v>8.9500000000000011</v>
      </c>
      <c r="H872" s="8">
        <f xml:space="preserve"> (10 * WYNAJEM4[[#This Row],[typ]] * WYNAJEM4[[#This Row],[czas wynajecia domku]])</f>
        <v>660</v>
      </c>
      <c r="I872" s="9">
        <f xml:space="preserve"> WYNAJEM4[[#This Row],[suma energia i woda]] + WYNAJEM4[[#This Row],[czynsz]]</f>
        <v>668.95</v>
      </c>
    </row>
    <row r="873" spans="1:9" x14ac:dyDescent="0.25">
      <c r="A873" s="1">
        <v>41974</v>
      </c>
      <c r="B873" s="1">
        <v>41994</v>
      </c>
      <c r="C873" s="8">
        <v>5.67</v>
      </c>
      <c r="D873" s="8">
        <v>0.15</v>
      </c>
      <c r="E873">
        <v>5</v>
      </c>
      <c r="F873" s="10">
        <f>(WYNAJEM4[[#This Row],[data_wyjazdu]]-WYNAJEM4[[#This Row],[data_przyjazdu]])</f>
        <v>20</v>
      </c>
      <c r="G873" s="9">
        <f xml:space="preserve"> WYNAJEM4[[#This Row],[energia]] + WYNAJEM4[[#This Row],[woda]]</f>
        <v>5.82</v>
      </c>
      <c r="H873" s="8">
        <f xml:space="preserve"> (10 * WYNAJEM4[[#This Row],[typ]] * WYNAJEM4[[#This Row],[czas wynajecia domku]])</f>
        <v>1000</v>
      </c>
      <c r="I873" s="9">
        <f xml:space="preserve"> WYNAJEM4[[#This Row],[suma energia i woda]] + WYNAJEM4[[#This Row],[czynsz]]</f>
        <v>1005.82</v>
      </c>
    </row>
    <row r="874" spans="1:9" x14ac:dyDescent="0.25">
      <c r="A874" s="1">
        <v>41974</v>
      </c>
      <c r="B874" s="1">
        <v>41995</v>
      </c>
      <c r="C874" s="8">
        <v>3.88</v>
      </c>
      <c r="D874" s="8">
        <v>0.1</v>
      </c>
      <c r="E874">
        <v>5</v>
      </c>
      <c r="F874" s="10">
        <f>(WYNAJEM4[[#This Row],[data_wyjazdu]]-WYNAJEM4[[#This Row],[data_przyjazdu]])</f>
        <v>21</v>
      </c>
      <c r="G874" s="9">
        <f xml:space="preserve"> WYNAJEM4[[#This Row],[energia]] + WYNAJEM4[[#This Row],[woda]]</f>
        <v>3.98</v>
      </c>
      <c r="H874" s="8">
        <f xml:space="preserve"> (10 * WYNAJEM4[[#This Row],[typ]] * WYNAJEM4[[#This Row],[czas wynajecia domku]])</f>
        <v>1050</v>
      </c>
      <c r="I874" s="9">
        <f xml:space="preserve"> WYNAJEM4[[#This Row],[suma energia i woda]] + WYNAJEM4[[#This Row],[czynsz]]</f>
        <v>1053.98</v>
      </c>
    </row>
    <row r="875" spans="1:9" x14ac:dyDescent="0.25">
      <c r="A875" s="1">
        <v>41974</v>
      </c>
      <c r="B875" s="1">
        <v>41989</v>
      </c>
      <c r="C875" s="8">
        <v>6.58</v>
      </c>
      <c r="D875" s="8">
        <v>0.17</v>
      </c>
      <c r="E875">
        <v>5</v>
      </c>
      <c r="F875" s="10">
        <f>(WYNAJEM4[[#This Row],[data_wyjazdu]]-WYNAJEM4[[#This Row],[data_przyjazdu]])</f>
        <v>15</v>
      </c>
      <c r="G875" s="9">
        <f xml:space="preserve"> WYNAJEM4[[#This Row],[energia]] + WYNAJEM4[[#This Row],[woda]]</f>
        <v>6.75</v>
      </c>
      <c r="H875" s="8">
        <f xml:space="preserve"> (10 * WYNAJEM4[[#This Row],[typ]] * WYNAJEM4[[#This Row],[czas wynajecia domku]])</f>
        <v>750</v>
      </c>
      <c r="I875" s="9">
        <f xml:space="preserve"> WYNAJEM4[[#This Row],[suma energia i woda]] + WYNAJEM4[[#This Row],[czynsz]]</f>
        <v>756.75</v>
      </c>
    </row>
    <row r="876" spans="1:9" x14ac:dyDescent="0.25">
      <c r="A876" s="1">
        <v>41974</v>
      </c>
      <c r="B876" s="1">
        <v>41994</v>
      </c>
      <c r="C876" s="8">
        <v>5.67</v>
      </c>
      <c r="D876" s="8">
        <v>0.15</v>
      </c>
      <c r="E876">
        <v>2</v>
      </c>
      <c r="F876" s="10">
        <f>(WYNAJEM4[[#This Row],[data_wyjazdu]]-WYNAJEM4[[#This Row],[data_przyjazdu]])</f>
        <v>20</v>
      </c>
      <c r="G876" s="9">
        <f xml:space="preserve"> WYNAJEM4[[#This Row],[energia]] + WYNAJEM4[[#This Row],[woda]]</f>
        <v>5.82</v>
      </c>
      <c r="H876" s="8">
        <f xml:space="preserve"> (10 * WYNAJEM4[[#This Row],[typ]] * WYNAJEM4[[#This Row],[czas wynajecia domku]])</f>
        <v>400</v>
      </c>
      <c r="I876" s="9">
        <f xml:space="preserve"> WYNAJEM4[[#This Row],[suma energia i woda]] + WYNAJEM4[[#This Row],[czynsz]]</f>
        <v>405.82</v>
      </c>
    </row>
    <row r="877" spans="1:9" x14ac:dyDescent="0.25">
      <c r="A877" s="1">
        <v>41974</v>
      </c>
      <c r="B877" s="1">
        <v>41994</v>
      </c>
      <c r="C877" s="8">
        <v>6.34</v>
      </c>
      <c r="D877" s="8">
        <v>0.17</v>
      </c>
      <c r="E877">
        <v>6</v>
      </c>
      <c r="F877" s="10">
        <f>(WYNAJEM4[[#This Row],[data_wyjazdu]]-WYNAJEM4[[#This Row],[data_przyjazdu]])</f>
        <v>20</v>
      </c>
      <c r="G877" s="9">
        <f xml:space="preserve"> WYNAJEM4[[#This Row],[energia]] + WYNAJEM4[[#This Row],[woda]]</f>
        <v>6.51</v>
      </c>
      <c r="H877" s="8">
        <f xml:space="preserve"> (10 * WYNAJEM4[[#This Row],[typ]] * WYNAJEM4[[#This Row],[czas wynajecia domku]])</f>
        <v>1200</v>
      </c>
      <c r="I877" s="9">
        <f xml:space="preserve"> WYNAJEM4[[#This Row],[suma energia i woda]] + WYNAJEM4[[#This Row],[czynsz]]</f>
        <v>1206.51</v>
      </c>
    </row>
    <row r="878" spans="1:9" x14ac:dyDescent="0.25">
      <c r="A878" s="1">
        <v>41974</v>
      </c>
      <c r="B878" s="1">
        <v>41985</v>
      </c>
      <c r="C878" s="8">
        <v>6.58</v>
      </c>
      <c r="D878" s="8">
        <v>0.17</v>
      </c>
      <c r="E878">
        <v>6</v>
      </c>
      <c r="F878" s="10">
        <f>(WYNAJEM4[[#This Row],[data_wyjazdu]]-WYNAJEM4[[#This Row],[data_przyjazdu]])</f>
        <v>11</v>
      </c>
      <c r="G878" s="9">
        <f xml:space="preserve"> WYNAJEM4[[#This Row],[energia]] + WYNAJEM4[[#This Row],[woda]]</f>
        <v>6.75</v>
      </c>
      <c r="H878" s="8">
        <f xml:space="preserve"> (10 * WYNAJEM4[[#This Row],[typ]] * WYNAJEM4[[#This Row],[czas wynajecia domku]])</f>
        <v>660</v>
      </c>
      <c r="I878" s="9">
        <f xml:space="preserve"> WYNAJEM4[[#This Row],[suma energia i woda]] + WYNAJEM4[[#This Row],[czynsz]]</f>
        <v>666.75</v>
      </c>
    </row>
    <row r="879" spans="1:9" x14ac:dyDescent="0.25">
      <c r="A879" s="1">
        <v>41975</v>
      </c>
      <c r="B879" s="1">
        <v>41977</v>
      </c>
      <c r="C879" s="8">
        <v>5.67</v>
      </c>
      <c r="D879" s="8">
        <v>0.15</v>
      </c>
      <c r="E879">
        <v>3</v>
      </c>
      <c r="F879" s="10">
        <f>(WYNAJEM4[[#This Row],[data_wyjazdu]]-WYNAJEM4[[#This Row],[data_przyjazdu]])</f>
        <v>2</v>
      </c>
      <c r="G879" s="9">
        <f xml:space="preserve"> WYNAJEM4[[#This Row],[energia]] + WYNAJEM4[[#This Row],[woda]]</f>
        <v>5.82</v>
      </c>
      <c r="H879" s="8">
        <f xml:space="preserve"> (10 * WYNAJEM4[[#This Row],[typ]] * WYNAJEM4[[#This Row],[czas wynajecia domku]])</f>
        <v>60</v>
      </c>
      <c r="I879" s="9">
        <f xml:space="preserve"> WYNAJEM4[[#This Row],[suma energia i woda]] + WYNAJEM4[[#This Row],[czynsz]]</f>
        <v>65.819999999999993</v>
      </c>
    </row>
    <row r="880" spans="1:9" x14ac:dyDescent="0.25">
      <c r="A880" s="1">
        <v>41975</v>
      </c>
      <c r="B880" s="1">
        <v>41981</v>
      </c>
      <c r="C880" s="8">
        <v>4.25</v>
      </c>
      <c r="D880" s="8">
        <v>0.11</v>
      </c>
      <c r="E880">
        <v>3</v>
      </c>
      <c r="F880" s="10">
        <f>(WYNAJEM4[[#This Row],[data_wyjazdu]]-WYNAJEM4[[#This Row],[data_przyjazdu]])</f>
        <v>6</v>
      </c>
      <c r="G880" s="9">
        <f xml:space="preserve"> WYNAJEM4[[#This Row],[energia]] + WYNAJEM4[[#This Row],[woda]]</f>
        <v>4.3600000000000003</v>
      </c>
      <c r="H880" s="8">
        <f xml:space="preserve"> (10 * WYNAJEM4[[#This Row],[typ]] * WYNAJEM4[[#This Row],[czas wynajecia domku]])</f>
        <v>180</v>
      </c>
      <c r="I880" s="9">
        <f xml:space="preserve"> WYNAJEM4[[#This Row],[suma energia i woda]] + WYNAJEM4[[#This Row],[czynsz]]</f>
        <v>184.36</v>
      </c>
    </row>
    <row r="881" spans="1:9" x14ac:dyDescent="0.25">
      <c r="A881" s="1">
        <v>41975</v>
      </c>
      <c r="B881" s="1">
        <v>41992</v>
      </c>
      <c r="C881" s="8">
        <v>8.84</v>
      </c>
      <c r="D881" s="8">
        <v>0.23</v>
      </c>
      <c r="E881">
        <v>3</v>
      </c>
      <c r="F881" s="10">
        <f>(WYNAJEM4[[#This Row],[data_wyjazdu]]-WYNAJEM4[[#This Row],[data_przyjazdu]])</f>
        <v>17</v>
      </c>
      <c r="G881" s="9">
        <f xml:space="preserve"> WYNAJEM4[[#This Row],[energia]] + WYNAJEM4[[#This Row],[woda]]</f>
        <v>9.07</v>
      </c>
      <c r="H881" s="8">
        <f xml:space="preserve"> (10 * WYNAJEM4[[#This Row],[typ]] * WYNAJEM4[[#This Row],[czas wynajecia domku]])</f>
        <v>510</v>
      </c>
      <c r="I881" s="9">
        <f xml:space="preserve"> WYNAJEM4[[#This Row],[suma energia i woda]] + WYNAJEM4[[#This Row],[czynsz]]</f>
        <v>519.07000000000005</v>
      </c>
    </row>
    <row r="882" spans="1:9" x14ac:dyDescent="0.25">
      <c r="A882" s="1">
        <v>41975</v>
      </c>
      <c r="B882" s="1">
        <v>41990</v>
      </c>
      <c r="C882" s="8">
        <v>3.57</v>
      </c>
      <c r="D882" s="8">
        <v>0.09</v>
      </c>
      <c r="E882">
        <v>5</v>
      </c>
      <c r="F882" s="10">
        <f>(WYNAJEM4[[#This Row],[data_wyjazdu]]-WYNAJEM4[[#This Row],[data_przyjazdu]])</f>
        <v>15</v>
      </c>
      <c r="G882" s="9">
        <f xml:space="preserve"> WYNAJEM4[[#This Row],[energia]] + WYNAJEM4[[#This Row],[woda]]</f>
        <v>3.6599999999999997</v>
      </c>
      <c r="H882" s="8">
        <f xml:space="preserve"> (10 * WYNAJEM4[[#This Row],[typ]] * WYNAJEM4[[#This Row],[czas wynajecia domku]])</f>
        <v>750</v>
      </c>
      <c r="I882" s="9">
        <f xml:space="preserve"> WYNAJEM4[[#This Row],[suma energia i woda]] + WYNAJEM4[[#This Row],[czynsz]]</f>
        <v>753.66</v>
      </c>
    </row>
    <row r="883" spans="1:9" x14ac:dyDescent="0.25">
      <c r="A883" s="1">
        <v>41975</v>
      </c>
      <c r="B883" s="1">
        <v>41990</v>
      </c>
      <c r="C883" s="8">
        <v>2.0099999999999998</v>
      </c>
      <c r="D883" s="8">
        <v>0.05</v>
      </c>
      <c r="E883">
        <v>2</v>
      </c>
      <c r="F883" s="10">
        <f>(WYNAJEM4[[#This Row],[data_wyjazdu]]-WYNAJEM4[[#This Row],[data_przyjazdu]])</f>
        <v>15</v>
      </c>
      <c r="G883" s="9">
        <f xml:space="preserve"> WYNAJEM4[[#This Row],[energia]] + WYNAJEM4[[#This Row],[woda]]</f>
        <v>2.0599999999999996</v>
      </c>
      <c r="H883" s="8">
        <f xml:space="preserve"> (10 * WYNAJEM4[[#This Row],[typ]] * WYNAJEM4[[#This Row],[czas wynajecia domku]])</f>
        <v>300</v>
      </c>
      <c r="I883" s="9">
        <f xml:space="preserve"> WYNAJEM4[[#This Row],[suma energia i woda]] + WYNAJEM4[[#This Row],[czynsz]]</f>
        <v>302.06</v>
      </c>
    </row>
    <row r="884" spans="1:9" x14ac:dyDescent="0.25">
      <c r="A884" s="1">
        <v>41975</v>
      </c>
      <c r="B884" s="1">
        <v>41992</v>
      </c>
      <c r="C884" s="8">
        <v>3.73</v>
      </c>
      <c r="D884" s="8">
        <v>0.1</v>
      </c>
      <c r="E884">
        <v>3</v>
      </c>
      <c r="F884" s="10">
        <f>(WYNAJEM4[[#This Row],[data_wyjazdu]]-WYNAJEM4[[#This Row],[data_przyjazdu]])</f>
        <v>17</v>
      </c>
      <c r="G884" s="9">
        <f xml:space="preserve"> WYNAJEM4[[#This Row],[energia]] + WYNAJEM4[[#This Row],[woda]]</f>
        <v>3.83</v>
      </c>
      <c r="H884" s="8">
        <f xml:space="preserve"> (10 * WYNAJEM4[[#This Row],[typ]] * WYNAJEM4[[#This Row],[czas wynajecia domku]])</f>
        <v>510</v>
      </c>
      <c r="I884" s="9">
        <f xml:space="preserve"> WYNAJEM4[[#This Row],[suma energia i woda]] + WYNAJEM4[[#This Row],[czynsz]]</f>
        <v>513.83000000000004</v>
      </c>
    </row>
    <row r="885" spans="1:9" x14ac:dyDescent="0.25">
      <c r="A885" s="1">
        <v>41976</v>
      </c>
      <c r="B885" s="1">
        <v>41978</v>
      </c>
      <c r="C885" s="8">
        <v>3.57</v>
      </c>
      <c r="D885" s="8">
        <v>0.09</v>
      </c>
      <c r="E885">
        <v>5</v>
      </c>
      <c r="F885" s="10">
        <f>(WYNAJEM4[[#This Row],[data_wyjazdu]]-WYNAJEM4[[#This Row],[data_przyjazdu]])</f>
        <v>2</v>
      </c>
      <c r="G885" s="9">
        <f xml:space="preserve"> WYNAJEM4[[#This Row],[energia]] + WYNAJEM4[[#This Row],[woda]]</f>
        <v>3.6599999999999997</v>
      </c>
      <c r="H885" s="8">
        <f xml:space="preserve"> (10 * WYNAJEM4[[#This Row],[typ]] * WYNAJEM4[[#This Row],[czas wynajecia domku]])</f>
        <v>100</v>
      </c>
      <c r="I885" s="9">
        <f xml:space="preserve"> WYNAJEM4[[#This Row],[suma energia i woda]] + WYNAJEM4[[#This Row],[czynsz]]</f>
        <v>103.66</v>
      </c>
    </row>
    <row r="886" spans="1:9" x14ac:dyDescent="0.25">
      <c r="A886" s="1">
        <v>41977</v>
      </c>
      <c r="B886" s="1">
        <v>41993</v>
      </c>
      <c r="C886" s="8">
        <v>6.58</v>
      </c>
      <c r="D886" s="8">
        <v>0.17</v>
      </c>
      <c r="E886">
        <v>4</v>
      </c>
      <c r="F886" s="10">
        <f>(WYNAJEM4[[#This Row],[data_wyjazdu]]-WYNAJEM4[[#This Row],[data_przyjazdu]])</f>
        <v>16</v>
      </c>
      <c r="G886" s="9">
        <f xml:space="preserve"> WYNAJEM4[[#This Row],[energia]] + WYNAJEM4[[#This Row],[woda]]</f>
        <v>6.75</v>
      </c>
      <c r="H886" s="8">
        <f xml:space="preserve"> (10 * WYNAJEM4[[#This Row],[typ]] * WYNAJEM4[[#This Row],[czas wynajecia domku]])</f>
        <v>640</v>
      </c>
      <c r="I886" s="9">
        <f xml:space="preserve"> WYNAJEM4[[#This Row],[suma energia i woda]] + WYNAJEM4[[#This Row],[czynsz]]</f>
        <v>646.75</v>
      </c>
    </row>
    <row r="887" spans="1:9" x14ac:dyDescent="0.25">
      <c r="A887" s="1">
        <v>41977</v>
      </c>
      <c r="B887" s="1">
        <v>42005</v>
      </c>
      <c r="C887" s="8">
        <v>5.64</v>
      </c>
      <c r="D887" s="8">
        <v>0.15</v>
      </c>
      <c r="E887">
        <v>6</v>
      </c>
      <c r="F887" s="10">
        <f>(WYNAJEM4[[#This Row],[data_wyjazdu]]-WYNAJEM4[[#This Row],[data_przyjazdu]])</f>
        <v>28</v>
      </c>
      <c r="G887" s="9">
        <f xml:space="preserve"> WYNAJEM4[[#This Row],[energia]] + WYNAJEM4[[#This Row],[woda]]</f>
        <v>5.79</v>
      </c>
      <c r="H887" s="8">
        <f xml:space="preserve"> (10 * WYNAJEM4[[#This Row],[typ]] * WYNAJEM4[[#This Row],[czas wynajecia domku]])</f>
        <v>1680</v>
      </c>
      <c r="I887" s="9">
        <f xml:space="preserve"> WYNAJEM4[[#This Row],[suma energia i woda]] + WYNAJEM4[[#This Row],[czynsz]]</f>
        <v>1685.79</v>
      </c>
    </row>
    <row r="888" spans="1:9" x14ac:dyDescent="0.25">
      <c r="A888" s="1">
        <v>41977</v>
      </c>
      <c r="B888" s="1">
        <v>41989</v>
      </c>
      <c r="C888" s="8">
        <v>3.88</v>
      </c>
      <c r="D888" s="8">
        <v>0.1</v>
      </c>
      <c r="E888">
        <v>2</v>
      </c>
      <c r="F888" s="10">
        <f>(WYNAJEM4[[#This Row],[data_wyjazdu]]-WYNAJEM4[[#This Row],[data_przyjazdu]])</f>
        <v>12</v>
      </c>
      <c r="G888" s="9">
        <f xml:space="preserve"> WYNAJEM4[[#This Row],[energia]] + WYNAJEM4[[#This Row],[woda]]</f>
        <v>3.98</v>
      </c>
      <c r="H888" s="8">
        <f xml:space="preserve"> (10 * WYNAJEM4[[#This Row],[typ]] * WYNAJEM4[[#This Row],[czas wynajecia domku]])</f>
        <v>240</v>
      </c>
      <c r="I888" s="9">
        <f xml:space="preserve"> WYNAJEM4[[#This Row],[suma energia i woda]] + WYNAJEM4[[#This Row],[czynsz]]</f>
        <v>243.98</v>
      </c>
    </row>
    <row r="889" spans="1:9" x14ac:dyDescent="0.25">
      <c r="A889" s="1">
        <v>41977</v>
      </c>
      <c r="B889" s="1">
        <v>42000</v>
      </c>
      <c r="C889" s="8">
        <v>3.79</v>
      </c>
      <c r="D889" s="8">
        <v>0.1</v>
      </c>
      <c r="E889">
        <v>6</v>
      </c>
      <c r="F889" s="10">
        <f>(WYNAJEM4[[#This Row],[data_wyjazdu]]-WYNAJEM4[[#This Row],[data_przyjazdu]])</f>
        <v>23</v>
      </c>
      <c r="G889" s="9">
        <f xml:space="preserve"> WYNAJEM4[[#This Row],[energia]] + WYNAJEM4[[#This Row],[woda]]</f>
        <v>3.89</v>
      </c>
      <c r="H889" s="8">
        <f xml:space="preserve"> (10 * WYNAJEM4[[#This Row],[typ]] * WYNAJEM4[[#This Row],[czas wynajecia domku]])</f>
        <v>1380</v>
      </c>
      <c r="I889" s="9">
        <f xml:space="preserve"> WYNAJEM4[[#This Row],[suma energia i woda]] + WYNAJEM4[[#This Row],[czynsz]]</f>
        <v>1383.89</v>
      </c>
    </row>
    <row r="890" spans="1:9" x14ac:dyDescent="0.25">
      <c r="A890" s="1">
        <v>41977</v>
      </c>
      <c r="B890" s="1">
        <v>41984</v>
      </c>
      <c r="C890" s="8">
        <v>11.37</v>
      </c>
      <c r="D890" s="8">
        <v>0.3</v>
      </c>
      <c r="E890">
        <v>2</v>
      </c>
      <c r="F890" s="10">
        <f>(WYNAJEM4[[#This Row],[data_wyjazdu]]-WYNAJEM4[[#This Row],[data_przyjazdu]])</f>
        <v>7</v>
      </c>
      <c r="G890" s="9">
        <f xml:space="preserve"> WYNAJEM4[[#This Row],[energia]] + WYNAJEM4[[#This Row],[woda]]</f>
        <v>11.67</v>
      </c>
      <c r="H890" s="8">
        <f xml:space="preserve"> (10 * WYNAJEM4[[#This Row],[typ]] * WYNAJEM4[[#This Row],[czas wynajecia domku]])</f>
        <v>140</v>
      </c>
      <c r="I890" s="9">
        <f xml:space="preserve"> WYNAJEM4[[#This Row],[suma energia i woda]] + WYNAJEM4[[#This Row],[czynsz]]</f>
        <v>151.66999999999999</v>
      </c>
    </row>
    <row r="891" spans="1:9" x14ac:dyDescent="0.25">
      <c r="A891" s="1">
        <v>41977</v>
      </c>
      <c r="B891" s="1">
        <v>41994</v>
      </c>
      <c r="C891" s="8">
        <v>16.55</v>
      </c>
      <c r="D891" s="8">
        <v>0.44</v>
      </c>
      <c r="E891">
        <v>6</v>
      </c>
      <c r="F891" s="10">
        <f>(WYNAJEM4[[#This Row],[data_wyjazdu]]-WYNAJEM4[[#This Row],[data_przyjazdu]])</f>
        <v>17</v>
      </c>
      <c r="G891" s="9">
        <f xml:space="preserve"> WYNAJEM4[[#This Row],[energia]] + WYNAJEM4[[#This Row],[woda]]</f>
        <v>16.990000000000002</v>
      </c>
      <c r="H891" s="8">
        <f xml:space="preserve"> (10 * WYNAJEM4[[#This Row],[typ]] * WYNAJEM4[[#This Row],[czas wynajecia domku]])</f>
        <v>1020</v>
      </c>
      <c r="I891" s="9">
        <f xml:space="preserve"> WYNAJEM4[[#This Row],[suma energia i woda]] + WYNAJEM4[[#This Row],[czynsz]]</f>
        <v>1036.99</v>
      </c>
    </row>
    <row r="892" spans="1:9" x14ac:dyDescent="0.25">
      <c r="A892" s="1">
        <v>41977</v>
      </c>
      <c r="B892" s="1">
        <v>42001</v>
      </c>
      <c r="C892" s="8">
        <v>6.88</v>
      </c>
      <c r="D892" s="8">
        <v>0.18</v>
      </c>
      <c r="E892">
        <v>4</v>
      </c>
      <c r="F892" s="10">
        <f>(WYNAJEM4[[#This Row],[data_wyjazdu]]-WYNAJEM4[[#This Row],[data_przyjazdu]])</f>
        <v>24</v>
      </c>
      <c r="G892" s="9">
        <f xml:space="preserve"> WYNAJEM4[[#This Row],[energia]] + WYNAJEM4[[#This Row],[woda]]</f>
        <v>7.06</v>
      </c>
      <c r="H892" s="8">
        <f xml:space="preserve"> (10 * WYNAJEM4[[#This Row],[typ]] * WYNAJEM4[[#This Row],[czas wynajecia domku]])</f>
        <v>960</v>
      </c>
      <c r="I892" s="9">
        <f xml:space="preserve"> WYNAJEM4[[#This Row],[suma energia i woda]] + WYNAJEM4[[#This Row],[czynsz]]</f>
        <v>967.06</v>
      </c>
    </row>
    <row r="893" spans="1:9" x14ac:dyDescent="0.25">
      <c r="A893" s="1">
        <v>41982</v>
      </c>
      <c r="B893" s="1">
        <v>42001</v>
      </c>
      <c r="C893" s="8">
        <v>5.64</v>
      </c>
      <c r="D893" s="8">
        <v>0.15</v>
      </c>
      <c r="E893">
        <v>4</v>
      </c>
      <c r="F893" s="10">
        <f>(WYNAJEM4[[#This Row],[data_wyjazdu]]-WYNAJEM4[[#This Row],[data_przyjazdu]])</f>
        <v>19</v>
      </c>
      <c r="G893" s="9">
        <f xml:space="preserve"> WYNAJEM4[[#This Row],[energia]] + WYNAJEM4[[#This Row],[woda]]</f>
        <v>5.79</v>
      </c>
      <c r="H893" s="8">
        <f xml:space="preserve"> (10 * WYNAJEM4[[#This Row],[typ]] * WYNAJEM4[[#This Row],[czas wynajecia domku]])</f>
        <v>760</v>
      </c>
      <c r="I893" s="9">
        <f xml:space="preserve"> WYNAJEM4[[#This Row],[suma energia i woda]] + WYNAJEM4[[#This Row],[czynsz]]</f>
        <v>765.79</v>
      </c>
    </row>
    <row r="894" spans="1:9" x14ac:dyDescent="0.25">
      <c r="A894" s="1">
        <v>41982</v>
      </c>
      <c r="B894" s="1">
        <v>42004</v>
      </c>
      <c r="C894" s="8">
        <v>3.57</v>
      </c>
      <c r="D894" s="8">
        <v>0.09</v>
      </c>
      <c r="E894">
        <v>4</v>
      </c>
      <c r="F894" s="10">
        <f>(WYNAJEM4[[#This Row],[data_wyjazdu]]-WYNAJEM4[[#This Row],[data_przyjazdu]])</f>
        <v>22</v>
      </c>
      <c r="G894" s="9">
        <f xml:space="preserve"> WYNAJEM4[[#This Row],[energia]] + WYNAJEM4[[#This Row],[woda]]</f>
        <v>3.6599999999999997</v>
      </c>
      <c r="H894" s="8">
        <f xml:space="preserve"> (10 * WYNAJEM4[[#This Row],[typ]] * WYNAJEM4[[#This Row],[czas wynajecia domku]])</f>
        <v>880</v>
      </c>
      <c r="I894" s="9">
        <f xml:space="preserve"> WYNAJEM4[[#This Row],[suma energia i woda]] + WYNAJEM4[[#This Row],[czynsz]]</f>
        <v>883.66</v>
      </c>
    </row>
    <row r="895" spans="1:9" x14ac:dyDescent="0.25">
      <c r="A895" s="1">
        <v>41982</v>
      </c>
      <c r="B895" s="1">
        <v>42007</v>
      </c>
      <c r="C895" s="8">
        <v>9.4600000000000009</v>
      </c>
      <c r="D895" s="8">
        <v>0.25</v>
      </c>
      <c r="E895">
        <v>6</v>
      </c>
      <c r="F895" s="10">
        <f>(WYNAJEM4[[#This Row],[data_wyjazdu]]-WYNAJEM4[[#This Row],[data_przyjazdu]])</f>
        <v>25</v>
      </c>
      <c r="G895" s="9">
        <f xml:space="preserve"> WYNAJEM4[[#This Row],[energia]] + WYNAJEM4[[#This Row],[woda]]</f>
        <v>9.7100000000000009</v>
      </c>
      <c r="H895" s="8">
        <f xml:space="preserve"> (10 * WYNAJEM4[[#This Row],[typ]] * WYNAJEM4[[#This Row],[czas wynajecia domku]])</f>
        <v>1500</v>
      </c>
      <c r="I895" s="9">
        <f xml:space="preserve"> WYNAJEM4[[#This Row],[suma energia i woda]] + WYNAJEM4[[#This Row],[czynsz]]</f>
        <v>1509.71</v>
      </c>
    </row>
    <row r="896" spans="1:9" x14ac:dyDescent="0.25">
      <c r="A896" s="1">
        <v>41982</v>
      </c>
      <c r="B896" s="1">
        <v>41992</v>
      </c>
      <c r="C896" s="8">
        <v>4.25</v>
      </c>
      <c r="D896" s="8">
        <v>0.11</v>
      </c>
      <c r="E896">
        <v>5</v>
      </c>
      <c r="F896" s="10">
        <f>(WYNAJEM4[[#This Row],[data_wyjazdu]]-WYNAJEM4[[#This Row],[data_przyjazdu]])</f>
        <v>10</v>
      </c>
      <c r="G896" s="9">
        <f xml:space="preserve"> WYNAJEM4[[#This Row],[energia]] + WYNAJEM4[[#This Row],[woda]]</f>
        <v>4.3600000000000003</v>
      </c>
      <c r="H896" s="8">
        <f xml:space="preserve"> (10 * WYNAJEM4[[#This Row],[typ]] * WYNAJEM4[[#This Row],[czas wynajecia domku]])</f>
        <v>500</v>
      </c>
      <c r="I896" s="9">
        <f xml:space="preserve"> WYNAJEM4[[#This Row],[suma energia i woda]] + WYNAJEM4[[#This Row],[czynsz]]</f>
        <v>504.36</v>
      </c>
    </row>
    <row r="897" spans="1:9" x14ac:dyDescent="0.25">
      <c r="A897" s="1">
        <v>41982</v>
      </c>
      <c r="B897" s="1">
        <v>41988</v>
      </c>
      <c r="C897" s="8">
        <v>5.67</v>
      </c>
      <c r="D897" s="8">
        <v>0.15</v>
      </c>
      <c r="E897">
        <v>5</v>
      </c>
      <c r="F897" s="10">
        <f>(WYNAJEM4[[#This Row],[data_wyjazdu]]-WYNAJEM4[[#This Row],[data_przyjazdu]])</f>
        <v>6</v>
      </c>
      <c r="G897" s="9">
        <f xml:space="preserve"> WYNAJEM4[[#This Row],[energia]] + WYNAJEM4[[#This Row],[woda]]</f>
        <v>5.82</v>
      </c>
      <c r="H897" s="8">
        <f xml:space="preserve"> (10 * WYNAJEM4[[#This Row],[typ]] * WYNAJEM4[[#This Row],[czas wynajecia domku]])</f>
        <v>300</v>
      </c>
      <c r="I897" s="9">
        <f xml:space="preserve"> WYNAJEM4[[#This Row],[suma energia i woda]] + WYNAJEM4[[#This Row],[czynsz]]</f>
        <v>305.82</v>
      </c>
    </row>
    <row r="898" spans="1:9" x14ac:dyDescent="0.25">
      <c r="A898" s="1">
        <v>41982</v>
      </c>
      <c r="B898" s="1">
        <v>41999</v>
      </c>
      <c r="C898" s="8">
        <v>6.34</v>
      </c>
      <c r="D898" s="8">
        <v>0.17</v>
      </c>
      <c r="E898">
        <v>2</v>
      </c>
      <c r="F898" s="10">
        <f>(WYNAJEM4[[#This Row],[data_wyjazdu]]-WYNAJEM4[[#This Row],[data_przyjazdu]])</f>
        <v>17</v>
      </c>
      <c r="G898" s="9">
        <f xml:space="preserve"> WYNAJEM4[[#This Row],[energia]] + WYNAJEM4[[#This Row],[woda]]</f>
        <v>6.51</v>
      </c>
      <c r="H898" s="8">
        <f xml:space="preserve"> (10 * WYNAJEM4[[#This Row],[typ]] * WYNAJEM4[[#This Row],[czas wynajecia domku]])</f>
        <v>340</v>
      </c>
      <c r="I898" s="9">
        <f xml:space="preserve"> WYNAJEM4[[#This Row],[suma energia i woda]] + WYNAJEM4[[#This Row],[czynsz]]</f>
        <v>346.51</v>
      </c>
    </row>
    <row r="899" spans="1:9" x14ac:dyDescent="0.25">
      <c r="A899" s="1">
        <v>41982</v>
      </c>
      <c r="B899" s="1">
        <v>41991</v>
      </c>
      <c r="C899" s="8">
        <v>14.13</v>
      </c>
      <c r="D899" s="8">
        <v>0.37</v>
      </c>
      <c r="E899">
        <v>6</v>
      </c>
      <c r="F899" s="10">
        <f>(WYNAJEM4[[#This Row],[data_wyjazdu]]-WYNAJEM4[[#This Row],[data_przyjazdu]])</f>
        <v>9</v>
      </c>
      <c r="G899" s="9">
        <f xml:space="preserve"> WYNAJEM4[[#This Row],[energia]] + WYNAJEM4[[#This Row],[woda]]</f>
        <v>14.5</v>
      </c>
      <c r="H899" s="8">
        <f xml:space="preserve"> (10 * WYNAJEM4[[#This Row],[typ]] * WYNAJEM4[[#This Row],[czas wynajecia domku]])</f>
        <v>540</v>
      </c>
      <c r="I899" s="9">
        <f xml:space="preserve"> WYNAJEM4[[#This Row],[suma energia i woda]] + WYNAJEM4[[#This Row],[czynsz]]</f>
        <v>554.5</v>
      </c>
    </row>
    <row r="900" spans="1:9" x14ac:dyDescent="0.25">
      <c r="A900" s="1">
        <v>41982</v>
      </c>
      <c r="B900" s="1">
        <v>42007</v>
      </c>
      <c r="C900" s="8">
        <v>8.83</v>
      </c>
      <c r="D900" s="8">
        <v>0.23</v>
      </c>
      <c r="E900">
        <v>5</v>
      </c>
      <c r="F900" s="10">
        <f>(WYNAJEM4[[#This Row],[data_wyjazdu]]-WYNAJEM4[[#This Row],[data_przyjazdu]])</f>
        <v>25</v>
      </c>
      <c r="G900" s="9">
        <f xml:space="preserve"> WYNAJEM4[[#This Row],[energia]] + WYNAJEM4[[#This Row],[woda]]</f>
        <v>9.06</v>
      </c>
      <c r="H900" s="8">
        <f xml:space="preserve"> (10 * WYNAJEM4[[#This Row],[typ]] * WYNAJEM4[[#This Row],[czas wynajecia domku]])</f>
        <v>1250</v>
      </c>
      <c r="I900" s="9">
        <f xml:space="preserve"> WYNAJEM4[[#This Row],[suma energia i woda]] + WYNAJEM4[[#This Row],[czynsz]]</f>
        <v>1259.06</v>
      </c>
    </row>
    <row r="901" spans="1:9" x14ac:dyDescent="0.25">
      <c r="A901" s="1">
        <v>41982</v>
      </c>
      <c r="B901" s="1">
        <v>42003</v>
      </c>
      <c r="C901" s="8">
        <v>7.31</v>
      </c>
      <c r="D901" s="8">
        <v>0.19</v>
      </c>
      <c r="E901">
        <v>2</v>
      </c>
      <c r="F901" s="10">
        <f>(WYNAJEM4[[#This Row],[data_wyjazdu]]-WYNAJEM4[[#This Row],[data_przyjazdu]])</f>
        <v>21</v>
      </c>
      <c r="G901" s="9">
        <f xml:space="preserve"> WYNAJEM4[[#This Row],[energia]] + WYNAJEM4[[#This Row],[woda]]</f>
        <v>7.5</v>
      </c>
      <c r="H901" s="8">
        <f xml:space="preserve"> (10 * WYNAJEM4[[#This Row],[typ]] * WYNAJEM4[[#This Row],[czas wynajecia domku]])</f>
        <v>420</v>
      </c>
      <c r="I901" s="9">
        <f xml:space="preserve"> WYNAJEM4[[#This Row],[suma energia i woda]] + WYNAJEM4[[#This Row],[czynsz]]</f>
        <v>427.5</v>
      </c>
    </row>
    <row r="902" spans="1:9" x14ac:dyDescent="0.25">
      <c r="A902" s="1">
        <v>41982</v>
      </c>
      <c r="B902" s="1">
        <v>41997</v>
      </c>
      <c r="C902" s="8">
        <v>9.74</v>
      </c>
      <c r="D902" s="8">
        <v>0.26</v>
      </c>
      <c r="E902">
        <v>6</v>
      </c>
      <c r="F902" s="10">
        <f>(WYNAJEM4[[#This Row],[data_wyjazdu]]-WYNAJEM4[[#This Row],[data_przyjazdu]])</f>
        <v>15</v>
      </c>
      <c r="G902" s="9">
        <f xml:space="preserve"> WYNAJEM4[[#This Row],[energia]] + WYNAJEM4[[#This Row],[woda]]</f>
        <v>10</v>
      </c>
      <c r="H902" s="8">
        <f xml:space="preserve"> (10 * WYNAJEM4[[#This Row],[typ]] * WYNAJEM4[[#This Row],[czas wynajecia domku]])</f>
        <v>900</v>
      </c>
      <c r="I902" s="9">
        <f xml:space="preserve"> WYNAJEM4[[#This Row],[suma energia i woda]] + WYNAJEM4[[#This Row],[czynsz]]</f>
        <v>910</v>
      </c>
    </row>
    <row r="903" spans="1:9" x14ac:dyDescent="0.25">
      <c r="A903" s="1">
        <v>41982</v>
      </c>
      <c r="B903" s="1">
        <v>42006</v>
      </c>
      <c r="C903" s="8">
        <v>11.42</v>
      </c>
      <c r="D903" s="8">
        <v>0.3</v>
      </c>
      <c r="E903">
        <v>4</v>
      </c>
      <c r="F903" s="10">
        <f>(WYNAJEM4[[#This Row],[data_wyjazdu]]-WYNAJEM4[[#This Row],[data_przyjazdu]])</f>
        <v>24</v>
      </c>
      <c r="G903" s="9">
        <f xml:space="preserve"> WYNAJEM4[[#This Row],[energia]] + WYNAJEM4[[#This Row],[woda]]</f>
        <v>11.72</v>
      </c>
      <c r="H903" s="8">
        <f xml:space="preserve"> (10 * WYNAJEM4[[#This Row],[typ]] * WYNAJEM4[[#This Row],[czas wynajecia domku]])</f>
        <v>960</v>
      </c>
      <c r="I903" s="9">
        <f xml:space="preserve"> WYNAJEM4[[#This Row],[suma energia i woda]] + WYNAJEM4[[#This Row],[czynsz]]</f>
        <v>971.72</v>
      </c>
    </row>
    <row r="904" spans="1:9" x14ac:dyDescent="0.25">
      <c r="A904" s="1">
        <v>41982</v>
      </c>
      <c r="B904" s="1">
        <v>41995</v>
      </c>
      <c r="C904" s="8">
        <v>11.44</v>
      </c>
      <c r="D904" s="8">
        <v>0.3</v>
      </c>
      <c r="E904">
        <v>4</v>
      </c>
      <c r="F904" s="10">
        <f>(WYNAJEM4[[#This Row],[data_wyjazdu]]-WYNAJEM4[[#This Row],[data_przyjazdu]])</f>
        <v>13</v>
      </c>
      <c r="G904" s="9">
        <f xml:space="preserve"> WYNAJEM4[[#This Row],[energia]] + WYNAJEM4[[#This Row],[woda]]</f>
        <v>11.74</v>
      </c>
      <c r="H904" s="8">
        <f xml:space="preserve"> (10 * WYNAJEM4[[#This Row],[typ]] * WYNAJEM4[[#This Row],[czas wynajecia domku]])</f>
        <v>520</v>
      </c>
      <c r="I904" s="9">
        <f xml:space="preserve"> WYNAJEM4[[#This Row],[suma energia i woda]] + WYNAJEM4[[#This Row],[czynsz]]</f>
        <v>531.74</v>
      </c>
    </row>
    <row r="905" spans="1:9" x14ac:dyDescent="0.25">
      <c r="A905" s="1">
        <v>41982</v>
      </c>
      <c r="B905" s="1">
        <v>41988</v>
      </c>
      <c r="C905" s="8">
        <v>7.35</v>
      </c>
      <c r="D905" s="8">
        <v>0.19</v>
      </c>
      <c r="E905">
        <v>3</v>
      </c>
      <c r="F905" s="10">
        <f>(WYNAJEM4[[#This Row],[data_wyjazdu]]-WYNAJEM4[[#This Row],[data_przyjazdu]])</f>
        <v>6</v>
      </c>
      <c r="G905" s="9">
        <f xml:space="preserve"> WYNAJEM4[[#This Row],[energia]] + WYNAJEM4[[#This Row],[woda]]</f>
        <v>7.54</v>
      </c>
      <c r="H905" s="8">
        <f xml:space="preserve"> (10 * WYNAJEM4[[#This Row],[typ]] * WYNAJEM4[[#This Row],[czas wynajecia domku]])</f>
        <v>180</v>
      </c>
      <c r="I905" s="9">
        <f xml:space="preserve"> WYNAJEM4[[#This Row],[suma energia i woda]] + WYNAJEM4[[#This Row],[czynsz]]</f>
        <v>187.54</v>
      </c>
    </row>
    <row r="906" spans="1:9" x14ac:dyDescent="0.25">
      <c r="A906" s="1">
        <v>41982</v>
      </c>
      <c r="B906" s="1">
        <v>41993</v>
      </c>
      <c r="C906" s="8">
        <v>7.3</v>
      </c>
      <c r="D906" s="8">
        <v>0.19</v>
      </c>
      <c r="E906">
        <v>2</v>
      </c>
      <c r="F906" s="10">
        <f>(WYNAJEM4[[#This Row],[data_wyjazdu]]-WYNAJEM4[[#This Row],[data_przyjazdu]])</f>
        <v>11</v>
      </c>
      <c r="G906" s="9">
        <f xml:space="preserve"> WYNAJEM4[[#This Row],[energia]] + WYNAJEM4[[#This Row],[woda]]</f>
        <v>7.49</v>
      </c>
      <c r="H906" s="8">
        <f xml:space="preserve"> (10 * WYNAJEM4[[#This Row],[typ]] * WYNAJEM4[[#This Row],[czas wynajecia domku]])</f>
        <v>220</v>
      </c>
      <c r="I906" s="9">
        <f xml:space="preserve"> WYNAJEM4[[#This Row],[suma energia i woda]] + WYNAJEM4[[#This Row],[czynsz]]</f>
        <v>227.49</v>
      </c>
    </row>
    <row r="907" spans="1:9" x14ac:dyDescent="0.25">
      <c r="A907" s="1">
        <v>41982</v>
      </c>
      <c r="B907" s="1">
        <v>41989</v>
      </c>
      <c r="C907" s="8">
        <v>8.65</v>
      </c>
      <c r="D907" s="8">
        <v>0.23</v>
      </c>
      <c r="E907">
        <v>4</v>
      </c>
      <c r="F907" s="10">
        <f>(WYNAJEM4[[#This Row],[data_wyjazdu]]-WYNAJEM4[[#This Row],[data_przyjazdu]])</f>
        <v>7</v>
      </c>
      <c r="G907" s="9">
        <f xml:space="preserve"> WYNAJEM4[[#This Row],[energia]] + WYNAJEM4[[#This Row],[woda]]</f>
        <v>8.8800000000000008</v>
      </c>
      <c r="H907" s="8">
        <f xml:space="preserve"> (10 * WYNAJEM4[[#This Row],[typ]] * WYNAJEM4[[#This Row],[czas wynajecia domku]])</f>
        <v>280</v>
      </c>
      <c r="I907" s="9">
        <f xml:space="preserve"> WYNAJEM4[[#This Row],[suma energia i woda]] + WYNAJEM4[[#This Row],[czynsz]]</f>
        <v>288.88</v>
      </c>
    </row>
    <row r="908" spans="1:9" x14ac:dyDescent="0.25">
      <c r="A908" s="1">
        <v>41982</v>
      </c>
      <c r="B908" s="1">
        <v>41991</v>
      </c>
      <c r="C908" s="8">
        <v>8.39</v>
      </c>
      <c r="D908" s="8">
        <v>0.22</v>
      </c>
      <c r="E908">
        <v>2</v>
      </c>
      <c r="F908" s="10">
        <f>(WYNAJEM4[[#This Row],[data_wyjazdu]]-WYNAJEM4[[#This Row],[data_przyjazdu]])</f>
        <v>9</v>
      </c>
      <c r="G908" s="9">
        <f xml:space="preserve"> WYNAJEM4[[#This Row],[energia]] + WYNAJEM4[[#This Row],[woda]]</f>
        <v>8.6100000000000012</v>
      </c>
      <c r="H908" s="8">
        <f xml:space="preserve"> (10 * WYNAJEM4[[#This Row],[typ]] * WYNAJEM4[[#This Row],[czas wynajecia domku]])</f>
        <v>180</v>
      </c>
      <c r="I908" s="9">
        <f xml:space="preserve"> WYNAJEM4[[#This Row],[suma energia i woda]] + WYNAJEM4[[#This Row],[czynsz]]</f>
        <v>188.61</v>
      </c>
    </row>
    <row r="909" spans="1:9" x14ac:dyDescent="0.25">
      <c r="A909" s="1">
        <v>41982</v>
      </c>
      <c r="B909" s="1">
        <v>41993</v>
      </c>
      <c r="C909" s="8">
        <v>11.42</v>
      </c>
      <c r="D909" s="8">
        <v>0.3</v>
      </c>
      <c r="E909">
        <v>3</v>
      </c>
      <c r="F909" s="10">
        <f>(WYNAJEM4[[#This Row],[data_wyjazdu]]-WYNAJEM4[[#This Row],[data_przyjazdu]])</f>
        <v>11</v>
      </c>
      <c r="G909" s="9">
        <f xml:space="preserve"> WYNAJEM4[[#This Row],[energia]] + WYNAJEM4[[#This Row],[woda]]</f>
        <v>11.72</v>
      </c>
      <c r="H909" s="8">
        <f xml:space="preserve"> (10 * WYNAJEM4[[#This Row],[typ]] * WYNAJEM4[[#This Row],[czas wynajecia domku]])</f>
        <v>330</v>
      </c>
      <c r="I909" s="9">
        <f xml:space="preserve"> WYNAJEM4[[#This Row],[suma energia i woda]] + WYNAJEM4[[#This Row],[czynsz]]</f>
        <v>341.72</v>
      </c>
    </row>
    <row r="910" spans="1:9" x14ac:dyDescent="0.25">
      <c r="A910" s="1">
        <v>41982</v>
      </c>
      <c r="B910" s="1">
        <v>41994</v>
      </c>
      <c r="C910" s="8">
        <v>9.74</v>
      </c>
      <c r="D910" s="8">
        <v>0.26</v>
      </c>
      <c r="E910">
        <v>2</v>
      </c>
      <c r="F910" s="10">
        <f>(WYNAJEM4[[#This Row],[data_wyjazdu]]-WYNAJEM4[[#This Row],[data_przyjazdu]])</f>
        <v>12</v>
      </c>
      <c r="G910" s="9">
        <f xml:space="preserve"> WYNAJEM4[[#This Row],[energia]] + WYNAJEM4[[#This Row],[woda]]</f>
        <v>10</v>
      </c>
      <c r="H910" s="8">
        <f xml:space="preserve"> (10 * WYNAJEM4[[#This Row],[typ]] * WYNAJEM4[[#This Row],[czas wynajecia domku]])</f>
        <v>240</v>
      </c>
      <c r="I910" s="9">
        <f xml:space="preserve"> WYNAJEM4[[#This Row],[suma energia i woda]] + WYNAJEM4[[#This Row],[czynsz]]</f>
        <v>250</v>
      </c>
    </row>
    <row r="911" spans="1:9" x14ac:dyDescent="0.25">
      <c r="A911" s="1">
        <v>41982</v>
      </c>
      <c r="B911" s="1">
        <v>42002</v>
      </c>
      <c r="C911" s="8">
        <v>13.07</v>
      </c>
      <c r="D911" s="8">
        <v>0.34</v>
      </c>
      <c r="E911">
        <v>2</v>
      </c>
      <c r="F911" s="10">
        <f>(WYNAJEM4[[#This Row],[data_wyjazdu]]-WYNAJEM4[[#This Row],[data_przyjazdu]])</f>
        <v>20</v>
      </c>
      <c r="G911" s="9">
        <f xml:space="preserve"> WYNAJEM4[[#This Row],[energia]] + WYNAJEM4[[#This Row],[woda]]</f>
        <v>13.41</v>
      </c>
      <c r="H911" s="8">
        <f xml:space="preserve"> (10 * WYNAJEM4[[#This Row],[typ]] * WYNAJEM4[[#This Row],[czas wynajecia domku]])</f>
        <v>400</v>
      </c>
      <c r="I911" s="9">
        <f xml:space="preserve"> WYNAJEM4[[#This Row],[suma energia i woda]] + WYNAJEM4[[#This Row],[czynsz]]</f>
        <v>413.41</v>
      </c>
    </row>
    <row r="912" spans="1:9" x14ac:dyDescent="0.25">
      <c r="A912" s="1">
        <v>41982</v>
      </c>
      <c r="B912" s="1">
        <v>42006</v>
      </c>
      <c r="C912" s="8">
        <v>6.75</v>
      </c>
      <c r="D912" s="8">
        <v>0.18</v>
      </c>
      <c r="E912">
        <v>4</v>
      </c>
      <c r="F912" s="10">
        <f>(WYNAJEM4[[#This Row],[data_wyjazdu]]-WYNAJEM4[[#This Row],[data_przyjazdu]])</f>
        <v>24</v>
      </c>
      <c r="G912" s="9">
        <f xml:space="preserve"> WYNAJEM4[[#This Row],[energia]] + WYNAJEM4[[#This Row],[woda]]</f>
        <v>6.93</v>
      </c>
      <c r="H912" s="8">
        <f xml:space="preserve"> (10 * WYNAJEM4[[#This Row],[typ]] * WYNAJEM4[[#This Row],[czas wynajecia domku]])</f>
        <v>960</v>
      </c>
      <c r="I912" s="9">
        <f xml:space="preserve"> WYNAJEM4[[#This Row],[suma energia i woda]] + WYNAJEM4[[#This Row],[czynsz]]</f>
        <v>966.93</v>
      </c>
    </row>
    <row r="913" spans="1:9" x14ac:dyDescent="0.25">
      <c r="A913" s="1">
        <v>41982</v>
      </c>
      <c r="B913" s="1">
        <v>42010</v>
      </c>
      <c r="C913" s="8">
        <v>6.75</v>
      </c>
      <c r="D913" s="8">
        <v>0.18</v>
      </c>
      <c r="E913">
        <v>2</v>
      </c>
      <c r="F913" s="10">
        <f>(WYNAJEM4[[#This Row],[data_wyjazdu]]-WYNAJEM4[[#This Row],[data_przyjazdu]])</f>
        <v>28</v>
      </c>
      <c r="G913" s="9">
        <f xml:space="preserve"> WYNAJEM4[[#This Row],[energia]] + WYNAJEM4[[#This Row],[woda]]</f>
        <v>6.93</v>
      </c>
      <c r="H913" s="8">
        <f xml:space="preserve"> (10 * WYNAJEM4[[#This Row],[typ]] * WYNAJEM4[[#This Row],[czas wynajecia domku]])</f>
        <v>560</v>
      </c>
      <c r="I913" s="9">
        <f xml:space="preserve"> WYNAJEM4[[#This Row],[suma energia i woda]] + WYNAJEM4[[#This Row],[czynsz]]</f>
        <v>566.92999999999995</v>
      </c>
    </row>
    <row r="914" spans="1:9" x14ac:dyDescent="0.25">
      <c r="A914" s="1">
        <v>41983</v>
      </c>
      <c r="B914" s="1">
        <v>41990</v>
      </c>
      <c r="C914" s="8">
        <v>9.06</v>
      </c>
      <c r="D914" s="8">
        <v>0.24</v>
      </c>
      <c r="E914">
        <v>4</v>
      </c>
      <c r="F914" s="10">
        <f>(WYNAJEM4[[#This Row],[data_wyjazdu]]-WYNAJEM4[[#This Row],[data_przyjazdu]])</f>
        <v>7</v>
      </c>
      <c r="G914" s="9">
        <f xml:space="preserve"> WYNAJEM4[[#This Row],[energia]] + WYNAJEM4[[#This Row],[woda]]</f>
        <v>9.3000000000000007</v>
      </c>
      <c r="H914" s="8">
        <f xml:space="preserve"> (10 * WYNAJEM4[[#This Row],[typ]] * WYNAJEM4[[#This Row],[czas wynajecia domku]])</f>
        <v>280</v>
      </c>
      <c r="I914" s="9">
        <f xml:space="preserve"> WYNAJEM4[[#This Row],[suma energia i woda]] + WYNAJEM4[[#This Row],[czynsz]]</f>
        <v>289.3</v>
      </c>
    </row>
    <row r="915" spans="1:9" x14ac:dyDescent="0.25">
      <c r="A915" s="1">
        <v>41983</v>
      </c>
      <c r="B915" s="1">
        <v>42004</v>
      </c>
      <c r="C915" s="8">
        <v>4.25</v>
      </c>
      <c r="D915" s="8">
        <v>0.11</v>
      </c>
      <c r="E915">
        <v>5</v>
      </c>
      <c r="F915" s="10">
        <f>(WYNAJEM4[[#This Row],[data_wyjazdu]]-WYNAJEM4[[#This Row],[data_przyjazdu]])</f>
        <v>21</v>
      </c>
      <c r="G915" s="9">
        <f xml:space="preserve"> WYNAJEM4[[#This Row],[energia]] + WYNAJEM4[[#This Row],[woda]]</f>
        <v>4.3600000000000003</v>
      </c>
      <c r="H915" s="8">
        <f xml:space="preserve"> (10 * WYNAJEM4[[#This Row],[typ]] * WYNAJEM4[[#This Row],[czas wynajecia domku]])</f>
        <v>1050</v>
      </c>
      <c r="I915" s="9">
        <f xml:space="preserve"> WYNAJEM4[[#This Row],[suma energia i woda]] + WYNAJEM4[[#This Row],[czynsz]]</f>
        <v>1054.3599999999999</v>
      </c>
    </row>
    <row r="916" spans="1:9" x14ac:dyDescent="0.25">
      <c r="A916" s="1">
        <v>41983</v>
      </c>
      <c r="B916" s="1">
        <v>41993</v>
      </c>
      <c r="C916" s="8">
        <v>7.06</v>
      </c>
      <c r="D916" s="8">
        <v>0.19</v>
      </c>
      <c r="E916">
        <v>2</v>
      </c>
      <c r="F916" s="10">
        <f>(WYNAJEM4[[#This Row],[data_wyjazdu]]-WYNAJEM4[[#This Row],[data_przyjazdu]])</f>
        <v>10</v>
      </c>
      <c r="G916" s="9">
        <f xml:space="preserve"> WYNAJEM4[[#This Row],[energia]] + WYNAJEM4[[#This Row],[woda]]</f>
        <v>7.25</v>
      </c>
      <c r="H916" s="8">
        <f xml:space="preserve"> (10 * WYNAJEM4[[#This Row],[typ]] * WYNAJEM4[[#This Row],[czas wynajecia domku]])</f>
        <v>200</v>
      </c>
      <c r="I916" s="9">
        <f xml:space="preserve"> WYNAJEM4[[#This Row],[suma energia i woda]] + WYNAJEM4[[#This Row],[czynsz]]</f>
        <v>207.25</v>
      </c>
    </row>
    <row r="917" spans="1:9" x14ac:dyDescent="0.25">
      <c r="A917" s="1">
        <v>41983</v>
      </c>
      <c r="B917" s="1">
        <v>41992</v>
      </c>
      <c r="C917" s="8">
        <v>14.31</v>
      </c>
      <c r="D917" s="8">
        <v>0.38</v>
      </c>
      <c r="E917">
        <v>4</v>
      </c>
      <c r="F917" s="10">
        <f>(WYNAJEM4[[#This Row],[data_wyjazdu]]-WYNAJEM4[[#This Row],[data_przyjazdu]])</f>
        <v>9</v>
      </c>
      <c r="G917" s="9">
        <f xml:space="preserve"> WYNAJEM4[[#This Row],[energia]] + WYNAJEM4[[#This Row],[woda]]</f>
        <v>14.690000000000001</v>
      </c>
      <c r="H917" s="8">
        <f xml:space="preserve"> (10 * WYNAJEM4[[#This Row],[typ]] * WYNAJEM4[[#This Row],[czas wynajecia domku]])</f>
        <v>360</v>
      </c>
      <c r="I917" s="9">
        <f xml:space="preserve"> WYNAJEM4[[#This Row],[suma energia i woda]] + WYNAJEM4[[#This Row],[czynsz]]</f>
        <v>374.69</v>
      </c>
    </row>
    <row r="918" spans="1:9" x14ac:dyDescent="0.25">
      <c r="A918" s="1">
        <v>41983</v>
      </c>
      <c r="B918" s="1">
        <v>42011</v>
      </c>
      <c r="C918" s="8">
        <v>5.64</v>
      </c>
      <c r="D918" s="8">
        <v>0.15</v>
      </c>
      <c r="E918">
        <v>5</v>
      </c>
      <c r="F918" s="10">
        <f>(WYNAJEM4[[#This Row],[data_wyjazdu]]-WYNAJEM4[[#This Row],[data_przyjazdu]])</f>
        <v>28</v>
      </c>
      <c r="G918" s="9">
        <f xml:space="preserve"> WYNAJEM4[[#This Row],[energia]] + WYNAJEM4[[#This Row],[woda]]</f>
        <v>5.79</v>
      </c>
      <c r="H918" s="8">
        <f xml:space="preserve"> (10 * WYNAJEM4[[#This Row],[typ]] * WYNAJEM4[[#This Row],[czas wynajecia domku]])</f>
        <v>1400</v>
      </c>
      <c r="I918" s="9">
        <f xml:space="preserve"> WYNAJEM4[[#This Row],[suma energia i woda]] + WYNAJEM4[[#This Row],[czynsz]]</f>
        <v>1405.79</v>
      </c>
    </row>
    <row r="919" spans="1:9" x14ac:dyDescent="0.25">
      <c r="A919" s="1">
        <v>41983</v>
      </c>
      <c r="B919" s="1">
        <v>41996</v>
      </c>
      <c r="C919" s="8">
        <v>5.67</v>
      </c>
      <c r="D919" s="8">
        <v>0.15</v>
      </c>
      <c r="E919">
        <v>3</v>
      </c>
      <c r="F919" s="10">
        <f>(WYNAJEM4[[#This Row],[data_wyjazdu]]-WYNAJEM4[[#This Row],[data_przyjazdu]])</f>
        <v>13</v>
      </c>
      <c r="G919" s="9">
        <f xml:space="preserve"> WYNAJEM4[[#This Row],[energia]] + WYNAJEM4[[#This Row],[woda]]</f>
        <v>5.82</v>
      </c>
      <c r="H919" s="8">
        <f xml:space="preserve"> (10 * WYNAJEM4[[#This Row],[typ]] * WYNAJEM4[[#This Row],[czas wynajecia domku]])</f>
        <v>390</v>
      </c>
      <c r="I919" s="9">
        <f xml:space="preserve"> WYNAJEM4[[#This Row],[suma energia i woda]] + WYNAJEM4[[#This Row],[czynsz]]</f>
        <v>395.82</v>
      </c>
    </row>
    <row r="920" spans="1:9" x14ac:dyDescent="0.25">
      <c r="A920" s="1">
        <v>41983</v>
      </c>
      <c r="B920" s="1">
        <v>41990</v>
      </c>
      <c r="C920" s="8">
        <v>11.69</v>
      </c>
      <c r="D920" s="8">
        <v>0.31</v>
      </c>
      <c r="E920">
        <v>2</v>
      </c>
      <c r="F920" s="10">
        <f>(WYNAJEM4[[#This Row],[data_wyjazdu]]-WYNAJEM4[[#This Row],[data_przyjazdu]])</f>
        <v>7</v>
      </c>
      <c r="G920" s="9">
        <f xml:space="preserve"> WYNAJEM4[[#This Row],[energia]] + WYNAJEM4[[#This Row],[woda]]</f>
        <v>12</v>
      </c>
      <c r="H920" s="8">
        <f xml:space="preserve"> (10 * WYNAJEM4[[#This Row],[typ]] * WYNAJEM4[[#This Row],[czas wynajecia domku]])</f>
        <v>140</v>
      </c>
      <c r="I920" s="9">
        <f xml:space="preserve"> WYNAJEM4[[#This Row],[suma energia i woda]] + WYNAJEM4[[#This Row],[czynsz]]</f>
        <v>152</v>
      </c>
    </row>
    <row r="921" spans="1:9" x14ac:dyDescent="0.25">
      <c r="A921" s="1">
        <v>41983</v>
      </c>
      <c r="B921" s="1">
        <v>42002</v>
      </c>
      <c r="C921" s="8">
        <v>13.02</v>
      </c>
      <c r="D921" s="8">
        <v>0.34</v>
      </c>
      <c r="E921">
        <v>3</v>
      </c>
      <c r="F921" s="10">
        <f>(WYNAJEM4[[#This Row],[data_wyjazdu]]-WYNAJEM4[[#This Row],[data_przyjazdu]])</f>
        <v>19</v>
      </c>
      <c r="G921" s="9">
        <f xml:space="preserve"> WYNAJEM4[[#This Row],[energia]] + WYNAJEM4[[#This Row],[woda]]</f>
        <v>13.36</v>
      </c>
      <c r="H921" s="8">
        <f xml:space="preserve"> (10 * WYNAJEM4[[#This Row],[typ]] * WYNAJEM4[[#This Row],[czas wynajecia domku]])</f>
        <v>570</v>
      </c>
      <c r="I921" s="9">
        <f xml:space="preserve"> WYNAJEM4[[#This Row],[suma energia i woda]] + WYNAJEM4[[#This Row],[czynsz]]</f>
        <v>583.36</v>
      </c>
    </row>
    <row r="922" spans="1:9" x14ac:dyDescent="0.25">
      <c r="A922" s="1">
        <v>41983</v>
      </c>
      <c r="B922" s="1">
        <v>41986</v>
      </c>
      <c r="C922" s="8">
        <v>4.25</v>
      </c>
      <c r="D922" s="8">
        <v>0.11</v>
      </c>
      <c r="E922">
        <v>3</v>
      </c>
      <c r="F922" s="10">
        <f>(WYNAJEM4[[#This Row],[data_wyjazdu]]-WYNAJEM4[[#This Row],[data_przyjazdu]])</f>
        <v>3</v>
      </c>
      <c r="G922" s="9">
        <f xml:space="preserve"> WYNAJEM4[[#This Row],[energia]] + WYNAJEM4[[#This Row],[woda]]</f>
        <v>4.3600000000000003</v>
      </c>
      <c r="H922" s="8">
        <f xml:space="preserve"> (10 * WYNAJEM4[[#This Row],[typ]] * WYNAJEM4[[#This Row],[czas wynajecia domku]])</f>
        <v>90</v>
      </c>
      <c r="I922" s="9">
        <f xml:space="preserve"> WYNAJEM4[[#This Row],[suma energia i woda]] + WYNAJEM4[[#This Row],[czynsz]]</f>
        <v>94.36</v>
      </c>
    </row>
    <row r="923" spans="1:9" x14ac:dyDescent="0.25">
      <c r="A923" s="1">
        <v>41983</v>
      </c>
      <c r="B923" s="1">
        <v>41995</v>
      </c>
      <c r="C923" s="8">
        <v>12.23</v>
      </c>
      <c r="D923" s="8">
        <v>0.32</v>
      </c>
      <c r="E923">
        <v>3</v>
      </c>
      <c r="F923" s="10">
        <f>(WYNAJEM4[[#This Row],[data_wyjazdu]]-WYNAJEM4[[#This Row],[data_przyjazdu]])</f>
        <v>12</v>
      </c>
      <c r="G923" s="9">
        <f xml:space="preserve"> WYNAJEM4[[#This Row],[energia]] + WYNAJEM4[[#This Row],[woda]]</f>
        <v>12.55</v>
      </c>
      <c r="H923" s="8">
        <f xml:space="preserve"> (10 * WYNAJEM4[[#This Row],[typ]] * WYNAJEM4[[#This Row],[czas wynajecia domku]])</f>
        <v>360</v>
      </c>
      <c r="I923" s="9">
        <f xml:space="preserve"> WYNAJEM4[[#This Row],[suma energia i woda]] + WYNAJEM4[[#This Row],[czynsz]]</f>
        <v>372.55</v>
      </c>
    </row>
    <row r="924" spans="1:9" x14ac:dyDescent="0.25">
      <c r="A924" s="1">
        <v>41983</v>
      </c>
      <c r="B924" s="1">
        <v>42009</v>
      </c>
      <c r="C924" s="8">
        <v>14.13</v>
      </c>
      <c r="D924" s="8">
        <v>0.37</v>
      </c>
      <c r="E924">
        <v>5</v>
      </c>
      <c r="F924" s="10">
        <f>(WYNAJEM4[[#This Row],[data_wyjazdu]]-WYNAJEM4[[#This Row],[data_przyjazdu]])</f>
        <v>26</v>
      </c>
      <c r="G924" s="9">
        <f xml:space="preserve"> WYNAJEM4[[#This Row],[energia]] + WYNAJEM4[[#This Row],[woda]]</f>
        <v>14.5</v>
      </c>
      <c r="H924" s="8">
        <f xml:space="preserve"> (10 * WYNAJEM4[[#This Row],[typ]] * WYNAJEM4[[#This Row],[czas wynajecia domku]])</f>
        <v>1300</v>
      </c>
      <c r="I924" s="9">
        <f xml:space="preserve"> WYNAJEM4[[#This Row],[suma energia i woda]] + WYNAJEM4[[#This Row],[czynsz]]</f>
        <v>1314.5</v>
      </c>
    </row>
    <row r="925" spans="1:9" x14ac:dyDescent="0.25">
      <c r="A925" s="1">
        <v>41983</v>
      </c>
      <c r="B925" s="1">
        <v>42008</v>
      </c>
      <c r="C925" s="8">
        <v>6.23</v>
      </c>
      <c r="D925" s="8">
        <v>0.16</v>
      </c>
      <c r="E925">
        <v>3</v>
      </c>
      <c r="F925" s="10">
        <f>(WYNAJEM4[[#This Row],[data_wyjazdu]]-WYNAJEM4[[#This Row],[data_przyjazdu]])</f>
        <v>25</v>
      </c>
      <c r="G925" s="9">
        <f xml:space="preserve"> WYNAJEM4[[#This Row],[energia]] + WYNAJEM4[[#This Row],[woda]]</f>
        <v>6.3900000000000006</v>
      </c>
      <c r="H925" s="8">
        <f xml:space="preserve"> (10 * WYNAJEM4[[#This Row],[typ]] * WYNAJEM4[[#This Row],[czas wynajecia domku]])</f>
        <v>750</v>
      </c>
      <c r="I925" s="9">
        <f xml:space="preserve"> WYNAJEM4[[#This Row],[suma energia i woda]] + WYNAJEM4[[#This Row],[czynsz]]</f>
        <v>756.39</v>
      </c>
    </row>
    <row r="926" spans="1:9" x14ac:dyDescent="0.25">
      <c r="A926" s="1">
        <v>41983</v>
      </c>
      <c r="B926" s="1">
        <v>42006</v>
      </c>
      <c r="C926" s="8">
        <v>8.5399999999999991</v>
      </c>
      <c r="D926" s="8">
        <v>0.22</v>
      </c>
      <c r="E926">
        <v>2</v>
      </c>
      <c r="F926" s="10">
        <f>(WYNAJEM4[[#This Row],[data_wyjazdu]]-WYNAJEM4[[#This Row],[data_przyjazdu]])</f>
        <v>23</v>
      </c>
      <c r="G926" s="9">
        <f xml:space="preserve"> WYNAJEM4[[#This Row],[energia]] + WYNAJEM4[[#This Row],[woda]]</f>
        <v>8.76</v>
      </c>
      <c r="H926" s="8">
        <f xml:space="preserve"> (10 * WYNAJEM4[[#This Row],[typ]] * WYNAJEM4[[#This Row],[czas wynajecia domku]])</f>
        <v>460</v>
      </c>
      <c r="I926" s="9">
        <f xml:space="preserve"> WYNAJEM4[[#This Row],[suma energia i woda]] + WYNAJEM4[[#This Row],[czynsz]]</f>
        <v>468.76</v>
      </c>
    </row>
    <row r="927" spans="1:9" x14ac:dyDescent="0.25">
      <c r="A927" s="1">
        <v>41983</v>
      </c>
      <c r="B927" s="1">
        <v>42001</v>
      </c>
      <c r="C927" s="8">
        <v>7.55</v>
      </c>
      <c r="D927" s="8">
        <v>0.2</v>
      </c>
      <c r="E927">
        <v>2</v>
      </c>
      <c r="F927" s="10">
        <f>(WYNAJEM4[[#This Row],[data_wyjazdu]]-WYNAJEM4[[#This Row],[data_przyjazdu]])</f>
        <v>18</v>
      </c>
      <c r="G927" s="9">
        <f xml:space="preserve"> WYNAJEM4[[#This Row],[energia]] + WYNAJEM4[[#This Row],[woda]]</f>
        <v>7.75</v>
      </c>
      <c r="H927" s="8">
        <f xml:space="preserve"> (10 * WYNAJEM4[[#This Row],[typ]] * WYNAJEM4[[#This Row],[czas wynajecia domku]])</f>
        <v>360</v>
      </c>
      <c r="I927" s="9">
        <f xml:space="preserve"> WYNAJEM4[[#This Row],[suma energia i woda]] + WYNAJEM4[[#This Row],[czynsz]]</f>
        <v>367.75</v>
      </c>
    </row>
    <row r="928" spans="1:9" x14ac:dyDescent="0.25">
      <c r="A928" s="1">
        <v>41983</v>
      </c>
      <c r="B928" s="1">
        <v>41989</v>
      </c>
      <c r="C928" s="8">
        <v>14</v>
      </c>
      <c r="D928" s="8">
        <v>0.37</v>
      </c>
      <c r="E928">
        <v>4</v>
      </c>
      <c r="F928" s="10">
        <f>(WYNAJEM4[[#This Row],[data_wyjazdu]]-WYNAJEM4[[#This Row],[data_przyjazdu]])</f>
        <v>6</v>
      </c>
      <c r="G928" s="9">
        <f xml:space="preserve"> WYNAJEM4[[#This Row],[energia]] + WYNAJEM4[[#This Row],[woda]]</f>
        <v>14.37</v>
      </c>
      <c r="H928" s="8">
        <f xml:space="preserve"> (10 * WYNAJEM4[[#This Row],[typ]] * WYNAJEM4[[#This Row],[czas wynajecia domku]])</f>
        <v>240</v>
      </c>
      <c r="I928" s="9">
        <f xml:space="preserve"> WYNAJEM4[[#This Row],[suma energia i woda]] + WYNAJEM4[[#This Row],[czynsz]]</f>
        <v>254.37</v>
      </c>
    </row>
    <row r="929" spans="1:9" x14ac:dyDescent="0.25">
      <c r="A929" s="1">
        <v>41983</v>
      </c>
      <c r="B929" s="1">
        <v>41986</v>
      </c>
      <c r="C929" s="8">
        <v>13.02</v>
      </c>
      <c r="D929" s="8">
        <v>0.34</v>
      </c>
      <c r="E929">
        <v>2</v>
      </c>
      <c r="F929" s="10">
        <f>(WYNAJEM4[[#This Row],[data_wyjazdu]]-WYNAJEM4[[#This Row],[data_przyjazdu]])</f>
        <v>3</v>
      </c>
      <c r="G929" s="9">
        <f xml:space="preserve"> WYNAJEM4[[#This Row],[energia]] + WYNAJEM4[[#This Row],[woda]]</f>
        <v>13.36</v>
      </c>
      <c r="H929" s="8">
        <f xml:space="preserve"> (10 * WYNAJEM4[[#This Row],[typ]] * WYNAJEM4[[#This Row],[czas wynajecia domku]])</f>
        <v>60</v>
      </c>
      <c r="I929" s="9">
        <f xml:space="preserve"> WYNAJEM4[[#This Row],[suma energia i woda]] + WYNAJEM4[[#This Row],[czynsz]]</f>
        <v>73.36</v>
      </c>
    </row>
    <row r="930" spans="1:9" x14ac:dyDescent="0.25">
      <c r="A930" s="1">
        <v>41983</v>
      </c>
      <c r="B930" s="1">
        <v>42009</v>
      </c>
      <c r="C930" s="8">
        <v>8.39</v>
      </c>
      <c r="D930" s="8">
        <v>0.22</v>
      </c>
      <c r="E930">
        <v>6</v>
      </c>
      <c r="F930" s="10">
        <f>(WYNAJEM4[[#This Row],[data_wyjazdu]]-WYNAJEM4[[#This Row],[data_przyjazdu]])</f>
        <v>26</v>
      </c>
      <c r="G930" s="9">
        <f xml:space="preserve"> WYNAJEM4[[#This Row],[energia]] + WYNAJEM4[[#This Row],[woda]]</f>
        <v>8.6100000000000012</v>
      </c>
      <c r="H930" s="8">
        <f xml:space="preserve"> (10 * WYNAJEM4[[#This Row],[typ]] * WYNAJEM4[[#This Row],[czas wynajecia domku]])</f>
        <v>1560</v>
      </c>
      <c r="I930" s="9">
        <f xml:space="preserve"> WYNAJEM4[[#This Row],[suma energia i woda]] + WYNAJEM4[[#This Row],[czynsz]]</f>
        <v>1568.61</v>
      </c>
    </row>
    <row r="931" spans="1:9" x14ac:dyDescent="0.25">
      <c r="A931" s="1">
        <v>41983</v>
      </c>
      <c r="B931" s="1">
        <v>41990</v>
      </c>
      <c r="C931" s="8">
        <v>5.23</v>
      </c>
      <c r="D931" s="8">
        <v>0.14000000000000001</v>
      </c>
      <c r="E931">
        <v>4</v>
      </c>
      <c r="F931" s="10">
        <f>(WYNAJEM4[[#This Row],[data_wyjazdu]]-WYNAJEM4[[#This Row],[data_przyjazdu]])</f>
        <v>7</v>
      </c>
      <c r="G931" s="9">
        <f xml:space="preserve"> WYNAJEM4[[#This Row],[energia]] + WYNAJEM4[[#This Row],[woda]]</f>
        <v>5.37</v>
      </c>
      <c r="H931" s="8">
        <f xml:space="preserve"> (10 * WYNAJEM4[[#This Row],[typ]] * WYNAJEM4[[#This Row],[czas wynajecia domku]])</f>
        <v>280</v>
      </c>
      <c r="I931" s="9">
        <f xml:space="preserve"> WYNAJEM4[[#This Row],[suma energia i woda]] + WYNAJEM4[[#This Row],[czynsz]]</f>
        <v>285.37</v>
      </c>
    </row>
    <row r="932" spans="1:9" x14ac:dyDescent="0.25">
      <c r="A932" s="1">
        <v>41983</v>
      </c>
      <c r="B932" s="1">
        <v>41988</v>
      </c>
      <c r="C932" s="8">
        <v>2.0099999999999998</v>
      </c>
      <c r="D932" s="8">
        <v>0.05</v>
      </c>
      <c r="E932">
        <v>2</v>
      </c>
      <c r="F932" s="10">
        <f>(WYNAJEM4[[#This Row],[data_wyjazdu]]-WYNAJEM4[[#This Row],[data_przyjazdu]])</f>
        <v>5</v>
      </c>
      <c r="G932" s="9">
        <f xml:space="preserve"> WYNAJEM4[[#This Row],[energia]] + WYNAJEM4[[#This Row],[woda]]</f>
        <v>2.0599999999999996</v>
      </c>
      <c r="H932" s="8">
        <f xml:space="preserve"> (10 * WYNAJEM4[[#This Row],[typ]] * WYNAJEM4[[#This Row],[czas wynajecia domku]])</f>
        <v>100</v>
      </c>
      <c r="I932" s="9">
        <f xml:space="preserve"> WYNAJEM4[[#This Row],[suma energia i woda]] + WYNAJEM4[[#This Row],[czynsz]]</f>
        <v>102.06</v>
      </c>
    </row>
    <row r="933" spans="1:9" x14ac:dyDescent="0.25">
      <c r="A933" s="1">
        <v>41983</v>
      </c>
      <c r="B933" s="1">
        <v>42008</v>
      </c>
      <c r="C933" s="8">
        <v>7.06</v>
      </c>
      <c r="D933" s="8">
        <v>0.19</v>
      </c>
      <c r="E933">
        <v>5</v>
      </c>
      <c r="F933" s="10">
        <f>(WYNAJEM4[[#This Row],[data_wyjazdu]]-WYNAJEM4[[#This Row],[data_przyjazdu]])</f>
        <v>25</v>
      </c>
      <c r="G933" s="9">
        <f xml:space="preserve"> WYNAJEM4[[#This Row],[energia]] + WYNAJEM4[[#This Row],[woda]]</f>
        <v>7.25</v>
      </c>
      <c r="H933" s="8">
        <f xml:space="preserve"> (10 * WYNAJEM4[[#This Row],[typ]] * WYNAJEM4[[#This Row],[czas wynajecia domku]])</f>
        <v>1250</v>
      </c>
      <c r="I933" s="9">
        <f xml:space="preserve"> WYNAJEM4[[#This Row],[suma energia i woda]] + WYNAJEM4[[#This Row],[czynsz]]</f>
        <v>1257.25</v>
      </c>
    </row>
    <row r="934" spans="1:9" x14ac:dyDescent="0.25">
      <c r="A934" s="1">
        <v>41983</v>
      </c>
      <c r="B934" s="1">
        <v>42004</v>
      </c>
      <c r="C934" s="8">
        <v>19.54</v>
      </c>
      <c r="D934" s="8">
        <v>0.51</v>
      </c>
      <c r="E934">
        <v>3</v>
      </c>
      <c r="F934" s="10">
        <f>(WYNAJEM4[[#This Row],[data_wyjazdu]]-WYNAJEM4[[#This Row],[data_przyjazdu]])</f>
        <v>21</v>
      </c>
      <c r="G934" s="9">
        <f xml:space="preserve"> WYNAJEM4[[#This Row],[energia]] + WYNAJEM4[[#This Row],[woda]]</f>
        <v>20.05</v>
      </c>
      <c r="H934" s="8">
        <f xml:space="preserve"> (10 * WYNAJEM4[[#This Row],[typ]] * WYNAJEM4[[#This Row],[czas wynajecia domku]])</f>
        <v>630</v>
      </c>
      <c r="I934" s="9">
        <f xml:space="preserve"> WYNAJEM4[[#This Row],[suma energia i woda]] + WYNAJEM4[[#This Row],[czynsz]]</f>
        <v>650.04999999999995</v>
      </c>
    </row>
    <row r="935" spans="1:9" x14ac:dyDescent="0.25">
      <c r="A935" s="1">
        <v>41983</v>
      </c>
      <c r="B935" s="1">
        <v>41993</v>
      </c>
      <c r="C935" s="8">
        <v>5.23</v>
      </c>
      <c r="D935" s="8">
        <v>0.14000000000000001</v>
      </c>
      <c r="E935">
        <v>4</v>
      </c>
      <c r="F935" s="10">
        <f>(WYNAJEM4[[#This Row],[data_wyjazdu]]-WYNAJEM4[[#This Row],[data_przyjazdu]])</f>
        <v>10</v>
      </c>
      <c r="G935" s="9">
        <f xml:space="preserve"> WYNAJEM4[[#This Row],[energia]] + WYNAJEM4[[#This Row],[woda]]</f>
        <v>5.37</v>
      </c>
      <c r="H935" s="8">
        <f xml:space="preserve"> (10 * WYNAJEM4[[#This Row],[typ]] * WYNAJEM4[[#This Row],[czas wynajecia domku]])</f>
        <v>400</v>
      </c>
      <c r="I935" s="9">
        <f xml:space="preserve"> WYNAJEM4[[#This Row],[suma energia i woda]] + WYNAJEM4[[#This Row],[czynsz]]</f>
        <v>405.37</v>
      </c>
    </row>
    <row r="936" spans="1:9" x14ac:dyDescent="0.25">
      <c r="A936" s="1">
        <v>41984</v>
      </c>
      <c r="B936" s="1">
        <v>42002</v>
      </c>
      <c r="C936" s="8">
        <v>9.06</v>
      </c>
      <c r="D936" s="8">
        <v>0.24</v>
      </c>
      <c r="E936">
        <v>4</v>
      </c>
      <c r="F936" s="10">
        <f>(WYNAJEM4[[#This Row],[data_wyjazdu]]-WYNAJEM4[[#This Row],[data_przyjazdu]])</f>
        <v>18</v>
      </c>
      <c r="G936" s="9">
        <f xml:space="preserve"> WYNAJEM4[[#This Row],[energia]] + WYNAJEM4[[#This Row],[woda]]</f>
        <v>9.3000000000000007</v>
      </c>
      <c r="H936" s="8">
        <f xml:space="preserve"> (10 * WYNAJEM4[[#This Row],[typ]] * WYNAJEM4[[#This Row],[czas wynajecia domku]])</f>
        <v>720</v>
      </c>
      <c r="I936" s="9">
        <f xml:space="preserve"> WYNAJEM4[[#This Row],[suma energia i woda]] + WYNAJEM4[[#This Row],[czynsz]]</f>
        <v>729.3</v>
      </c>
    </row>
    <row r="937" spans="1:9" x14ac:dyDescent="0.25">
      <c r="A937" s="1">
        <v>41984</v>
      </c>
      <c r="B937" s="1">
        <v>41988</v>
      </c>
      <c r="C937" s="8">
        <v>3.73</v>
      </c>
      <c r="D937" s="8">
        <v>0.1</v>
      </c>
      <c r="E937">
        <v>6</v>
      </c>
      <c r="F937" s="10">
        <f>(WYNAJEM4[[#This Row],[data_wyjazdu]]-WYNAJEM4[[#This Row],[data_przyjazdu]])</f>
        <v>4</v>
      </c>
      <c r="G937" s="9">
        <f xml:space="preserve"> WYNAJEM4[[#This Row],[energia]] + WYNAJEM4[[#This Row],[woda]]</f>
        <v>3.83</v>
      </c>
      <c r="H937" s="8">
        <f xml:space="preserve"> (10 * WYNAJEM4[[#This Row],[typ]] * WYNAJEM4[[#This Row],[czas wynajecia domku]])</f>
        <v>240</v>
      </c>
      <c r="I937" s="9">
        <f xml:space="preserve"> WYNAJEM4[[#This Row],[suma energia i woda]] + WYNAJEM4[[#This Row],[czynsz]]</f>
        <v>243.83</v>
      </c>
    </row>
    <row r="938" spans="1:9" x14ac:dyDescent="0.25">
      <c r="A938" s="1">
        <v>41985</v>
      </c>
      <c r="B938" s="1">
        <v>42012</v>
      </c>
      <c r="C938" s="8">
        <v>5.67</v>
      </c>
      <c r="D938" s="8">
        <v>0.15</v>
      </c>
      <c r="E938">
        <v>2</v>
      </c>
      <c r="F938" s="10">
        <f>(WYNAJEM4[[#This Row],[data_wyjazdu]]-WYNAJEM4[[#This Row],[data_przyjazdu]])</f>
        <v>27</v>
      </c>
      <c r="G938" s="9">
        <f xml:space="preserve"> WYNAJEM4[[#This Row],[energia]] + WYNAJEM4[[#This Row],[woda]]</f>
        <v>5.82</v>
      </c>
      <c r="H938" s="8">
        <f xml:space="preserve"> (10 * WYNAJEM4[[#This Row],[typ]] * WYNAJEM4[[#This Row],[czas wynajecia domku]])</f>
        <v>540</v>
      </c>
      <c r="I938" s="9">
        <f xml:space="preserve"> WYNAJEM4[[#This Row],[suma energia i woda]] + WYNAJEM4[[#This Row],[czynsz]]</f>
        <v>545.82000000000005</v>
      </c>
    </row>
    <row r="939" spans="1:9" x14ac:dyDescent="0.25">
      <c r="A939" s="1">
        <v>41985</v>
      </c>
      <c r="B939" s="1">
        <v>41989</v>
      </c>
      <c r="C939" s="8">
        <v>5.67</v>
      </c>
      <c r="D939" s="8">
        <v>0.15</v>
      </c>
      <c r="E939">
        <v>4</v>
      </c>
      <c r="F939" s="10">
        <f>(WYNAJEM4[[#This Row],[data_wyjazdu]]-WYNAJEM4[[#This Row],[data_przyjazdu]])</f>
        <v>4</v>
      </c>
      <c r="G939" s="9">
        <f xml:space="preserve"> WYNAJEM4[[#This Row],[energia]] + WYNAJEM4[[#This Row],[woda]]</f>
        <v>5.82</v>
      </c>
      <c r="H939" s="8">
        <f xml:space="preserve"> (10 * WYNAJEM4[[#This Row],[typ]] * WYNAJEM4[[#This Row],[czas wynajecia domku]])</f>
        <v>160</v>
      </c>
      <c r="I939" s="9">
        <f xml:space="preserve"> WYNAJEM4[[#This Row],[suma energia i woda]] + WYNAJEM4[[#This Row],[czynsz]]</f>
        <v>165.82</v>
      </c>
    </row>
    <row r="940" spans="1:9" x14ac:dyDescent="0.25">
      <c r="A940" s="1">
        <v>41985</v>
      </c>
      <c r="B940" s="1">
        <v>41995</v>
      </c>
      <c r="C940" s="8">
        <v>3.57</v>
      </c>
      <c r="D940" s="8">
        <v>0.09</v>
      </c>
      <c r="E940">
        <v>2</v>
      </c>
      <c r="F940" s="10">
        <f>(WYNAJEM4[[#This Row],[data_wyjazdu]]-WYNAJEM4[[#This Row],[data_przyjazdu]])</f>
        <v>10</v>
      </c>
      <c r="G940" s="9">
        <f xml:space="preserve"> WYNAJEM4[[#This Row],[energia]] + WYNAJEM4[[#This Row],[woda]]</f>
        <v>3.6599999999999997</v>
      </c>
      <c r="H940" s="8">
        <f xml:space="preserve"> (10 * WYNAJEM4[[#This Row],[typ]] * WYNAJEM4[[#This Row],[czas wynajecia domku]])</f>
        <v>200</v>
      </c>
      <c r="I940" s="9">
        <f xml:space="preserve"> WYNAJEM4[[#This Row],[suma energia i woda]] + WYNAJEM4[[#This Row],[czynsz]]</f>
        <v>203.66</v>
      </c>
    </row>
    <row r="941" spans="1:9" x14ac:dyDescent="0.25">
      <c r="A941" s="1">
        <v>41985</v>
      </c>
      <c r="B941" s="1">
        <v>41995</v>
      </c>
      <c r="C941" s="8">
        <v>3.57</v>
      </c>
      <c r="D941" s="8">
        <v>0.09</v>
      </c>
      <c r="E941">
        <v>3</v>
      </c>
      <c r="F941" s="10">
        <f>(WYNAJEM4[[#This Row],[data_wyjazdu]]-WYNAJEM4[[#This Row],[data_przyjazdu]])</f>
        <v>10</v>
      </c>
      <c r="G941" s="9">
        <f xml:space="preserve"> WYNAJEM4[[#This Row],[energia]] + WYNAJEM4[[#This Row],[woda]]</f>
        <v>3.6599999999999997</v>
      </c>
      <c r="H941" s="8">
        <f xml:space="preserve"> (10 * WYNAJEM4[[#This Row],[typ]] * WYNAJEM4[[#This Row],[czas wynajecia domku]])</f>
        <v>300</v>
      </c>
      <c r="I941" s="9">
        <f xml:space="preserve"> WYNAJEM4[[#This Row],[suma energia i woda]] + WYNAJEM4[[#This Row],[czynsz]]</f>
        <v>303.66000000000003</v>
      </c>
    </row>
    <row r="942" spans="1:9" x14ac:dyDescent="0.25">
      <c r="A942" s="1">
        <v>41985</v>
      </c>
      <c r="B942" s="1">
        <v>42013</v>
      </c>
      <c r="C942" s="8">
        <v>2.29</v>
      </c>
      <c r="D942" s="8">
        <v>0.06</v>
      </c>
      <c r="E942">
        <v>2</v>
      </c>
      <c r="F942" s="10">
        <f>(WYNAJEM4[[#This Row],[data_wyjazdu]]-WYNAJEM4[[#This Row],[data_przyjazdu]])</f>
        <v>28</v>
      </c>
      <c r="G942" s="9">
        <f xml:space="preserve"> WYNAJEM4[[#This Row],[energia]] + WYNAJEM4[[#This Row],[woda]]</f>
        <v>2.35</v>
      </c>
      <c r="H942" s="8">
        <f xml:space="preserve"> (10 * WYNAJEM4[[#This Row],[typ]] * WYNAJEM4[[#This Row],[czas wynajecia domku]])</f>
        <v>560</v>
      </c>
      <c r="I942" s="9">
        <f xml:space="preserve"> WYNAJEM4[[#This Row],[suma energia i woda]] + WYNAJEM4[[#This Row],[czynsz]]</f>
        <v>562.35</v>
      </c>
    </row>
    <row r="943" spans="1:9" x14ac:dyDescent="0.25">
      <c r="A943" s="1">
        <v>41985</v>
      </c>
      <c r="B943" s="1">
        <v>42003</v>
      </c>
      <c r="C943" s="8">
        <v>7.35</v>
      </c>
      <c r="D943" s="8">
        <v>0.19</v>
      </c>
      <c r="E943">
        <v>5</v>
      </c>
      <c r="F943" s="10">
        <f>(WYNAJEM4[[#This Row],[data_wyjazdu]]-WYNAJEM4[[#This Row],[data_przyjazdu]])</f>
        <v>18</v>
      </c>
      <c r="G943" s="9">
        <f xml:space="preserve"> WYNAJEM4[[#This Row],[energia]] + WYNAJEM4[[#This Row],[woda]]</f>
        <v>7.54</v>
      </c>
      <c r="H943" s="8">
        <f xml:space="preserve"> (10 * WYNAJEM4[[#This Row],[typ]] * WYNAJEM4[[#This Row],[czas wynajecia domku]])</f>
        <v>900</v>
      </c>
      <c r="I943" s="9">
        <f xml:space="preserve"> WYNAJEM4[[#This Row],[suma energia i woda]] + WYNAJEM4[[#This Row],[czynsz]]</f>
        <v>907.54</v>
      </c>
    </row>
    <row r="944" spans="1:9" x14ac:dyDescent="0.25">
      <c r="A944" s="1">
        <v>41985</v>
      </c>
      <c r="B944" s="1">
        <v>42011</v>
      </c>
      <c r="C944" s="8">
        <v>3.94</v>
      </c>
      <c r="D944" s="8">
        <v>0.1</v>
      </c>
      <c r="E944">
        <v>4</v>
      </c>
      <c r="F944" s="10">
        <f>(WYNAJEM4[[#This Row],[data_wyjazdu]]-WYNAJEM4[[#This Row],[data_przyjazdu]])</f>
        <v>26</v>
      </c>
      <c r="G944" s="9">
        <f xml:space="preserve"> WYNAJEM4[[#This Row],[energia]] + WYNAJEM4[[#This Row],[woda]]</f>
        <v>4.04</v>
      </c>
      <c r="H944" s="8">
        <f xml:space="preserve"> (10 * WYNAJEM4[[#This Row],[typ]] * WYNAJEM4[[#This Row],[czas wynajecia domku]])</f>
        <v>1040</v>
      </c>
      <c r="I944" s="9">
        <f xml:space="preserve"> WYNAJEM4[[#This Row],[suma energia i woda]] + WYNAJEM4[[#This Row],[czynsz]]</f>
        <v>1044.04</v>
      </c>
    </row>
    <row r="945" spans="1:9" x14ac:dyDescent="0.25">
      <c r="A945" s="1">
        <v>41985</v>
      </c>
      <c r="B945" s="1">
        <v>41995</v>
      </c>
      <c r="C945" s="8">
        <v>3.94</v>
      </c>
      <c r="D945" s="8">
        <v>0.1</v>
      </c>
      <c r="E945">
        <v>2</v>
      </c>
      <c r="F945" s="10">
        <f>(WYNAJEM4[[#This Row],[data_wyjazdu]]-WYNAJEM4[[#This Row],[data_przyjazdu]])</f>
        <v>10</v>
      </c>
      <c r="G945" s="9">
        <f xml:space="preserve"> WYNAJEM4[[#This Row],[energia]] + WYNAJEM4[[#This Row],[woda]]</f>
        <v>4.04</v>
      </c>
      <c r="H945" s="8">
        <f xml:space="preserve"> (10 * WYNAJEM4[[#This Row],[typ]] * WYNAJEM4[[#This Row],[czas wynajecia domku]])</f>
        <v>200</v>
      </c>
      <c r="I945" s="9">
        <f xml:space="preserve"> WYNAJEM4[[#This Row],[suma energia i woda]] + WYNAJEM4[[#This Row],[czynsz]]</f>
        <v>204.04</v>
      </c>
    </row>
    <row r="946" spans="1:9" x14ac:dyDescent="0.25">
      <c r="A946" s="1">
        <v>41985</v>
      </c>
      <c r="B946" s="1">
        <v>42006</v>
      </c>
      <c r="C946" s="8">
        <v>13.07</v>
      </c>
      <c r="D946" s="8">
        <v>0.34</v>
      </c>
      <c r="E946">
        <v>3</v>
      </c>
      <c r="F946" s="10">
        <f>(WYNAJEM4[[#This Row],[data_wyjazdu]]-WYNAJEM4[[#This Row],[data_przyjazdu]])</f>
        <v>21</v>
      </c>
      <c r="G946" s="9">
        <f xml:space="preserve"> WYNAJEM4[[#This Row],[energia]] + WYNAJEM4[[#This Row],[woda]]</f>
        <v>13.41</v>
      </c>
      <c r="H946" s="8">
        <f xml:space="preserve"> (10 * WYNAJEM4[[#This Row],[typ]] * WYNAJEM4[[#This Row],[czas wynajecia domku]])</f>
        <v>630</v>
      </c>
      <c r="I946" s="9">
        <f xml:space="preserve"> WYNAJEM4[[#This Row],[suma energia i woda]] + WYNAJEM4[[#This Row],[czynsz]]</f>
        <v>643.41</v>
      </c>
    </row>
    <row r="947" spans="1:9" x14ac:dyDescent="0.25">
      <c r="A947" s="1">
        <v>41986</v>
      </c>
      <c r="B947" s="1">
        <v>41990</v>
      </c>
      <c r="C947" s="8">
        <v>6.43</v>
      </c>
      <c r="D947" s="8">
        <v>0.17</v>
      </c>
      <c r="E947">
        <v>5</v>
      </c>
      <c r="F947" s="10">
        <f>(WYNAJEM4[[#This Row],[data_wyjazdu]]-WYNAJEM4[[#This Row],[data_przyjazdu]])</f>
        <v>4</v>
      </c>
      <c r="G947" s="9">
        <f xml:space="preserve"> WYNAJEM4[[#This Row],[energia]] + WYNAJEM4[[#This Row],[woda]]</f>
        <v>6.6</v>
      </c>
      <c r="H947" s="8">
        <f xml:space="preserve"> (10 * WYNAJEM4[[#This Row],[typ]] * WYNAJEM4[[#This Row],[czas wynajecia domku]])</f>
        <v>200</v>
      </c>
      <c r="I947" s="9">
        <f xml:space="preserve"> WYNAJEM4[[#This Row],[suma energia i woda]] + WYNAJEM4[[#This Row],[czynsz]]</f>
        <v>206.6</v>
      </c>
    </row>
    <row r="948" spans="1:9" x14ac:dyDescent="0.25">
      <c r="A948" s="1">
        <v>41986</v>
      </c>
      <c r="B948" s="1">
        <v>42005</v>
      </c>
      <c r="C948" s="8">
        <v>6.43</v>
      </c>
      <c r="D948" s="8">
        <v>0.17</v>
      </c>
      <c r="E948">
        <v>3</v>
      </c>
      <c r="F948" s="10">
        <f>(WYNAJEM4[[#This Row],[data_wyjazdu]]-WYNAJEM4[[#This Row],[data_przyjazdu]])</f>
        <v>19</v>
      </c>
      <c r="G948" s="9">
        <f xml:space="preserve"> WYNAJEM4[[#This Row],[energia]] + WYNAJEM4[[#This Row],[woda]]</f>
        <v>6.6</v>
      </c>
      <c r="H948" s="8">
        <f xml:space="preserve"> (10 * WYNAJEM4[[#This Row],[typ]] * WYNAJEM4[[#This Row],[czas wynajecia domku]])</f>
        <v>570</v>
      </c>
      <c r="I948" s="9">
        <f xml:space="preserve"> WYNAJEM4[[#This Row],[suma energia i woda]] + WYNAJEM4[[#This Row],[czynsz]]</f>
        <v>576.6</v>
      </c>
    </row>
    <row r="949" spans="1:9" x14ac:dyDescent="0.25">
      <c r="A949" s="1">
        <v>41987</v>
      </c>
      <c r="B949" s="1">
        <v>42012</v>
      </c>
      <c r="C949" s="8">
        <v>2.72</v>
      </c>
      <c r="D949" s="8">
        <v>7.0000000000000007E-2</v>
      </c>
      <c r="E949">
        <v>4</v>
      </c>
      <c r="F949" s="10">
        <f>(WYNAJEM4[[#This Row],[data_wyjazdu]]-WYNAJEM4[[#This Row],[data_przyjazdu]])</f>
        <v>25</v>
      </c>
      <c r="G949" s="9">
        <f xml:space="preserve"> WYNAJEM4[[#This Row],[energia]] + WYNAJEM4[[#This Row],[woda]]</f>
        <v>2.79</v>
      </c>
      <c r="H949" s="8">
        <f xml:space="preserve"> (10 * WYNAJEM4[[#This Row],[typ]] * WYNAJEM4[[#This Row],[czas wynajecia domku]])</f>
        <v>1000</v>
      </c>
      <c r="I949" s="9">
        <f xml:space="preserve"> WYNAJEM4[[#This Row],[suma energia i woda]] + WYNAJEM4[[#This Row],[czynsz]]</f>
        <v>1002.79</v>
      </c>
    </row>
    <row r="950" spans="1:9" x14ac:dyDescent="0.25">
      <c r="A950" s="1">
        <v>41987</v>
      </c>
      <c r="B950" s="1">
        <v>42007</v>
      </c>
      <c r="C950" s="8">
        <v>6.43</v>
      </c>
      <c r="D950" s="8">
        <v>0.17</v>
      </c>
      <c r="E950">
        <v>6</v>
      </c>
      <c r="F950" s="10">
        <f>(WYNAJEM4[[#This Row],[data_wyjazdu]]-WYNAJEM4[[#This Row],[data_przyjazdu]])</f>
        <v>20</v>
      </c>
      <c r="G950" s="9">
        <f xml:space="preserve"> WYNAJEM4[[#This Row],[energia]] + WYNAJEM4[[#This Row],[woda]]</f>
        <v>6.6</v>
      </c>
      <c r="H950" s="8">
        <f xml:space="preserve"> (10 * WYNAJEM4[[#This Row],[typ]] * WYNAJEM4[[#This Row],[czas wynajecia domku]])</f>
        <v>1200</v>
      </c>
      <c r="I950" s="9">
        <f xml:space="preserve"> WYNAJEM4[[#This Row],[suma energia i woda]] + WYNAJEM4[[#This Row],[czynsz]]</f>
        <v>1206.5999999999999</v>
      </c>
    </row>
    <row r="951" spans="1:9" x14ac:dyDescent="0.25">
      <c r="A951" s="1">
        <v>41988</v>
      </c>
      <c r="B951" s="1">
        <v>42014</v>
      </c>
      <c r="C951" s="8">
        <v>2.0099999999999998</v>
      </c>
      <c r="D951" s="8">
        <v>0.05</v>
      </c>
      <c r="E951">
        <v>3</v>
      </c>
      <c r="F951" s="10">
        <f>(WYNAJEM4[[#This Row],[data_wyjazdu]]-WYNAJEM4[[#This Row],[data_przyjazdu]])</f>
        <v>26</v>
      </c>
      <c r="G951" s="9">
        <f xml:space="preserve"> WYNAJEM4[[#This Row],[energia]] + WYNAJEM4[[#This Row],[woda]]</f>
        <v>2.0599999999999996</v>
      </c>
      <c r="H951" s="8">
        <f xml:space="preserve"> (10 * WYNAJEM4[[#This Row],[typ]] * WYNAJEM4[[#This Row],[czas wynajecia domku]])</f>
        <v>780</v>
      </c>
      <c r="I951" s="9">
        <f xml:space="preserve"> WYNAJEM4[[#This Row],[suma energia i woda]] + WYNAJEM4[[#This Row],[czynsz]]</f>
        <v>782.06</v>
      </c>
    </row>
    <row r="952" spans="1:9" x14ac:dyDescent="0.25">
      <c r="A952" s="1">
        <v>41988</v>
      </c>
      <c r="B952" s="1">
        <v>42005</v>
      </c>
      <c r="C952" s="8">
        <v>2.72</v>
      </c>
      <c r="D952" s="8">
        <v>7.0000000000000007E-2</v>
      </c>
      <c r="E952">
        <v>2</v>
      </c>
      <c r="F952" s="10">
        <f>(WYNAJEM4[[#This Row],[data_wyjazdu]]-WYNAJEM4[[#This Row],[data_przyjazdu]])</f>
        <v>17</v>
      </c>
      <c r="G952" s="9">
        <f xml:space="preserve"> WYNAJEM4[[#This Row],[energia]] + WYNAJEM4[[#This Row],[woda]]</f>
        <v>2.79</v>
      </c>
      <c r="H952" s="8">
        <f xml:space="preserve"> (10 * WYNAJEM4[[#This Row],[typ]] * WYNAJEM4[[#This Row],[czas wynajecia domku]])</f>
        <v>340</v>
      </c>
      <c r="I952" s="9">
        <f xml:space="preserve"> WYNAJEM4[[#This Row],[suma energia i woda]] + WYNAJEM4[[#This Row],[czynsz]]</f>
        <v>342.79</v>
      </c>
    </row>
    <row r="953" spans="1:9" x14ac:dyDescent="0.25">
      <c r="A953" s="1">
        <v>41988</v>
      </c>
      <c r="B953" s="1">
        <v>41996</v>
      </c>
      <c r="C953" s="8">
        <v>2.0099999999999998</v>
      </c>
      <c r="D953" s="8">
        <v>0.05</v>
      </c>
      <c r="E953">
        <v>5</v>
      </c>
      <c r="F953" s="10">
        <f>(WYNAJEM4[[#This Row],[data_wyjazdu]]-WYNAJEM4[[#This Row],[data_przyjazdu]])</f>
        <v>8</v>
      </c>
      <c r="G953" s="9">
        <f xml:space="preserve"> WYNAJEM4[[#This Row],[energia]] + WYNAJEM4[[#This Row],[woda]]</f>
        <v>2.0599999999999996</v>
      </c>
      <c r="H953" s="8">
        <f xml:space="preserve"> (10 * WYNAJEM4[[#This Row],[typ]] * WYNAJEM4[[#This Row],[czas wynajecia domku]])</f>
        <v>400</v>
      </c>
      <c r="I953" s="9">
        <f xml:space="preserve"> WYNAJEM4[[#This Row],[suma energia i woda]] + WYNAJEM4[[#This Row],[czynsz]]</f>
        <v>402.06</v>
      </c>
    </row>
    <row r="954" spans="1:9" x14ac:dyDescent="0.25">
      <c r="A954" s="1">
        <v>41989</v>
      </c>
      <c r="B954" s="1">
        <v>41991</v>
      </c>
      <c r="C954" s="8">
        <v>11.42</v>
      </c>
      <c r="D954" s="8">
        <v>0.3</v>
      </c>
      <c r="E954">
        <v>5</v>
      </c>
      <c r="F954" s="10">
        <f>(WYNAJEM4[[#This Row],[data_wyjazdu]]-WYNAJEM4[[#This Row],[data_przyjazdu]])</f>
        <v>2</v>
      </c>
      <c r="G954" s="9">
        <f xml:space="preserve"> WYNAJEM4[[#This Row],[energia]] + WYNAJEM4[[#This Row],[woda]]</f>
        <v>11.72</v>
      </c>
      <c r="H954" s="8">
        <f xml:space="preserve"> (10 * WYNAJEM4[[#This Row],[typ]] * WYNAJEM4[[#This Row],[czas wynajecia domku]])</f>
        <v>100</v>
      </c>
      <c r="I954" s="9">
        <f xml:space="preserve"> WYNAJEM4[[#This Row],[suma energia i woda]] + WYNAJEM4[[#This Row],[czynsz]]</f>
        <v>111.72</v>
      </c>
    </row>
    <row r="955" spans="1:9" x14ac:dyDescent="0.25">
      <c r="A955" s="1">
        <v>41989</v>
      </c>
      <c r="B955" s="1">
        <v>42003</v>
      </c>
      <c r="C955" s="8">
        <v>10.93</v>
      </c>
      <c r="D955" s="8">
        <v>0.28999999999999998</v>
      </c>
      <c r="E955">
        <v>3</v>
      </c>
      <c r="F955" s="10">
        <f>(WYNAJEM4[[#This Row],[data_wyjazdu]]-WYNAJEM4[[#This Row],[data_przyjazdu]])</f>
        <v>14</v>
      </c>
      <c r="G955" s="9">
        <f xml:space="preserve"> WYNAJEM4[[#This Row],[energia]] + WYNAJEM4[[#This Row],[woda]]</f>
        <v>11.219999999999999</v>
      </c>
      <c r="H955" s="8">
        <f xml:space="preserve"> (10 * WYNAJEM4[[#This Row],[typ]] * WYNAJEM4[[#This Row],[czas wynajecia domku]])</f>
        <v>420</v>
      </c>
      <c r="I955" s="9">
        <f xml:space="preserve"> WYNAJEM4[[#This Row],[suma energia i woda]] + WYNAJEM4[[#This Row],[czynsz]]</f>
        <v>431.22</v>
      </c>
    </row>
    <row r="956" spans="1:9" x14ac:dyDescent="0.25">
      <c r="A956" s="1">
        <v>41989</v>
      </c>
      <c r="B956" s="1">
        <v>41997</v>
      </c>
      <c r="C956" s="8">
        <v>9.06</v>
      </c>
      <c r="D956" s="8">
        <v>0.24</v>
      </c>
      <c r="E956">
        <v>2</v>
      </c>
      <c r="F956" s="10">
        <f>(WYNAJEM4[[#This Row],[data_wyjazdu]]-WYNAJEM4[[#This Row],[data_przyjazdu]])</f>
        <v>8</v>
      </c>
      <c r="G956" s="9">
        <f xml:space="preserve"> WYNAJEM4[[#This Row],[energia]] + WYNAJEM4[[#This Row],[woda]]</f>
        <v>9.3000000000000007</v>
      </c>
      <c r="H956" s="8">
        <f xml:space="preserve"> (10 * WYNAJEM4[[#This Row],[typ]] * WYNAJEM4[[#This Row],[czas wynajecia domku]])</f>
        <v>160</v>
      </c>
      <c r="I956" s="9">
        <f xml:space="preserve"> WYNAJEM4[[#This Row],[suma energia i woda]] + WYNAJEM4[[#This Row],[czynsz]]</f>
        <v>169.3</v>
      </c>
    </row>
    <row r="957" spans="1:9" x14ac:dyDescent="0.25">
      <c r="A957" s="1">
        <v>41989</v>
      </c>
      <c r="B957" s="1">
        <v>41998</v>
      </c>
      <c r="C957" s="8">
        <v>5.67</v>
      </c>
      <c r="D957" s="8">
        <v>0.15</v>
      </c>
      <c r="E957">
        <v>3</v>
      </c>
      <c r="F957" s="10">
        <f>(WYNAJEM4[[#This Row],[data_wyjazdu]]-WYNAJEM4[[#This Row],[data_przyjazdu]])</f>
        <v>9</v>
      </c>
      <c r="G957" s="9">
        <f xml:space="preserve"> WYNAJEM4[[#This Row],[energia]] + WYNAJEM4[[#This Row],[woda]]</f>
        <v>5.82</v>
      </c>
      <c r="H957" s="8">
        <f xml:space="preserve"> (10 * WYNAJEM4[[#This Row],[typ]] * WYNAJEM4[[#This Row],[czas wynajecia domku]])</f>
        <v>270</v>
      </c>
      <c r="I957" s="9">
        <f xml:space="preserve"> WYNAJEM4[[#This Row],[suma energia i woda]] + WYNAJEM4[[#This Row],[czynsz]]</f>
        <v>275.82</v>
      </c>
    </row>
    <row r="958" spans="1:9" x14ac:dyDescent="0.25">
      <c r="A958" s="1">
        <v>41989</v>
      </c>
      <c r="B958" s="1">
        <v>42015</v>
      </c>
      <c r="C958" s="8">
        <v>3.57</v>
      </c>
      <c r="D958" s="8">
        <v>0.09</v>
      </c>
      <c r="E958">
        <v>4</v>
      </c>
      <c r="F958" s="10">
        <f>(WYNAJEM4[[#This Row],[data_wyjazdu]]-WYNAJEM4[[#This Row],[data_przyjazdu]])</f>
        <v>26</v>
      </c>
      <c r="G958" s="9">
        <f xml:space="preserve"> WYNAJEM4[[#This Row],[energia]] + WYNAJEM4[[#This Row],[woda]]</f>
        <v>3.6599999999999997</v>
      </c>
      <c r="H958" s="8">
        <f xml:space="preserve"> (10 * WYNAJEM4[[#This Row],[typ]] * WYNAJEM4[[#This Row],[czas wynajecia domku]])</f>
        <v>1040</v>
      </c>
      <c r="I958" s="9">
        <f xml:space="preserve"> WYNAJEM4[[#This Row],[suma energia i woda]] + WYNAJEM4[[#This Row],[czynsz]]</f>
        <v>1043.6600000000001</v>
      </c>
    </row>
    <row r="959" spans="1:9" x14ac:dyDescent="0.25">
      <c r="A959" s="1">
        <v>41989</v>
      </c>
      <c r="B959" s="1">
        <v>42011</v>
      </c>
      <c r="C959" s="8">
        <v>3.79</v>
      </c>
      <c r="D959" s="8">
        <v>0.1</v>
      </c>
      <c r="E959">
        <v>5</v>
      </c>
      <c r="F959" s="10">
        <f>(WYNAJEM4[[#This Row],[data_wyjazdu]]-WYNAJEM4[[#This Row],[data_przyjazdu]])</f>
        <v>22</v>
      </c>
      <c r="G959" s="9">
        <f xml:space="preserve"> WYNAJEM4[[#This Row],[energia]] + WYNAJEM4[[#This Row],[woda]]</f>
        <v>3.89</v>
      </c>
      <c r="H959" s="8">
        <f xml:space="preserve"> (10 * WYNAJEM4[[#This Row],[typ]] * WYNAJEM4[[#This Row],[czas wynajecia domku]])</f>
        <v>1100</v>
      </c>
      <c r="I959" s="9">
        <f xml:space="preserve"> WYNAJEM4[[#This Row],[suma energia i woda]] + WYNAJEM4[[#This Row],[czynsz]]</f>
        <v>1103.8900000000001</v>
      </c>
    </row>
    <row r="960" spans="1:9" x14ac:dyDescent="0.25">
      <c r="A960" s="1">
        <v>41990</v>
      </c>
      <c r="B960" s="1">
        <v>41996</v>
      </c>
      <c r="C960" s="8">
        <v>4.66</v>
      </c>
      <c r="D960" s="8">
        <v>0.12</v>
      </c>
      <c r="E960">
        <v>3</v>
      </c>
      <c r="F960" s="10">
        <f>(WYNAJEM4[[#This Row],[data_wyjazdu]]-WYNAJEM4[[#This Row],[data_przyjazdu]])</f>
        <v>6</v>
      </c>
      <c r="G960" s="9">
        <f xml:space="preserve"> WYNAJEM4[[#This Row],[energia]] + WYNAJEM4[[#This Row],[woda]]</f>
        <v>4.78</v>
      </c>
      <c r="H960" s="8">
        <f xml:space="preserve"> (10 * WYNAJEM4[[#This Row],[typ]] * WYNAJEM4[[#This Row],[czas wynajecia domku]])</f>
        <v>180</v>
      </c>
      <c r="I960" s="9">
        <f xml:space="preserve"> WYNAJEM4[[#This Row],[suma energia i woda]] + WYNAJEM4[[#This Row],[czynsz]]</f>
        <v>184.78</v>
      </c>
    </row>
    <row r="961" spans="1:9" x14ac:dyDescent="0.25">
      <c r="A961" s="1">
        <v>41990</v>
      </c>
      <c r="B961" s="1">
        <v>42004</v>
      </c>
      <c r="C961" s="8">
        <v>6.43</v>
      </c>
      <c r="D961" s="8">
        <v>0.17</v>
      </c>
      <c r="E961">
        <v>6</v>
      </c>
      <c r="F961" s="10">
        <f>(WYNAJEM4[[#This Row],[data_wyjazdu]]-WYNAJEM4[[#This Row],[data_przyjazdu]])</f>
        <v>14</v>
      </c>
      <c r="G961" s="9">
        <f xml:space="preserve"> WYNAJEM4[[#This Row],[energia]] + WYNAJEM4[[#This Row],[woda]]</f>
        <v>6.6</v>
      </c>
      <c r="H961" s="8">
        <f xml:space="preserve"> (10 * WYNAJEM4[[#This Row],[typ]] * WYNAJEM4[[#This Row],[czas wynajecia domku]])</f>
        <v>840</v>
      </c>
      <c r="I961" s="9">
        <f xml:space="preserve"> WYNAJEM4[[#This Row],[suma energia i woda]] + WYNAJEM4[[#This Row],[czynsz]]</f>
        <v>846.6</v>
      </c>
    </row>
    <row r="962" spans="1:9" x14ac:dyDescent="0.25">
      <c r="A962" s="1">
        <v>41990</v>
      </c>
      <c r="B962" s="1">
        <v>41998</v>
      </c>
      <c r="C962" s="8">
        <v>6.58</v>
      </c>
      <c r="D962" s="8">
        <v>0.17</v>
      </c>
      <c r="E962">
        <v>4</v>
      </c>
      <c r="F962" s="10">
        <f>(WYNAJEM4[[#This Row],[data_wyjazdu]]-WYNAJEM4[[#This Row],[data_przyjazdu]])</f>
        <v>8</v>
      </c>
      <c r="G962" s="9">
        <f xml:space="preserve"> WYNAJEM4[[#This Row],[energia]] + WYNAJEM4[[#This Row],[woda]]</f>
        <v>6.75</v>
      </c>
      <c r="H962" s="8">
        <f xml:space="preserve"> (10 * WYNAJEM4[[#This Row],[typ]] * WYNAJEM4[[#This Row],[czas wynajecia domku]])</f>
        <v>320</v>
      </c>
      <c r="I962" s="9">
        <f xml:space="preserve"> WYNAJEM4[[#This Row],[suma energia i woda]] + WYNAJEM4[[#This Row],[czynsz]]</f>
        <v>326.75</v>
      </c>
    </row>
    <row r="963" spans="1:9" x14ac:dyDescent="0.25">
      <c r="A963" s="1">
        <v>41991</v>
      </c>
      <c r="B963" s="1">
        <v>41998</v>
      </c>
      <c r="C963" s="8">
        <v>4.66</v>
      </c>
      <c r="D963" s="8">
        <v>0.12</v>
      </c>
      <c r="E963">
        <v>6</v>
      </c>
      <c r="F963" s="10">
        <f>(WYNAJEM4[[#This Row],[data_wyjazdu]]-WYNAJEM4[[#This Row],[data_przyjazdu]])</f>
        <v>7</v>
      </c>
      <c r="G963" s="9">
        <f xml:space="preserve"> WYNAJEM4[[#This Row],[energia]] + WYNAJEM4[[#This Row],[woda]]</f>
        <v>4.78</v>
      </c>
      <c r="H963" s="8">
        <f xml:space="preserve"> (10 * WYNAJEM4[[#This Row],[typ]] * WYNAJEM4[[#This Row],[czas wynajecia domku]])</f>
        <v>420</v>
      </c>
      <c r="I963" s="9">
        <f xml:space="preserve"> WYNAJEM4[[#This Row],[suma energia i woda]] + WYNAJEM4[[#This Row],[czynsz]]</f>
        <v>424.78</v>
      </c>
    </row>
    <row r="964" spans="1:9" x14ac:dyDescent="0.25">
      <c r="A964" s="1">
        <v>41991</v>
      </c>
      <c r="B964" s="1">
        <v>42003</v>
      </c>
      <c r="C964" s="8">
        <v>4.66</v>
      </c>
      <c r="D964" s="8">
        <v>0.12</v>
      </c>
      <c r="E964">
        <v>5</v>
      </c>
      <c r="F964" s="10">
        <f>(WYNAJEM4[[#This Row],[data_wyjazdu]]-WYNAJEM4[[#This Row],[data_przyjazdu]])</f>
        <v>12</v>
      </c>
      <c r="G964" s="9">
        <f xml:space="preserve"> WYNAJEM4[[#This Row],[energia]] + WYNAJEM4[[#This Row],[woda]]</f>
        <v>4.78</v>
      </c>
      <c r="H964" s="8">
        <f xml:space="preserve"> (10 * WYNAJEM4[[#This Row],[typ]] * WYNAJEM4[[#This Row],[czas wynajecia domku]])</f>
        <v>600</v>
      </c>
      <c r="I964" s="9">
        <f xml:space="preserve"> WYNAJEM4[[#This Row],[suma energia i woda]] + WYNAJEM4[[#This Row],[czynsz]]</f>
        <v>604.78</v>
      </c>
    </row>
    <row r="965" spans="1:9" x14ac:dyDescent="0.25">
      <c r="A965" s="1">
        <v>41991</v>
      </c>
      <c r="B965" s="1">
        <v>41999</v>
      </c>
      <c r="C965" s="8">
        <v>3.73</v>
      </c>
      <c r="D965" s="8">
        <v>0.1</v>
      </c>
      <c r="E965">
        <v>5</v>
      </c>
      <c r="F965" s="10">
        <f>(WYNAJEM4[[#This Row],[data_wyjazdu]]-WYNAJEM4[[#This Row],[data_przyjazdu]])</f>
        <v>8</v>
      </c>
      <c r="G965" s="9">
        <f xml:space="preserve"> WYNAJEM4[[#This Row],[energia]] + WYNAJEM4[[#This Row],[woda]]</f>
        <v>3.83</v>
      </c>
      <c r="H965" s="8">
        <f xml:space="preserve"> (10 * WYNAJEM4[[#This Row],[typ]] * WYNAJEM4[[#This Row],[czas wynajecia domku]])</f>
        <v>400</v>
      </c>
      <c r="I965" s="9">
        <f xml:space="preserve"> WYNAJEM4[[#This Row],[suma energia i woda]] + WYNAJEM4[[#This Row],[czynsz]]</f>
        <v>403.83</v>
      </c>
    </row>
    <row r="966" spans="1:9" x14ac:dyDescent="0.25">
      <c r="A966" s="1">
        <v>41991</v>
      </c>
      <c r="B966" s="1">
        <v>41995</v>
      </c>
      <c r="C966" s="8">
        <v>4.25</v>
      </c>
      <c r="D966" s="8">
        <v>0.11</v>
      </c>
      <c r="E966">
        <v>4</v>
      </c>
      <c r="F966" s="10">
        <f>(WYNAJEM4[[#This Row],[data_wyjazdu]]-WYNAJEM4[[#This Row],[data_przyjazdu]])</f>
        <v>4</v>
      </c>
      <c r="G966" s="9">
        <f xml:space="preserve"> WYNAJEM4[[#This Row],[energia]] + WYNAJEM4[[#This Row],[woda]]</f>
        <v>4.3600000000000003</v>
      </c>
      <c r="H966" s="8">
        <f xml:space="preserve"> (10 * WYNAJEM4[[#This Row],[typ]] * WYNAJEM4[[#This Row],[czas wynajecia domku]])</f>
        <v>160</v>
      </c>
      <c r="I966" s="9">
        <f xml:space="preserve"> WYNAJEM4[[#This Row],[suma energia i woda]] + WYNAJEM4[[#This Row],[czynsz]]</f>
        <v>164.36</v>
      </c>
    </row>
    <row r="967" spans="1:9" x14ac:dyDescent="0.25">
      <c r="A967" s="1">
        <v>41991</v>
      </c>
      <c r="B967" s="1">
        <v>42014</v>
      </c>
      <c r="C967" s="8">
        <v>6.34</v>
      </c>
      <c r="D967" s="8">
        <v>0.17</v>
      </c>
      <c r="E967">
        <v>5</v>
      </c>
      <c r="F967" s="10">
        <f>(WYNAJEM4[[#This Row],[data_wyjazdu]]-WYNAJEM4[[#This Row],[data_przyjazdu]])</f>
        <v>23</v>
      </c>
      <c r="G967" s="9">
        <f xml:space="preserve"> WYNAJEM4[[#This Row],[energia]] + WYNAJEM4[[#This Row],[woda]]</f>
        <v>6.51</v>
      </c>
      <c r="H967" s="8">
        <f xml:space="preserve"> (10 * WYNAJEM4[[#This Row],[typ]] * WYNAJEM4[[#This Row],[czas wynajecia domku]])</f>
        <v>1150</v>
      </c>
      <c r="I967" s="9">
        <f xml:space="preserve"> WYNAJEM4[[#This Row],[suma energia i woda]] + WYNAJEM4[[#This Row],[czynsz]]</f>
        <v>1156.51</v>
      </c>
    </row>
    <row r="968" spans="1:9" x14ac:dyDescent="0.25">
      <c r="A968" s="1">
        <v>41992</v>
      </c>
      <c r="B968" s="1">
        <v>42016</v>
      </c>
      <c r="C968" s="8">
        <v>2.0099999999999998</v>
      </c>
      <c r="D968" s="8">
        <v>0.05</v>
      </c>
      <c r="E968">
        <v>6</v>
      </c>
      <c r="F968" s="10">
        <f>(WYNAJEM4[[#This Row],[data_wyjazdu]]-WYNAJEM4[[#This Row],[data_przyjazdu]])</f>
        <v>24</v>
      </c>
      <c r="G968" s="9">
        <f xml:space="preserve"> WYNAJEM4[[#This Row],[energia]] + WYNAJEM4[[#This Row],[woda]]</f>
        <v>2.0599999999999996</v>
      </c>
      <c r="H968" s="8">
        <f xml:space="preserve"> (10 * WYNAJEM4[[#This Row],[typ]] * WYNAJEM4[[#This Row],[czas wynajecia domku]])</f>
        <v>1440</v>
      </c>
      <c r="I968" s="9">
        <f xml:space="preserve"> WYNAJEM4[[#This Row],[suma energia i woda]] + WYNAJEM4[[#This Row],[czynsz]]</f>
        <v>1442.06</v>
      </c>
    </row>
    <row r="969" spans="1:9" x14ac:dyDescent="0.25">
      <c r="A969" s="1">
        <v>41992</v>
      </c>
      <c r="B969" s="1">
        <v>42007</v>
      </c>
      <c r="C969" s="8">
        <v>6.34</v>
      </c>
      <c r="D969" s="8">
        <v>0.17</v>
      </c>
      <c r="E969">
        <v>6</v>
      </c>
      <c r="F969" s="10">
        <f>(WYNAJEM4[[#This Row],[data_wyjazdu]]-WYNAJEM4[[#This Row],[data_przyjazdu]])</f>
        <v>15</v>
      </c>
      <c r="G969" s="9">
        <f xml:space="preserve"> WYNAJEM4[[#This Row],[energia]] + WYNAJEM4[[#This Row],[woda]]</f>
        <v>6.51</v>
      </c>
      <c r="H969" s="8">
        <f xml:space="preserve"> (10 * WYNAJEM4[[#This Row],[typ]] * WYNAJEM4[[#This Row],[czas wynajecia domku]])</f>
        <v>900</v>
      </c>
      <c r="I969" s="9">
        <f xml:space="preserve"> WYNAJEM4[[#This Row],[suma energia i woda]] + WYNAJEM4[[#This Row],[czynsz]]</f>
        <v>906.51</v>
      </c>
    </row>
    <row r="970" spans="1:9" x14ac:dyDescent="0.25">
      <c r="A970" s="1">
        <v>41993</v>
      </c>
      <c r="B970" s="1">
        <v>42014</v>
      </c>
      <c r="C970" s="8">
        <v>3.94</v>
      </c>
      <c r="D970" s="8">
        <v>0.1</v>
      </c>
      <c r="E970">
        <v>4</v>
      </c>
      <c r="F970" s="10">
        <f>(WYNAJEM4[[#This Row],[data_wyjazdu]]-WYNAJEM4[[#This Row],[data_przyjazdu]])</f>
        <v>21</v>
      </c>
      <c r="G970" s="9">
        <f xml:space="preserve"> WYNAJEM4[[#This Row],[energia]] + WYNAJEM4[[#This Row],[woda]]</f>
        <v>4.04</v>
      </c>
      <c r="H970" s="8">
        <f xml:space="preserve"> (10 * WYNAJEM4[[#This Row],[typ]] * WYNAJEM4[[#This Row],[czas wynajecia domku]])</f>
        <v>840</v>
      </c>
      <c r="I970" s="9">
        <f xml:space="preserve"> WYNAJEM4[[#This Row],[suma energia i woda]] + WYNAJEM4[[#This Row],[czynsz]]</f>
        <v>844.04</v>
      </c>
    </row>
    <row r="971" spans="1:9" x14ac:dyDescent="0.25">
      <c r="A971" s="1">
        <v>41993</v>
      </c>
      <c r="B971" s="1">
        <v>42021</v>
      </c>
      <c r="C971" s="8">
        <v>8.7200000000000006</v>
      </c>
      <c r="D971" s="8">
        <v>0.23</v>
      </c>
      <c r="E971">
        <v>4</v>
      </c>
      <c r="F971" s="10">
        <f>(WYNAJEM4[[#This Row],[data_wyjazdu]]-WYNAJEM4[[#This Row],[data_przyjazdu]])</f>
        <v>28</v>
      </c>
      <c r="G971" s="9">
        <f xml:space="preserve"> WYNAJEM4[[#This Row],[energia]] + WYNAJEM4[[#This Row],[woda]]</f>
        <v>8.9500000000000011</v>
      </c>
      <c r="H971" s="8">
        <f xml:space="preserve"> (10 * WYNAJEM4[[#This Row],[typ]] * WYNAJEM4[[#This Row],[czas wynajecia domku]])</f>
        <v>1120</v>
      </c>
      <c r="I971" s="9">
        <f xml:space="preserve"> WYNAJEM4[[#This Row],[suma energia i woda]] + WYNAJEM4[[#This Row],[czynsz]]</f>
        <v>1128.95</v>
      </c>
    </row>
    <row r="972" spans="1:9" x14ac:dyDescent="0.25">
      <c r="A972" s="1">
        <v>41994</v>
      </c>
      <c r="B972" s="1">
        <v>42012</v>
      </c>
      <c r="C972" s="8">
        <v>5.67</v>
      </c>
      <c r="D972" s="8">
        <v>0.15</v>
      </c>
      <c r="E972">
        <v>6</v>
      </c>
      <c r="F972" s="10">
        <f>(WYNAJEM4[[#This Row],[data_wyjazdu]]-WYNAJEM4[[#This Row],[data_przyjazdu]])</f>
        <v>18</v>
      </c>
      <c r="G972" s="9">
        <f xml:space="preserve"> WYNAJEM4[[#This Row],[energia]] + WYNAJEM4[[#This Row],[woda]]</f>
        <v>5.82</v>
      </c>
      <c r="H972" s="8">
        <f xml:space="preserve"> (10 * WYNAJEM4[[#This Row],[typ]] * WYNAJEM4[[#This Row],[czas wynajecia domku]])</f>
        <v>1080</v>
      </c>
      <c r="I972" s="9">
        <f xml:space="preserve"> WYNAJEM4[[#This Row],[suma energia i woda]] + WYNAJEM4[[#This Row],[czynsz]]</f>
        <v>1085.82</v>
      </c>
    </row>
    <row r="973" spans="1:9" x14ac:dyDescent="0.25">
      <c r="A973" s="1">
        <v>41994</v>
      </c>
      <c r="B973" s="1">
        <v>42021</v>
      </c>
      <c r="C973" s="8">
        <v>6.58</v>
      </c>
      <c r="D973" s="8">
        <v>0.17</v>
      </c>
      <c r="E973">
        <v>5</v>
      </c>
      <c r="F973" s="10">
        <f>(WYNAJEM4[[#This Row],[data_wyjazdu]]-WYNAJEM4[[#This Row],[data_przyjazdu]])</f>
        <v>27</v>
      </c>
      <c r="G973" s="9">
        <f xml:space="preserve"> WYNAJEM4[[#This Row],[energia]] + WYNAJEM4[[#This Row],[woda]]</f>
        <v>6.75</v>
      </c>
      <c r="H973" s="8">
        <f xml:space="preserve"> (10 * WYNAJEM4[[#This Row],[typ]] * WYNAJEM4[[#This Row],[czas wynajecia domku]])</f>
        <v>1350</v>
      </c>
      <c r="I973" s="9">
        <f xml:space="preserve"> WYNAJEM4[[#This Row],[suma energia i woda]] + WYNAJEM4[[#This Row],[czynsz]]</f>
        <v>1356.75</v>
      </c>
    </row>
    <row r="974" spans="1:9" x14ac:dyDescent="0.25">
      <c r="A974" s="1">
        <v>41994</v>
      </c>
      <c r="B974" s="1">
        <v>42022</v>
      </c>
      <c r="C974" s="8">
        <v>8.7200000000000006</v>
      </c>
      <c r="D974" s="8">
        <v>0.23</v>
      </c>
      <c r="E974">
        <v>6</v>
      </c>
      <c r="F974" s="10">
        <f>(WYNAJEM4[[#This Row],[data_wyjazdu]]-WYNAJEM4[[#This Row],[data_przyjazdu]])</f>
        <v>28</v>
      </c>
      <c r="G974" s="9">
        <f xml:space="preserve"> WYNAJEM4[[#This Row],[energia]] + WYNAJEM4[[#This Row],[woda]]</f>
        <v>8.9500000000000011</v>
      </c>
      <c r="H974" s="8">
        <f xml:space="preserve"> (10 * WYNAJEM4[[#This Row],[typ]] * WYNAJEM4[[#This Row],[czas wynajecia domku]])</f>
        <v>1680</v>
      </c>
      <c r="I974" s="9">
        <f xml:space="preserve"> WYNAJEM4[[#This Row],[suma energia i woda]] + WYNAJEM4[[#This Row],[czynsz]]</f>
        <v>1688.95</v>
      </c>
    </row>
    <row r="975" spans="1:9" x14ac:dyDescent="0.25">
      <c r="A975" s="1">
        <v>41994</v>
      </c>
      <c r="B975" s="1">
        <v>42000</v>
      </c>
      <c r="C975" s="8">
        <v>6.43</v>
      </c>
      <c r="D975" s="8">
        <v>0.17</v>
      </c>
      <c r="E975">
        <v>2</v>
      </c>
      <c r="F975" s="10">
        <f>(WYNAJEM4[[#This Row],[data_wyjazdu]]-WYNAJEM4[[#This Row],[data_przyjazdu]])</f>
        <v>6</v>
      </c>
      <c r="G975" s="9">
        <f xml:space="preserve"> WYNAJEM4[[#This Row],[energia]] + WYNAJEM4[[#This Row],[woda]]</f>
        <v>6.6</v>
      </c>
      <c r="H975" s="8">
        <f xml:space="preserve"> (10 * WYNAJEM4[[#This Row],[typ]] * WYNAJEM4[[#This Row],[czas wynajecia domku]])</f>
        <v>120</v>
      </c>
      <c r="I975" s="9">
        <f xml:space="preserve"> WYNAJEM4[[#This Row],[suma energia i woda]] + WYNAJEM4[[#This Row],[czynsz]]</f>
        <v>126.6</v>
      </c>
    </row>
    <row r="976" spans="1:9" x14ac:dyDescent="0.25">
      <c r="A976" s="1">
        <v>41994</v>
      </c>
      <c r="B976" s="1">
        <v>42001</v>
      </c>
      <c r="C976" s="8">
        <v>3.73</v>
      </c>
      <c r="D976" s="8">
        <v>0.1</v>
      </c>
      <c r="E976">
        <v>2</v>
      </c>
      <c r="F976" s="10">
        <f>(WYNAJEM4[[#This Row],[data_wyjazdu]]-WYNAJEM4[[#This Row],[data_przyjazdu]])</f>
        <v>7</v>
      </c>
      <c r="G976" s="9">
        <f xml:space="preserve"> WYNAJEM4[[#This Row],[energia]] + WYNAJEM4[[#This Row],[woda]]</f>
        <v>3.83</v>
      </c>
      <c r="H976" s="8">
        <f xml:space="preserve"> (10 * WYNAJEM4[[#This Row],[typ]] * WYNAJEM4[[#This Row],[czas wynajecia domku]])</f>
        <v>140</v>
      </c>
      <c r="I976" s="9">
        <f xml:space="preserve"> WYNAJEM4[[#This Row],[suma energia i woda]] + WYNAJEM4[[#This Row],[czynsz]]</f>
        <v>143.83000000000001</v>
      </c>
    </row>
    <row r="977" spans="1:9" x14ac:dyDescent="0.25">
      <c r="A977" s="1">
        <v>41994</v>
      </c>
      <c r="B977" s="1">
        <v>42015</v>
      </c>
      <c r="C977" s="8">
        <v>7.71</v>
      </c>
      <c r="D977" s="8">
        <v>0.2</v>
      </c>
      <c r="E977">
        <v>6</v>
      </c>
      <c r="F977" s="10">
        <f>(WYNAJEM4[[#This Row],[data_wyjazdu]]-WYNAJEM4[[#This Row],[data_przyjazdu]])</f>
        <v>21</v>
      </c>
      <c r="G977" s="9">
        <f xml:space="preserve"> WYNAJEM4[[#This Row],[energia]] + WYNAJEM4[[#This Row],[woda]]</f>
        <v>7.91</v>
      </c>
      <c r="H977" s="8">
        <f xml:space="preserve"> (10 * WYNAJEM4[[#This Row],[typ]] * WYNAJEM4[[#This Row],[czas wynajecia domku]])</f>
        <v>1260</v>
      </c>
      <c r="I977" s="9">
        <f xml:space="preserve"> WYNAJEM4[[#This Row],[suma energia i woda]] + WYNAJEM4[[#This Row],[czynsz]]</f>
        <v>1267.9100000000001</v>
      </c>
    </row>
    <row r="978" spans="1:9" x14ac:dyDescent="0.25">
      <c r="A978" s="1">
        <v>41994</v>
      </c>
      <c r="B978" s="1">
        <v>42007</v>
      </c>
      <c r="C978" s="8">
        <v>7.31</v>
      </c>
      <c r="D978" s="8">
        <v>0.19</v>
      </c>
      <c r="E978">
        <v>5</v>
      </c>
      <c r="F978" s="10">
        <f>(WYNAJEM4[[#This Row],[data_wyjazdu]]-WYNAJEM4[[#This Row],[data_przyjazdu]])</f>
        <v>13</v>
      </c>
      <c r="G978" s="9">
        <f xml:space="preserve"> WYNAJEM4[[#This Row],[energia]] + WYNAJEM4[[#This Row],[woda]]</f>
        <v>7.5</v>
      </c>
      <c r="H978" s="8">
        <f xml:space="preserve"> (10 * WYNAJEM4[[#This Row],[typ]] * WYNAJEM4[[#This Row],[czas wynajecia domku]])</f>
        <v>650</v>
      </c>
      <c r="I978" s="9">
        <f xml:space="preserve"> WYNAJEM4[[#This Row],[suma energia i woda]] + WYNAJEM4[[#This Row],[czynsz]]</f>
        <v>657.5</v>
      </c>
    </row>
    <row r="979" spans="1:9" x14ac:dyDescent="0.25">
      <c r="A979" s="1">
        <v>41994</v>
      </c>
      <c r="B979" s="1">
        <v>42016</v>
      </c>
      <c r="C979" s="8">
        <v>4.25</v>
      </c>
      <c r="D979" s="8">
        <v>0.11</v>
      </c>
      <c r="E979">
        <v>4</v>
      </c>
      <c r="F979" s="10">
        <f>(WYNAJEM4[[#This Row],[data_wyjazdu]]-WYNAJEM4[[#This Row],[data_przyjazdu]])</f>
        <v>22</v>
      </c>
      <c r="G979" s="9">
        <f xml:space="preserve"> WYNAJEM4[[#This Row],[energia]] + WYNAJEM4[[#This Row],[woda]]</f>
        <v>4.3600000000000003</v>
      </c>
      <c r="H979" s="8">
        <f xml:space="preserve"> (10 * WYNAJEM4[[#This Row],[typ]] * WYNAJEM4[[#This Row],[czas wynajecia domku]])</f>
        <v>880</v>
      </c>
      <c r="I979" s="9">
        <f xml:space="preserve"> WYNAJEM4[[#This Row],[suma energia i woda]] + WYNAJEM4[[#This Row],[czynsz]]</f>
        <v>884.36</v>
      </c>
    </row>
    <row r="980" spans="1:9" x14ac:dyDescent="0.25">
      <c r="A980" s="1">
        <v>41995</v>
      </c>
      <c r="B980" s="1">
        <v>42018</v>
      </c>
      <c r="C980" s="8">
        <v>6.43</v>
      </c>
      <c r="D980" s="8">
        <v>0.17</v>
      </c>
      <c r="E980">
        <v>2</v>
      </c>
      <c r="F980" s="10">
        <f>(WYNAJEM4[[#This Row],[data_wyjazdu]]-WYNAJEM4[[#This Row],[data_przyjazdu]])</f>
        <v>23</v>
      </c>
      <c r="G980" s="9">
        <f xml:space="preserve"> WYNAJEM4[[#This Row],[energia]] + WYNAJEM4[[#This Row],[woda]]</f>
        <v>6.6</v>
      </c>
      <c r="H980" s="8">
        <f xml:space="preserve"> (10 * WYNAJEM4[[#This Row],[typ]] * WYNAJEM4[[#This Row],[czas wynajecia domku]])</f>
        <v>460</v>
      </c>
      <c r="I980" s="9">
        <f xml:space="preserve"> WYNAJEM4[[#This Row],[suma energia i woda]] + WYNAJEM4[[#This Row],[czynsz]]</f>
        <v>466.6</v>
      </c>
    </row>
    <row r="981" spans="1:9" x14ac:dyDescent="0.25">
      <c r="A981" s="1">
        <v>41995</v>
      </c>
      <c r="B981" s="1">
        <v>42017</v>
      </c>
      <c r="C981" s="8">
        <v>4.66</v>
      </c>
      <c r="D981" s="8">
        <v>0.12</v>
      </c>
      <c r="E981">
        <v>5</v>
      </c>
      <c r="F981" s="10">
        <f>(WYNAJEM4[[#This Row],[data_wyjazdu]]-WYNAJEM4[[#This Row],[data_przyjazdu]])</f>
        <v>22</v>
      </c>
      <c r="G981" s="9">
        <f xml:space="preserve"> WYNAJEM4[[#This Row],[energia]] + WYNAJEM4[[#This Row],[woda]]</f>
        <v>4.78</v>
      </c>
      <c r="H981" s="8">
        <f xml:space="preserve"> (10 * WYNAJEM4[[#This Row],[typ]] * WYNAJEM4[[#This Row],[czas wynajecia domku]])</f>
        <v>1100</v>
      </c>
      <c r="I981" s="9">
        <f xml:space="preserve"> WYNAJEM4[[#This Row],[suma energia i woda]] + WYNAJEM4[[#This Row],[czynsz]]</f>
        <v>1104.78</v>
      </c>
    </row>
    <row r="982" spans="1:9" x14ac:dyDescent="0.25">
      <c r="A982" s="1">
        <v>41995</v>
      </c>
      <c r="B982" s="1">
        <v>42006</v>
      </c>
      <c r="C982" s="8">
        <v>6.23</v>
      </c>
      <c r="D982" s="8">
        <v>0.16</v>
      </c>
      <c r="E982">
        <v>5</v>
      </c>
      <c r="F982" s="10">
        <f>(WYNAJEM4[[#This Row],[data_wyjazdu]]-WYNAJEM4[[#This Row],[data_przyjazdu]])</f>
        <v>11</v>
      </c>
      <c r="G982" s="9">
        <f xml:space="preserve"> WYNAJEM4[[#This Row],[energia]] + WYNAJEM4[[#This Row],[woda]]</f>
        <v>6.3900000000000006</v>
      </c>
      <c r="H982" s="8">
        <f xml:space="preserve"> (10 * WYNAJEM4[[#This Row],[typ]] * WYNAJEM4[[#This Row],[czas wynajecia domku]])</f>
        <v>550</v>
      </c>
      <c r="I982" s="9">
        <f xml:space="preserve"> WYNAJEM4[[#This Row],[suma energia i woda]] + WYNAJEM4[[#This Row],[czynsz]]</f>
        <v>556.39</v>
      </c>
    </row>
    <row r="983" spans="1:9" x14ac:dyDescent="0.25">
      <c r="A983" s="1">
        <v>41995</v>
      </c>
      <c r="B983" s="1">
        <v>42018</v>
      </c>
      <c r="C983" s="8">
        <v>3.73</v>
      </c>
      <c r="D983" s="8">
        <v>0.1</v>
      </c>
      <c r="E983">
        <v>3</v>
      </c>
      <c r="F983" s="10">
        <f>(WYNAJEM4[[#This Row],[data_wyjazdu]]-WYNAJEM4[[#This Row],[data_przyjazdu]])</f>
        <v>23</v>
      </c>
      <c r="G983" s="9">
        <f xml:space="preserve"> WYNAJEM4[[#This Row],[energia]] + WYNAJEM4[[#This Row],[woda]]</f>
        <v>3.83</v>
      </c>
      <c r="H983" s="8">
        <f xml:space="preserve"> (10 * WYNAJEM4[[#This Row],[typ]] * WYNAJEM4[[#This Row],[czas wynajecia domku]])</f>
        <v>690</v>
      </c>
      <c r="I983" s="9">
        <f xml:space="preserve"> WYNAJEM4[[#This Row],[suma energia i woda]] + WYNAJEM4[[#This Row],[czynsz]]</f>
        <v>693.83</v>
      </c>
    </row>
    <row r="984" spans="1:9" x14ac:dyDescent="0.25">
      <c r="A984" s="1">
        <v>41995</v>
      </c>
      <c r="B984" s="1">
        <v>42006</v>
      </c>
      <c r="C984" s="8">
        <v>3.79</v>
      </c>
      <c r="D984" s="8">
        <v>0.1</v>
      </c>
      <c r="E984">
        <v>2</v>
      </c>
      <c r="F984" s="10">
        <f>(WYNAJEM4[[#This Row],[data_wyjazdu]]-WYNAJEM4[[#This Row],[data_przyjazdu]])</f>
        <v>11</v>
      </c>
      <c r="G984" s="9">
        <f xml:space="preserve"> WYNAJEM4[[#This Row],[energia]] + WYNAJEM4[[#This Row],[woda]]</f>
        <v>3.89</v>
      </c>
      <c r="H984" s="8">
        <f xml:space="preserve"> (10 * WYNAJEM4[[#This Row],[typ]] * WYNAJEM4[[#This Row],[czas wynajecia domku]])</f>
        <v>220</v>
      </c>
      <c r="I984" s="9">
        <f xml:space="preserve"> WYNAJEM4[[#This Row],[suma energia i woda]] + WYNAJEM4[[#This Row],[czynsz]]</f>
        <v>223.89</v>
      </c>
    </row>
    <row r="985" spans="1:9" x14ac:dyDescent="0.25">
      <c r="A985" s="1">
        <v>41995</v>
      </c>
      <c r="B985" s="1">
        <v>42000</v>
      </c>
      <c r="C985" s="8">
        <v>2.0099999999999998</v>
      </c>
      <c r="D985" s="8">
        <v>0.05</v>
      </c>
      <c r="E985">
        <v>6</v>
      </c>
      <c r="F985" s="10">
        <f>(WYNAJEM4[[#This Row],[data_wyjazdu]]-WYNAJEM4[[#This Row],[data_przyjazdu]])</f>
        <v>5</v>
      </c>
      <c r="G985" s="9">
        <f xml:space="preserve"> WYNAJEM4[[#This Row],[energia]] + WYNAJEM4[[#This Row],[woda]]</f>
        <v>2.0599999999999996</v>
      </c>
      <c r="H985" s="8">
        <f xml:space="preserve"> (10 * WYNAJEM4[[#This Row],[typ]] * WYNAJEM4[[#This Row],[czas wynajecia domku]])</f>
        <v>300</v>
      </c>
      <c r="I985" s="9">
        <f xml:space="preserve"> WYNAJEM4[[#This Row],[suma energia i woda]] + WYNAJEM4[[#This Row],[czynsz]]</f>
        <v>302.06</v>
      </c>
    </row>
    <row r="986" spans="1:9" x14ac:dyDescent="0.25">
      <c r="A986" s="1">
        <v>41995</v>
      </c>
      <c r="B986" s="1">
        <v>42003</v>
      </c>
      <c r="C986" s="8">
        <v>6.43</v>
      </c>
      <c r="D986" s="8">
        <v>0.17</v>
      </c>
      <c r="E986">
        <v>3</v>
      </c>
      <c r="F986" s="10">
        <f>(WYNAJEM4[[#This Row],[data_wyjazdu]]-WYNAJEM4[[#This Row],[data_przyjazdu]])</f>
        <v>8</v>
      </c>
      <c r="G986" s="9">
        <f xml:space="preserve"> WYNAJEM4[[#This Row],[energia]] + WYNAJEM4[[#This Row],[woda]]</f>
        <v>6.6</v>
      </c>
      <c r="H986" s="8">
        <f xml:space="preserve"> (10 * WYNAJEM4[[#This Row],[typ]] * WYNAJEM4[[#This Row],[czas wynajecia domku]])</f>
        <v>240</v>
      </c>
      <c r="I986" s="9">
        <f xml:space="preserve"> WYNAJEM4[[#This Row],[suma energia i woda]] + WYNAJEM4[[#This Row],[czynsz]]</f>
        <v>246.6</v>
      </c>
    </row>
    <row r="987" spans="1:9" x14ac:dyDescent="0.25">
      <c r="A987" s="1">
        <v>41995</v>
      </c>
      <c r="B987" s="1">
        <v>42022</v>
      </c>
      <c r="C987" s="8">
        <v>2.72</v>
      </c>
      <c r="D987" s="8">
        <v>7.0000000000000007E-2</v>
      </c>
      <c r="E987">
        <v>3</v>
      </c>
      <c r="F987" s="10">
        <f>(WYNAJEM4[[#This Row],[data_wyjazdu]]-WYNAJEM4[[#This Row],[data_przyjazdu]])</f>
        <v>27</v>
      </c>
      <c r="G987" s="9">
        <f xml:space="preserve"> WYNAJEM4[[#This Row],[energia]] + WYNAJEM4[[#This Row],[woda]]</f>
        <v>2.79</v>
      </c>
      <c r="H987" s="8">
        <f xml:space="preserve"> (10 * WYNAJEM4[[#This Row],[typ]] * WYNAJEM4[[#This Row],[czas wynajecia domku]])</f>
        <v>810</v>
      </c>
      <c r="I987" s="9">
        <f xml:space="preserve"> WYNAJEM4[[#This Row],[suma energia i woda]] + WYNAJEM4[[#This Row],[czynsz]]</f>
        <v>812.79</v>
      </c>
    </row>
    <row r="988" spans="1:9" x14ac:dyDescent="0.25">
      <c r="A988" s="1">
        <v>41995</v>
      </c>
      <c r="B988" s="1">
        <v>42005</v>
      </c>
      <c r="C988" s="8">
        <v>9.06</v>
      </c>
      <c r="D988" s="8">
        <v>0.24</v>
      </c>
      <c r="E988">
        <v>3</v>
      </c>
      <c r="F988" s="10">
        <f>(WYNAJEM4[[#This Row],[data_wyjazdu]]-WYNAJEM4[[#This Row],[data_przyjazdu]])</f>
        <v>10</v>
      </c>
      <c r="G988" s="9">
        <f xml:space="preserve"> WYNAJEM4[[#This Row],[energia]] + WYNAJEM4[[#This Row],[woda]]</f>
        <v>9.3000000000000007</v>
      </c>
      <c r="H988" s="8">
        <f xml:space="preserve"> (10 * WYNAJEM4[[#This Row],[typ]] * WYNAJEM4[[#This Row],[czas wynajecia domku]])</f>
        <v>300</v>
      </c>
      <c r="I988" s="9">
        <f xml:space="preserve"> WYNAJEM4[[#This Row],[suma energia i woda]] + WYNAJEM4[[#This Row],[czynsz]]</f>
        <v>309.3</v>
      </c>
    </row>
    <row r="989" spans="1:9" x14ac:dyDescent="0.25">
      <c r="A989" s="1">
        <v>41995</v>
      </c>
      <c r="B989" s="1">
        <v>42007</v>
      </c>
      <c r="C989" s="8">
        <v>5.67</v>
      </c>
      <c r="D989" s="8">
        <v>0.15</v>
      </c>
      <c r="E989">
        <v>3</v>
      </c>
      <c r="F989" s="10">
        <f>(WYNAJEM4[[#This Row],[data_wyjazdu]]-WYNAJEM4[[#This Row],[data_przyjazdu]])</f>
        <v>12</v>
      </c>
      <c r="G989" s="9">
        <f xml:space="preserve"> WYNAJEM4[[#This Row],[energia]] + WYNAJEM4[[#This Row],[woda]]</f>
        <v>5.82</v>
      </c>
      <c r="H989" s="8">
        <f xml:space="preserve"> (10 * WYNAJEM4[[#This Row],[typ]] * WYNAJEM4[[#This Row],[czas wynajecia domku]])</f>
        <v>360</v>
      </c>
      <c r="I989" s="9">
        <f xml:space="preserve"> WYNAJEM4[[#This Row],[suma energia i woda]] + WYNAJEM4[[#This Row],[czynsz]]</f>
        <v>365.82</v>
      </c>
    </row>
    <row r="990" spans="1:9" x14ac:dyDescent="0.25">
      <c r="A990" s="1">
        <v>41995</v>
      </c>
      <c r="B990" s="1">
        <v>42009</v>
      </c>
      <c r="C990" s="8">
        <v>4.25</v>
      </c>
      <c r="D990" s="8">
        <v>0.11</v>
      </c>
      <c r="E990">
        <v>6</v>
      </c>
      <c r="F990" s="10">
        <f>(WYNAJEM4[[#This Row],[data_wyjazdu]]-WYNAJEM4[[#This Row],[data_przyjazdu]])</f>
        <v>14</v>
      </c>
      <c r="G990" s="9">
        <f xml:space="preserve"> WYNAJEM4[[#This Row],[energia]] + WYNAJEM4[[#This Row],[woda]]</f>
        <v>4.3600000000000003</v>
      </c>
      <c r="H990" s="8">
        <f xml:space="preserve"> (10 * WYNAJEM4[[#This Row],[typ]] * WYNAJEM4[[#This Row],[czas wynajecia domku]])</f>
        <v>840</v>
      </c>
      <c r="I990" s="9">
        <f xml:space="preserve"> WYNAJEM4[[#This Row],[suma energia i woda]] + WYNAJEM4[[#This Row],[czynsz]]</f>
        <v>844.36</v>
      </c>
    </row>
    <row r="991" spans="1:9" x14ac:dyDescent="0.25">
      <c r="A991" s="1">
        <v>41995</v>
      </c>
      <c r="B991" s="1">
        <v>42009</v>
      </c>
      <c r="C991" s="8">
        <v>3.57</v>
      </c>
      <c r="D991" s="8">
        <v>0.09</v>
      </c>
      <c r="E991">
        <v>2</v>
      </c>
      <c r="F991" s="10">
        <f>(WYNAJEM4[[#This Row],[data_wyjazdu]]-WYNAJEM4[[#This Row],[data_przyjazdu]])</f>
        <v>14</v>
      </c>
      <c r="G991" s="9">
        <f xml:space="preserve"> WYNAJEM4[[#This Row],[energia]] + WYNAJEM4[[#This Row],[woda]]</f>
        <v>3.6599999999999997</v>
      </c>
      <c r="H991" s="8">
        <f xml:space="preserve"> (10 * WYNAJEM4[[#This Row],[typ]] * WYNAJEM4[[#This Row],[czas wynajecia domku]])</f>
        <v>280</v>
      </c>
      <c r="I991" s="9">
        <f xml:space="preserve"> WYNAJEM4[[#This Row],[suma energia i woda]] + WYNAJEM4[[#This Row],[czynsz]]</f>
        <v>283.66000000000003</v>
      </c>
    </row>
    <row r="992" spans="1:9" x14ac:dyDescent="0.25">
      <c r="A992" s="1">
        <v>41995</v>
      </c>
      <c r="B992" s="1">
        <v>42008</v>
      </c>
      <c r="C992" s="8">
        <v>8.39</v>
      </c>
      <c r="D992" s="8">
        <v>0.22</v>
      </c>
      <c r="E992">
        <v>5</v>
      </c>
      <c r="F992" s="10">
        <f>(WYNAJEM4[[#This Row],[data_wyjazdu]]-WYNAJEM4[[#This Row],[data_przyjazdu]])</f>
        <v>13</v>
      </c>
      <c r="G992" s="9">
        <f xml:space="preserve"> WYNAJEM4[[#This Row],[energia]] + WYNAJEM4[[#This Row],[woda]]</f>
        <v>8.6100000000000012</v>
      </c>
      <c r="H992" s="8">
        <f xml:space="preserve"> (10 * WYNAJEM4[[#This Row],[typ]] * WYNAJEM4[[#This Row],[czas wynajecia domku]])</f>
        <v>650</v>
      </c>
      <c r="I992" s="9">
        <f xml:space="preserve"> WYNAJEM4[[#This Row],[suma energia i woda]] + WYNAJEM4[[#This Row],[czynsz]]</f>
        <v>658.61</v>
      </c>
    </row>
    <row r="993" spans="1:9" x14ac:dyDescent="0.25">
      <c r="A993" s="1">
        <v>41995</v>
      </c>
      <c r="B993" s="1">
        <v>42021</v>
      </c>
      <c r="C993" s="8">
        <v>2.29</v>
      </c>
      <c r="D993" s="8">
        <v>0.06</v>
      </c>
      <c r="E993">
        <v>5</v>
      </c>
      <c r="F993" s="10">
        <f>(WYNAJEM4[[#This Row],[data_wyjazdu]]-WYNAJEM4[[#This Row],[data_przyjazdu]])</f>
        <v>26</v>
      </c>
      <c r="G993" s="9">
        <f xml:space="preserve"> WYNAJEM4[[#This Row],[energia]] + WYNAJEM4[[#This Row],[woda]]</f>
        <v>2.35</v>
      </c>
      <c r="H993" s="8">
        <f xml:space="preserve"> (10 * WYNAJEM4[[#This Row],[typ]] * WYNAJEM4[[#This Row],[czas wynajecia domku]])</f>
        <v>1300</v>
      </c>
      <c r="I993" s="9">
        <f xml:space="preserve"> WYNAJEM4[[#This Row],[suma energia i woda]] + WYNAJEM4[[#This Row],[czynsz]]</f>
        <v>1302.3499999999999</v>
      </c>
    </row>
    <row r="994" spans="1:9" x14ac:dyDescent="0.25">
      <c r="A994" s="1">
        <v>42001</v>
      </c>
      <c r="B994" s="1">
        <v>42010</v>
      </c>
      <c r="C994" s="8">
        <v>3.79</v>
      </c>
      <c r="D994" s="8">
        <v>0.1</v>
      </c>
      <c r="E994">
        <v>4</v>
      </c>
      <c r="F994" s="10">
        <f>(WYNAJEM4[[#This Row],[data_wyjazdu]]-WYNAJEM4[[#This Row],[data_przyjazdu]])</f>
        <v>9</v>
      </c>
      <c r="G994" s="9">
        <f xml:space="preserve"> WYNAJEM4[[#This Row],[energia]] + WYNAJEM4[[#This Row],[woda]]</f>
        <v>3.89</v>
      </c>
      <c r="H994" s="8">
        <f xml:space="preserve"> (10 * WYNAJEM4[[#This Row],[typ]] * WYNAJEM4[[#This Row],[czas wynajecia domku]])</f>
        <v>360</v>
      </c>
      <c r="I994" s="9">
        <f xml:space="preserve"> WYNAJEM4[[#This Row],[suma energia i woda]] + WYNAJEM4[[#This Row],[czynsz]]</f>
        <v>363.89</v>
      </c>
    </row>
    <row r="995" spans="1:9" x14ac:dyDescent="0.25">
      <c r="A995" s="1">
        <v>42001</v>
      </c>
      <c r="B995" s="1">
        <v>42006</v>
      </c>
      <c r="C995" s="8">
        <v>7.55</v>
      </c>
      <c r="D995" s="8">
        <v>0.2</v>
      </c>
      <c r="E995">
        <v>3</v>
      </c>
      <c r="F995" s="10">
        <f>(WYNAJEM4[[#This Row],[data_wyjazdu]]-WYNAJEM4[[#This Row],[data_przyjazdu]])</f>
        <v>5</v>
      </c>
      <c r="G995" s="9">
        <f xml:space="preserve"> WYNAJEM4[[#This Row],[energia]] + WYNAJEM4[[#This Row],[woda]]</f>
        <v>7.75</v>
      </c>
      <c r="H995" s="8">
        <f xml:space="preserve"> (10 * WYNAJEM4[[#This Row],[typ]] * WYNAJEM4[[#This Row],[czas wynajecia domku]])</f>
        <v>150</v>
      </c>
      <c r="I995" s="9">
        <f xml:space="preserve"> WYNAJEM4[[#This Row],[suma energia i woda]] + WYNAJEM4[[#This Row],[czynsz]]</f>
        <v>157.75</v>
      </c>
    </row>
    <row r="996" spans="1:9" x14ac:dyDescent="0.25">
      <c r="A996" s="1">
        <v>42002</v>
      </c>
      <c r="B996" s="1">
        <v>42028</v>
      </c>
      <c r="C996" s="8">
        <v>7.71</v>
      </c>
      <c r="D996" s="8">
        <v>0.2</v>
      </c>
      <c r="E996">
        <v>6</v>
      </c>
      <c r="F996" s="10">
        <f>(WYNAJEM4[[#This Row],[data_wyjazdu]]-WYNAJEM4[[#This Row],[data_przyjazdu]])</f>
        <v>26</v>
      </c>
      <c r="G996" s="9">
        <f xml:space="preserve"> WYNAJEM4[[#This Row],[energia]] + WYNAJEM4[[#This Row],[woda]]</f>
        <v>7.91</v>
      </c>
      <c r="H996" s="8">
        <f xml:space="preserve"> (10 * WYNAJEM4[[#This Row],[typ]] * WYNAJEM4[[#This Row],[czas wynajecia domku]])</f>
        <v>1560</v>
      </c>
      <c r="I996" s="9">
        <f xml:space="preserve"> WYNAJEM4[[#This Row],[suma energia i woda]] + WYNAJEM4[[#This Row],[czynsz]]</f>
        <v>1567.91</v>
      </c>
    </row>
    <row r="997" spans="1:9" x14ac:dyDescent="0.25">
      <c r="A997" s="1">
        <v>42002</v>
      </c>
      <c r="B997" s="1">
        <v>42004</v>
      </c>
      <c r="C997" s="8">
        <v>6.34</v>
      </c>
      <c r="D997" s="8">
        <v>0.17</v>
      </c>
      <c r="E997">
        <v>4</v>
      </c>
      <c r="F997" s="10">
        <f>(WYNAJEM4[[#This Row],[data_wyjazdu]]-WYNAJEM4[[#This Row],[data_przyjazdu]])</f>
        <v>2</v>
      </c>
      <c r="G997" s="9">
        <f xml:space="preserve"> WYNAJEM4[[#This Row],[energia]] + WYNAJEM4[[#This Row],[woda]]</f>
        <v>6.51</v>
      </c>
      <c r="H997" s="8">
        <f xml:space="preserve"> (10 * WYNAJEM4[[#This Row],[typ]] * WYNAJEM4[[#This Row],[czas wynajecia domku]])</f>
        <v>80</v>
      </c>
      <c r="I997" s="9">
        <f xml:space="preserve"> WYNAJEM4[[#This Row],[suma energia i woda]] + WYNAJEM4[[#This Row],[czynsz]]</f>
        <v>86.51</v>
      </c>
    </row>
    <row r="998" spans="1:9" x14ac:dyDescent="0.25">
      <c r="A998" s="1">
        <v>42002</v>
      </c>
      <c r="B998" s="1">
        <v>42012</v>
      </c>
      <c r="C998" s="8">
        <v>6.58</v>
      </c>
      <c r="D998" s="8">
        <v>0.17</v>
      </c>
      <c r="E998">
        <v>2</v>
      </c>
      <c r="F998" s="10">
        <f>(WYNAJEM4[[#This Row],[data_wyjazdu]]-WYNAJEM4[[#This Row],[data_przyjazdu]])</f>
        <v>10</v>
      </c>
      <c r="G998" s="9">
        <f xml:space="preserve"> WYNAJEM4[[#This Row],[energia]] + WYNAJEM4[[#This Row],[woda]]</f>
        <v>6.75</v>
      </c>
      <c r="H998" s="8">
        <f xml:space="preserve"> (10 * WYNAJEM4[[#This Row],[typ]] * WYNAJEM4[[#This Row],[czas wynajecia domku]])</f>
        <v>200</v>
      </c>
      <c r="I998" s="9">
        <f xml:space="preserve"> WYNAJEM4[[#This Row],[suma energia i woda]] + WYNAJEM4[[#This Row],[czynsz]]</f>
        <v>206.75</v>
      </c>
    </row>
    <row r="999" spans="1:9" x14ac:dyDescent="0.25">
      <c r="A999" s="1">
        <v>42002</v>
      </c>
      <c r="B999" s="1">
        <v>42028</v>
      </c>
      <c r="C999" s="8">
        <v>6.34</v>
      </c>
      <c r="D999" s="8">
        <v>0.17</v>
      </c>
      <c r="E999">
        <v>6</v>
      </c>
      <c r="F999" s="10">
        <f>(WYNAJEM4[[#This Row],[data_wyjazdu]]-WYNAJEM4[[#This Row],[data_przyjazdu]])</f>
        <v>26</v>
      </c>
      <c r="G999" s="9">
        <f xml:space="preserve"> WYNAJEM4[[#This Row],[energia]] + WYNAJEM4[[#This Row],[woda]]</f>
        <v>6.51</v>
      </c>
      <c r="H999" s="8">
        <f xml:space="preserve"> (10 * WYNAJEM4[[#This Row],[typ]] * WYNAJEM4[[#This Row],[czas wynajecia domku]])</f>
        <v>1560</v>
      </c>
      <c r="I999" s="9">
        <f xml:space="preserve"> WYNAJEM4[[#This Row],[suma energia i woda]] + WYNAJEM4[[#This Row],[czynsz]]</f>
        <v>1566.51</v>
      </c>
    </row>
    <row r="1000" spans="1:9" x14ac:dyDescent="0.25">
      <c r="A1000" s="1">
        <v>42002</v>
      </c>
      <c r="B1000" s="1">
        <v>42019</v>
      </c>
      <c r="C1000" s="8">
        <v>5.67</v>
      </c>
      <c r="D1000" s="8">
        <v>0.15</v>
      </c>
      <c r="E1000">
        <v>4</v>
      </c>
      <c r="F1000" s="10">
        <f>(WYNAJEM4[[#This Row],[data_wyjazdu]]-WYNAJEM4[[#This Row],[data_przyjazdu]])</f>
        <v>17</v>
      </c>
      <c r="G1000" s="9">
        <f xml:space="preserve"> WYNAJEM4[[#This Row],[energia]] + WYNAJEM4[[#This Row],[woda]]</f>
        <v>5.82</v>
      </c>
      <c r="H1000" s="8">
        <f xml:space="preserve"> (10 * WYNAJEM4[[#This Row],[typ]] * WYNAJEM4[[#This Row],[czas wynajecia domku]])</f>
        <v>680</v>
      </c>
      <c r="I1000" s="9">
        <f xml:space="preserve"> WYNAJEM4[[#This Row],[suma energia i woda]] + WYNAJEM4[[#This Row],[czynsz]]</f>
        <v>685.82</v>
      </c>
    </row>
    <row r="1001" spans="1:9" x14ac:dyDescent="0.25">
      <c r="A1001" s="1">
        <v>42002</v>
      </c>
      <c r="B1001" s="1">
        <v>42009</v>
      </c>
      <c r="C1001" s="8">
        <v>4.25</v>
      </c>
      <c r="D1001" s="8">
        <v>0.11</v>
      </c>
      <c r="E1001">
        <v>4</v>
      </c>
      <c r="F1001" s="10">
        <f>(WYNAJEM4[[#This Row],[data_wyjazdu]]-WYNAJEM4[[#This Row],[data_przyjazdu]])</f>
        <v>7</v>
      </c>
      <c r="G1001" s="9">
        <f xml:space="preserve"> WYNAJEM4[[#This Row],[energia]] + WYNAJEM4[[#This Row],[woda]]</f>
        <v>4.3600000000000003</v>
      </c>
      <c r="H1001" s="8">
        <f xml:space="preserve"> (10 * WYNAJEM4[[#This Row],[typ]] * WYNAJEM4[[#This Row],[czas wynajecia domku]])</f>
        <v>280</v>
      </c>
      <c r="I1001" s="9">
        <f xml:space="preserve"> WYNAJEM4[[#This Row],[suma energia i woda]] + WYNAJEM4[[#This Row],[czynsz]]</f>
        <v>284.36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24E3-34BD-4FE7-981C-106053CE8A76}">
  <dimension ref="A3:B9"/>
  <sheetViews>
    <sheetView workbookViewId="0">
      <selection activeCell="A4" sqref="A4:B8"/>
    </sheetView>
  </sheetViews>
  <sheetFormatPr defaultRowHeight="15" x14ac:dyDescent="0.25"/>
  <cols>
    <col min="1" max="1" width="17.7109375" bestFit="1" customWidth="1"/>
    <col min="2" max="2" width="20" bestFit="1" customWidth="1"/>
  </cols>
  <sheetData>
    <row r="3" spans="1:2" x14ac:dyDescent="0.25">
      <c r="A3" s="2" t="s">
        <v>5</v>
      </c>
      <c r="B3" t="s">
        <v>18</v>
      </c>
    </row>
    <row r="4" spans="1:2" x14ac:dyDescent="0.25">
      <c r="A4" s="3">
        <v>2</v>
      </c>
      <c r="B4" s="9">
        <v>61401.000000000029</v>
      </c>
    </row>
    <row r="5" spans="1:2" x14ac:dyDescent="0.25">
      <c r="A5" s="3">
        <v>3</v>
      </c>
      <c r="B5" s="9">
        <v>86170.730000000054</v>
      </c>
    </row>
    <row r="6" spans="1:2" x14ac:dyDescent="0.25">
      <c r="A6" s="3">
        <v>4</v>
      </c>
      <c r="B6" s="9">
        <v>119478.24000000006</v>
      </c>
    </row>
    <row r="7" spans="1:2" x14ac:dyDescent="0.25">
      <c r="A7" s="3">
        <v>5</v>
      </c>
      <c r="B7" s="9">
        <v>151509.94000000009</v>
      </c>
    </row>
    <row r="8" spans="1:2" x14ac:dyDescent="0.25">
      <c r="A8" s="3">
        <v>6</v>
      </c>
      <c r="B8" s="9">
        <v>196335.25000000006</v>
      </c>
    </row>
    <row r="9" spans="1:2" x14ac:dyDescent="0.25">
      <c r="A9" s="3" t="s">
        <v>6</v>
      </c>
      <c r="B9" s="9">
        <v>614895.16000000038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7D0B-0549-47CC-9B27-DC5976903081}">
  <dimension ref="A1:M1001"/>
  <sheetViews>
    <sheetView tabSelected="1" workbookViewId="0">
      <selection activeCell="K1" sqref="K1:M13"/>
    </sheetView>
  </sheetViews>
  <sheetFormatPr defaultRowHeight="15" x14ac:dyDescent="0.25"/>
  <cols>
    <col min="1" max="1" width="16.7109375" bestFit="1" customWidth="1"/>
    <col min="2" max="2" width="15.5703125" bestFit="1" customWidth="1"/>
    <col min="3" max="3" width="10" bestFit="1" customWidth="1"/>
    <col min="4" max="4" width="8.140625" bestFit="1" customWidth="1"/>
    <col min="5" max="5" width="6.140625" bestFit="1" customWidth="1"/>
    <col min="6" max="6" width="26.85546875" style="10" bestFit="1" customWidth="1"/>
    <col min="7" max="7" width="21.7109375" bestFit="1" customWidth="1"/>
    <col min="8" max="8" width="11.28515625" style="8" bestFit="1" customWidth="1"/>
    <col min="9" max="9" width="15.5703125" bestFit="1" customWidth="1"/>
    <col min="13" max="13" width="13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0" t="s">
        <v>14</v>
      </c>
      <c r="G1" t="s">
        <v>15</v>
      </c>
      <c r="H1" s="8" t="s">
        <v>21</v>
      </c>
      <c r="I1" t="s">
        <v>22</v>
      </c>
      <c r="L1" t="s">
        <v>37</v>
      </c>
      <c r="M1" t="s">
        <v>38</v>
      </c>
    </row>
    <row r="2" spans="1:13" x14ac:dyDescent="0.25">
      <c r="A2" s="1">
        <v>41641</v>
      </c>
      <c r="B2" s="1">
        <v>41650</v>
      </c>
      <c r="C2" s="8">
        <v>39.35</v>
      </c>
      <c r="D2" s="8">
        <v>1.04</v>
      </c>
      <c r="E2">
        <v>5</v>
      </c>
      <c r="F2" s="10">
        <f>(WYNAJEM47[[#This Row],[data_wyjazdu]]-WYNAJEM47[[#This Row],[data_przyjazdu]])</f>
        <v>9</v>
      </c>
      <c r="G2" s="9">
        <f xml:space="preserve"> WYNAJEM47[[#This Row],[energia]] + WYNAJEM47[[#This Row],[woda]]</f>
        <v>40.39</v>
      </c>
      <c r="I2" s="9"/>
      <c r="K2" t="s">
        <v>36</v>
      </c>
      <c r="L2" s="11" t="s">
        <v>23</v>
      </c>
      <c r="M2" s="12">
        <v>1078.3200000000002</v>
      </c>
    </row>
    <row r="3" spans="1:13" x14ac:dyDescent="0.25">
      <c r="A3" s="1">
        <v>41641</v>
      </c>
      <c r="B3" s="1">
        <v>41662</v>
      </c>
      <c r="C3" s="8">
        <v>3.79</v>
      </c>
      <c r="D3" s="8">
        <v>0.1</v>
      </c>
      <c r="E3">
        <v>6</v>
      </c>
      <c r="F3" s="10">
        <f>(WYNAJEM47[[#This Row],[data_wyjazdu]]-WYNAJEM47[[#This Row],[data_przyjazdu]])</f>
        <v>21</v>
      </c>
      <c r="G3" s="9">
        <f xml:space="preserve"> WYNAJEM47[[#This Row],[energia]] + WYNAJEM47[[#This Row],[woda]]</f>
        <v>3.89</v>
      </c>
      <c r="I3" s="9"/>
      <c r="L3" s="11" t="s">
        <v>24</v>
      </c>
      <c r="M3" s="12">
        <v>611.15000000000009</v>
      </c>
    </row>
    <row r="4" spans="1:13" x14ac:dyDescent="0.25">
      <c r="A4" s="1">
        <v>41641</v>
      </c>
      <c r="B4" s="1">
        <v>41653</v>
      </c>
      <c r="C4" s="8">
        <v>3.88</v>
      </c>
      <c r="D4" s="8">
        <v>0.1</v>
      </c>
      <c r="E4">
        <v>6</v>
      </c>
      <c r="F4" s="10">
        <f>(WYNAJEM47[[#This Row],[data_wyjazdu]]-WYNAJEM47[[#This Row],[data_przyjazdu]])</f>
        <v>12</v>
      </c>
      <c r="G4" s="9">
        <f xml:space="preserve"> WYNAJEM47[[#This Row],[energia]] + WYNAJEM47[[#This Row],[woda]]</f>
        <v>3.98</v>
      </c>
      <c r="I4" s="9"/>
      <c r="L4" s="11" t="s">
        <v>25</v>
      </c>
      <c r="M4" s="12">
        <v>565.22000000000014</v>
      </c>
    </row>
    <row r="5" spans="1:13" x14ac:dyDescent="0.25">
      <c r="A5" s="1">
        <v>41641</v>
      </c>
      <c r="B5" s="1">
        <v>41661</v>
      </c>
      <c r="C5" s="8">
        <v>6.43</v>
      </c>
      <c r="D5" s="8">
        <v>0.17</v>
      </c>
      <c r="E5">
        <v>5</v>
      </c>
      <c r="F5" s="10">
        <f>(WYNAJEM47[[#This Row],[data_wyjazdu]]-WYNAJEM47[[#This Row],[data_przyjazdu]])</f>
        <v>20</v>
      </c>
      <c r="G5" s="9">
        <f xml:space="preserve"> WYNAJEM47[[#This Row],[energia]] + WYNAJEM47[[#This Row],[woda]]</f>
        <v>6.6</v>
      </c>
      <c r="I5" s="9"/>
      <c r="L5" s="11" t="s">
        <v>26</v>
      </c>
      <c r="M5" s="12">
        <v>322.95999999999998</v>
      </c>
    </row>
    <row r="6" spans="1:13" x14ac:dyDescent="0.25">
      <c r="A6" s="1">
        <v>41641</v>
      </c>
      <c r="B6" s="1">
        <v>41666</v>
      </c>
      <c r="C6" s="8">
        <v>8.39</v>
      </c>
      <c r="D6" s="8">
        <v>0.22</v>
      </c>
      <c r="E6">
        <v>2</v>
      </c>
      <c r="F6" s="10">
        <f>(WYNAJEM47[[#This Row],[data_wyjazdu]]-WYNAJEM47[[#This Row],[data_przyjazdu]])</f>
        <v>25</v>
      </c>
      <c r="G6" s="9">
        <f xml:space="preserve"> WYNAJEM47[[#This Row],[energia]] + WYNAJEM47[[#This Row],[woda]]</f>
        <v>8.6100000000000012</v>
      </c>
      <c r="I6" s="9"/>
      <c r="L6" s="11" t="s">
        <v>27</v>
      </c>
      <c r="M6" s="12">
        <v>299.65999999999997</v>
      </c>
    </row>
    <row r="7" spans="1:13" x14ac:dyDescent="0.25">
      <c r="A7" s="1">
        <v>41641</v>
      </c>
      <c r="B7" s="1">
        <v>41669</v>
      </c>
      <c r="C7" s="8">
        <v>11.42</v>
      </c>
      <c r="D7" s="8">
        <v>0.3</v>
      </c>
      <c r="E7">
        <v>2</v>
      </c>
      <c r="F7" s="10">
        <f>(WYNAJEM47[[#This Row],[data_wyjazdu]]-WYNAJEM47[[#This Row],[data_przyjazdu]])</f>
        <v>28</v>
      </c>
      <c r="G7" s="9">
        <f xml:space="preserve"> WYNAJEM47[[#This Row],[energia]] + WYNAJEM47[[#This Row],[woda]]</f>
        <v>11.72</v>
      </c>
      <c r="I7" s="9"/>
      <c r="L7" s="11" t="s">
        <v>28</v>
      </c>
      <c r="M7" s="12">
        <v>568.59</v>
      </c>
    </row>
    <row r="8" spans="1:13" x14ac:dyDescent="0.25">
      <c r="A8" s="1">
        <v>41642</v>
      </c>
      <c r="B8" s="1">
        <v>41670</v>
      </c>
      <c r="C8" s="8">
        <v>5.64</v>
      </c>
      <c r="D8" s="8">
        <v>0.15</v>
      </c>
      <c r="E8">
        <v>5</v>
      </c>
      <c r="F8" s="10">
        <f>(WYNAJEM47[[#This Row],[data_wyjazdu]]-WYNAJEM47[[#This Row],[data_przyjazdu]])</f>
        <v>28</v>
      </c>
      <c r="G8" s="9">
        <f xml:space="preserve"> WYNAJEM47[[#This Row],[energia]] + WYNAJEM47[[#This Row],[woda]]</f>
        <v>5.79</v>
      </c>
      <c r="I8" s="9"/>
      <c r="L8" s="11" t="s">
        <v>29</v>
      </c>
      <c r="M8" s="12">
        <v>628.5999999999998</v>
      </c>
    </row>
    <row r="9" spans="1:13" x14ac:dyDescent="0.25">
      <c r="A9" s="1">
        <v>41642</v>
      </c>
      <c r="B9" s="1">
        <v>41645</v>
      </c>
      <c r="C9" s="8">
        <v>10.59</v>
      </c>
      <c r="D9" s="8">
        <v>0.28000000000000003</v>
      </c>
      <c r="E9">
        <v>5</v>
      </c>
      <c r="F9" s="10">
        <f>(WYNAJEM47[[#This Row],[data_wyjazdu]]-WYNAJEM47[[#This Row],[data_przyjazdu]])</f>
        <v>3</v>
      </c>
      <c r="G9" s="9">
        <f xml:space="preserve"> WYNAJEM47[[#This Row],[energia]] + WYNAJEM47[[#This Row],[woda]]</f>
        <v>10.87</v>
      </c>
      <c r="I9" s="9"/>
      <c r="L9" s="11" t="s">
        <v>30</v>
      </c>
      <c r="M9" s="12">
        <v>531.33000000000015</v>
      </c>
    </row>
    <row r="10" spans="1:13" x14ac:dyDescent="0.25">
      <c r="A10" s="1">
        <v>41642</v>
      </c>
      <c r="B10" s="1">
        <v>41669</v>
      </c>
      <c r="C10" s="8">
        <v>4.25</v>
      </c>
      <c r="D10" s="8">
        <v>0.11</v>
      </c>
      <c r="E10">
        <v>2</v>
      </c>
      <c r="F10" s="10">
        <f>(WYNAJEM47[[#This Row],[data_wyjazdu]]-WYNAJEM47[[#This Row],[data_przyjazdu]])</f>
        <v>27</v>
      </c>
      <c r="G10" s="9">
        <f xml:space="preserve"> WYNAJEM47[[#This Row],[energia]] + WYNAJEM47[[#This Row],[woda]]</f>
        <v>4.3600000000000003</v>
      </c>
      <c r="I10" s="9"/>
      <c r="L10" s="11" t="s">
        <v>31</v>
      </c>
      <c r="M10" s="12">
        <v>1045.1200000000001</v>
      </c>
    </row>
    <row r="11" spans="1:13" x14ac:dyDescent="0.25">
      <c r="A11" s="1">
        <v>41642</v>
      </c>
      <c r="B11" s="1">
        <v>41660</v>
      </c>
      <c r="C11" s="8">
        <v>5.64</v>
      </c>
      <c r="D11" s="8">
        <v>0.15</v>
      </c>
      <c r="E11">
        <v>4</v>
      </c>
      <c r="F11" s="10">
        <f>(WYNAJEM47[[#This Row],[data_wyjazdu]]-WYNAJEM47[[#This Row],[data_przyjazdu]])</f>
        <v>18</v>
      </c>
      <c r="G11" s="9">
        <f xml:space="preserve"> WYNAJEM47[[#This Row],[energia]] + WYNAJEM47[[#This Row],[woda]]</f>
        <v>5.79</v>
      </c>
      <c r="I11" s="9"/>
      <c r="L11" s="11" t="s">
        <v>32</v>
      </c>
      <c r="M11" s="12">
        <v>813.25</v>
      </c>
    </row>
    <row r="12" spans="1:13" x14ac:dyDescent="0.25">
      <c r="A12" s="1">
        <v>41642</v>
      </c>
      <c r="B12" s="1">
        <v>41669</v>
      </c>
      <c r="C12" s="8">
        <v>5.78</v>
      </c>
      <c r="D12" s="8">
        <v>0.15</v>
      </c>
      <c r="E12">
        <v>5</v>
      </c>
      <c r="F12" s="10">
        <f>(WYNAJEM47[[#This Row],[data_wyjazdu]]-WYNAJEM47[[#This Row],[data_przyjazdu]])</f>
        <v>27</v>
      </c>
      <c r="G12" s="9">
        <f xml:space="preserve"> WYNAJEM47[[#This Row],[energia]] + WYNAJEM47[[#This Row],[woda]]</f>
        <v>5.9300000000000006</v>
      </c>
      <c r="I12" s="9"/>
      <c r="L12" s="11" t="s">
        <v>33</v>
      </c>
      <c r="M12" s="12">
        <v>1107.8000000000002</v>
      </c>
    </row>
    <row r="13" spans="1:13" x14ac:dyDescent="0.25">
      <c r="A13" s="1">
        <v>41642</v>
      </c>
      <c r="B13" s="1">
        <v>41669</v>
      </c>
      <c r="C13" s="8">
        <v>2.29</v>
      </c>
      <c r="D13" s="8">
        <v>0.06</v>
      </c>
      <c r="E13">
        <v>4</v>
      </c>
      <c r="F13" s="10">
        <f>(WYNAJEM47[[#This Row],[data_wyjazdu]]-WYNAJEM47[[#This Row],[data_przyjazdu]])</f>
        <v>27</v>
      </c>
      <c r="G13" s="9">
        <f xml:space="preserve"> WYNAJEM47[[#This Row],[energia]] + WYNAJEM47[[#This Row],[woda]]</f>
        <v>2.35</v>
      </c>
      <c r="I13" s="9"/>
      <c r="L13" s="11" t="s">
        <v>34</v>
      </c>
      <c r="M13" s="12">
        <v>893.16000000000008</v>
      </c>
    </row>
    <row r="14" spans="1:13" x14ac:dyDescent="0.25">
      <c r="A14" s="1">
        <v>41642</v>
      </c>
      <c r="B14" s="1">
        <v>41665</v>
      </c>
      <c r="C14" s="8">
        <v>5.23</v>
      </c>
      <c r="D14" s="8">
        <v>0.14000000000000001</v>
      </c>
      <c r="E14">
        <v>2</v>
      </c>
      <c r="F14" s="10">
        <f>(WYNAJEM47[[#This Row],[data_wyjazdu]]-WYNAJEM47[[#This Row],[data_przyjazdu]])</f>
        <v>23</v>
      </c>
      <c r="G14" s="9">
        <f xml:space="preserve"> WYNAJEM47[[#This Row],[energia]] + WYNAJEM47[[#This Row],[woda]]</f>
        <v>5.37</v>
      </c>
      <c r="I14" s="9"/>
    </row>
    <row r="15" spans="1:13" x14ac:dyDescent="0.25">
      <c r="A15" s="1">
        <v>41642</v>
      </c>
      <c r="B15" s="1">
        <v>41649</v>
      </c>
      <c r="C15" s="8">
        <v>5.67</v>
      </c>
      <c r="D15" s="8">
        <v>0.15</v>
      </c>
      <c r="E15">
        <v>2</v>
      </c>
      <c r="F15" s="10">
        <f>(WYNAJEM47[[#This Row],[data_wyjazdu]]-WYNAJEM47[[#This Row],[data_przyjazdu]])</f>
        <v>7</v>
      </c>
      <c r="G15" s="9">
        <f xml:space="preserve"> WYNAJEM47[[#This Row],[energia]] + WYNAJEM47[[#This Row],[woda]]</f>
        <v>5.82</v>
      </c>
      <c r="I15" s="9"/>
    </row>
    <row r="16" spans="1:13" x14ac:dyDescent="0.25">
      <c r="A16" s="1">
        <v>41643</v>
      </c>
      <c r="B16" s="1">
        <v>41649</v>
      </c>
      <c r="C16" s="8">
        <v>5.64</v>
      </c>
      <c r="D16" s="8">
        <v>0.15</v>
      </c>
      <c r="E16">
        <v>2</v>
      </c>
      <c r="F16" s="10">
        <f>(WYNAJEM47[[#This Row],[data_wyjazdu]]-WYNAJEM47[[#This Row],[data_przyjazdu]])</f>
        <v>6</v>
      </c>
      <c r="G16" s="9">
        <f xml:space="preserve"> WYNAJEM47[[#This Row],[energia]] + WYNAJEM47[[#This Row],[woda]]</f>
        <v>5.79</v>
      </c>
      <c r="I16" s="9"/>
    </row>
    <row r="17" spans="1:9" x14ac:dyDescent="0.25">
      <c r="A17" s="1">
        <v>41643</v>
      </c>
      <c r="B17" s="1">
        <v>41650</v>
      </c>
      <c r="C17" s="8">
        <v>4.25</v>
      </c>
      <c r="D17" s="8">
        <v>0.11</v>
      </c>
      <c r="E17">
        <v>4</v>
      </c>
      <c r="F17" s="10">
        <f>(WYNAJEM47[[#This Row],[data_wyjazdu]]-WYNAJEM47[[#This Row],[data_przyjazdu]])</f>
        <v>7</v>
      </c>
      <c r="G17" s="9">
        <f xml:space="preserve"> WYNAJEM47[[#This Row],[energia]] + WYNAJEM47[[#This Row],[woda]]</f>
        <v>4.3600000000000003</v>
      </c>
      <c r="I17" s="9"/>
    </row>
    <row r="18" spans="1:9" x14ac:dyDescent="0.25">
      <c r="A18" s="1">
        <v>41643</v>
      </c>
      <c r="B18" s="1">
        <v>41660</v>
      </c>
      <c r="C18" s="8">
        <v>6.58</v>
      </c>
      <c r="D18" s="8">
        <v>0.17</v>
      </c>
      <c r="E18">
        <v>6</v>
      </c>
      <c r="F18" s="10">
        <f>(WYNAJEM47[[#This Row],[data_wyjazdu]]-WYNAJEM47[[#This Row],[data_przyjazdu]])</f>
        <v>17</v>
      </c>
      <c r="G18" s="9">
        <f xml:space="preserve"> WYNAJEM47[[#This Row],[energia]] + WYNAJEM47[[#This Row],[woda]]</f>
        <v>6.75</v>
      </c>
      <c r="I18" s="9"/>
    </row>
    <row r="19" spans="1:9" x14ac:dyDescent="0.25">
      <c r="A19" s="1">
        <v>41644</v>
      </c>
      <c r="B19" s="1">
        <v>41661</v>
      </c>
      <c r="C19" s="8">
        <v>6.43</v>
      </c>
      <c r="D19" s="8">
        <v>0.17</v>
      </c>
      <c r="E19">
        <v>3</v>
      </c>
      <c r="F19" s="10">
        <f>(WYNAJEM47[[#This Row],[data_wyjazdu]]-WYNAJEM47[[#This Row],[data_przyjazdu]])</f>
        <v>17</v>
      </c>
      <c r="G19" s="9">
        <f xml:space="preserve"> WYNAJEM47[[#This Row],[energia]] + WYNAJEM47[[#This Row],[woda]]</f>
        <v>6.6</v>
      </c>
      <c r="I19" s="9"/>
    </row>
    <row r="20" spans="1:9" x14ac:dyDescent="0.25">
      <c r="A20" s="1">
        <v>41644</v>
      </c>
      <c r="B20" s="1">
        <v>41662</v>
      </c>
      <c r="C20" s="8">
        <v>5.67</v>
      </c>
      <c r="D20" s="8">
        <v>0.15</v>
      </c>
      <c r="E20">
        <v>5</v>
      </c>
      <c r="F20" s="10">
        <f>(WYNAJEM47[[#This Row],[data_wyjazdu]]-WYNAJEM47[[#This Row],[data_przyjazdu]])</f>
        <v>18</v>
      </c>
      <c r="G20" s="9">
        <f xml:space="preserve"> WYNAJEM47[[#This Row],[energia]] + WYNAJEM47[[#This Row],[woda]]</f>
        <v>5.82</v>
      </c>
      <c r="I20" s="9"/>
    </row>
    <row r="21" spans="1:9" x14ac:dyDescent="0.25">
      <c r="A21" s="1">
        <v>41645</v>
      </c>
      <c r="B21" s="1">
        <v>41654</v>
      </c>
      <c r="C21" s="8">
        <v>4.66</v>
      </c>
      <c r="D21" s="8">
        <v>0.12</v>
      </c>
      <c r="E21">
        <v>2</v>
      </c>
      <c r="F21" s="10">
        <f>(WYNAJEM47[[#This Row],[data_wyjazdu]]-WYNAJEM47[[#This Row],[data_przyjazdu]])</f>
        <v>9</v>
      </c>
      <c r="G21" s="9">
        <f xml:space="preserve"> WYNAJEM47[[#This Row],[energia]] + WYNAJEM47[[#This Row],[woda]]</f>
        <v>4.78</v>
      </c>
      <c r="I21" s="9"/>
    </row>
    <row r="22" spans="1:9" x14ac:dyDescent="0.25">
      <c r="A22" s="1">
        <v>41646</v>
      </c>
      <c r="B22" s="1">
        <v>41663</v>
      </c>
      <c r="C22" s="8">
        <v>2.0099999999999998</v>
      </c>
      <c r="D22" s="8">
        <v>0.05</v>
      </c>
      <c r="E22">
        <v>4</v>
      </c>
      <c r="F22" s="10">
        <f>(WYNAJEM47[[#This Row],[data_wyjazdu]]-WYNAJEM47[[#This Row],[data_przyjazdu]])</f>
        <v>17</v>
      </c>
      <c r="G22" s="9">
        <f xml:space="preserve"> WYNAJEM47[[#This Row],[energia]] + WYNAJEM47[[#This Row],[woda]]</f>
        <v>2.0599999999999996</v>
      </c>
      <c r="I22" s="9"/>
    </row>
    <row r="23" spans="1:9" x14ac:dyDescent="0.25">
      <c r="A23" s="1">
        <v>41646</v>
      </c>
      <c r="B23" s="1">
        <v>41670</v>
      </c>
      <c r="C23" s="8">
        <v>3.57</v>
      </c>
      <c r="D23" s="8">
        <v>0.09</v>
      </c>
      <c r="E23">
        <v>3</v>
      </c>
      <c r="F23" s="10">
        <f>(WYNAJEM47[[#This Row],[data_wyjazdu]]-WYNAJEM47[[#This Row],[data_przyjazdu]])</f>
        <v>24</v>
      </c>
      <c r="G23" s="9">
        <f xml:space="preserve"> WYNAJEM47[[#This Row],[energia]] + WYNAJEM47[[#This Row],[woda]]</f>
        <v>3.6599999999999997</v>
      </c>
      <c r="I23" s="9"/>
    </row>
    <row r="24" spans="1:9" x14ac:dyDescent="0.25">
      <c r="A24" s="1">
        <v>41646</v>
      </c>
      <c r="B24" s="1">
        <v>41649</v>
      </c>
      <c r="C24" s="8">
        <v>2.29</v>
      </c>
      <c r="D24" s="8">
        <v>0.06</v>
      </c>
      <c r="E24">
        <v>5</v>
      </c>
      <c r="F24" s="10">
        <f>(WYNAJEM47[[#This Row],[data_wyjazdu]]-WYNAJEM47[[#This Row],[data_przyjazdu]])</f>
        <v>3</v>
      </c>
      <c r="G24" s="9">
        <f xml:space="preserve"> WYNAJEM47[[#This Row],[energia]] + WYNAJEM47[[#This Row],[woda]]</f>
        <v>2.35</v>
      </c>
      <c r="I24" s="9"/>
    </row>
    <row r="25" spans="1:9" x14ac:dyDescent="0.25">
      <c r="A25" s="1">
        <v>41646</v>
      </c>
      <c r="B25" s="1">
        <v>41649</v>
      </c>
      <c r="C25" s="8">
        <v>2.72</v>
      </c>
      <c r="D25" s="8">
        <v>7.0000000000000007E-2</v>
      </c>
      <c r="E25">
        <v>4</v>
      </c>
      <c r="F25" s="10">
        <f>(WYNAJEM47[[#This Row],[data_wyjazdu]]-WYNAJEM47[[#This Row],[data_przyjazdu]])</f>
        <v>3</v>
      </c>
      <c r="G25" s="9">
        <f xml:space="preserve"> WYNAJEM47[[#This Row],[energia]] + WYNAJEM47[[#This Row],[woda]]</f>
        <v>2.79</v>
      </c>
      <c r="I25" s="9"/>
    </row>
    <row r="26" spans="1:9" x14ac:dyDescent="0.25">
      <c r="A26" s="1">
        <v>41646</v>
      </c>
      <c r="B26" s="1">
        <v>41651</v>
      </c>
      <c r="C26" s="8">
        <v>3.73</v>
      </c>
      <c r="D26" s="8">
        <v>0.1</v>
      </c>
      <c r="E26">
        <v>3</v>
      </c>
      <c r="F26" s="10">
        <f>(WYNAJEM47[[#This Row],[data_wyjazdu]]-WYNAJEM47[[#This Row],[data_przyjazdu]])</f>
        <v>5</v>
      </c>
      <c r="G26" s="9">
        <f xml:space="preserve"> WYNAJEM47[[#This Row],[energia]] + WYNAJEM47[[#This Row],[woda]]</f>
        <v>3.83</v>
      </c>
      <c r="I26" s="9"/>
    </row>
    <row r="27" spans="1:9" x14ac:dyDescent="0.25">
      <c r="A27" s="1">
        <v>41647</v>
      </c>
      <c r="B27" s="1">
        <v>41665</v>
      </c>
      <c r="C27" s="8">
        <v>6.58</v>
      </c>
      <c r="D27" s="8">
        <v>0.17</v>
      </c>
      <c r="E27">
        <v>3</v>
      </c>
      <c r="F27" s="10">
        <f>(WYNAJEM47[[#This Row],[data_wyjazdu]]-WYNAJEM47[[#This Row],[data_przyjazdu]])</f>
        <v>18</v>
      </c>
      <c r="G27" s="9">
        <f xml:space="preserve"> WYNAJEM47[[#This Row],[energia]] + WYNAJEM47[[#This Row],[woda]]</f>
        <v>6.75</v>
      </c>
      <c r="I27" s="9"/>
    </row>
    <row r="28" spans="1:9" x14ac:dyDescent="0.25">
      <c r="A28" s="1">
        <v>41647</v>
      </c>
      <c r="B28" s="1">
        <v>41664</v>
      </c>
      <c r="C28" s="8">
        <v>6.58</v>
      </c>
      <c r="D28" s="8">
        <v>0.17</v>
      </c>
      <c r="E28">
        <v>2</v>
      </c>
      <c r="F28" s="10">
        <f>(WYNAJEM47[[#This Row],[data_wyjazdu]]-WYNAJEM47[[#This Row],[data_przyjazdu]])</f>
        <v>17</v>
      </c>
      <c r="G28" s="9">
        <f xml:space="preserve"> WYNAJEM47[[#This Row],[energia]] + WYNAJEM47[[#This Row],[woda]]</f>
        <v>6.75</v>
      </c>
      <c r="I28" s="9"/>
    </row>
    <row r="29" spans="1:9" x14ac:dyDescent="0.25">
      <c r="A29" s="1">
        <v>41647</v>
      </c>
      <c r="B29" s="1">
        <v>41658</v>
      </c>
      <c r="C29" s="8">
        <v>5.67</v>
      </c>
      <c r="D29" s="8">
        <v>0.15</v>
      </c>
      <c r="E29">
        <v>5</v>
      </c>
      <c r="F29" s="10">
        <f>(WYNAJEM47[[#This Row],[data_wyjazdu]]-WYNAJEM47[[#This Row],[data_przyjazdu]])</f>
        <v>11</v>
      </c>
      <c r="G29" s="9">
        <f xml:space="preserve"> WYNAJEM47[[#This Row],[energia]] + WYNAJEM47[[#This Row],[woda]]</f>
        <v>5.82</v>
      </c>
      <c r="I29" s="9"/>
    </row>
    <row r="30" spans="1:9" x14ac:dyDescent="0.25">
      <c r="A30" s="1">
        <v>41648</v>
      </c>
      <c r="B30" s="1">
        <v>41674</v>
      </c>
      <c r="C30" s="8">
        <v>9.1300000000000008</v>
      </c>
      <c r="D30" s="8">
        <v>0.24</v>
      </c>
      <c r="E30">
        <v>2</v>
      </c>
      <c r="F30" s="10">
        <f>(WYNAJEM47[[#This Row],[data_wyjazdu]]-WYNAJEM47[[#This Row],[data_przyjazdu]])</f>
        <v>26</v>
      </c>
      <c r="G30" s="9">
        <f xml:space="preserve"> WYNAJEM47[[#This Row],[energia]] + WYNAJEM47[[#This Row],[woda]]</f>
        <v>9.370000000000001</v>
      </c>
      <c r="I30" s="9"/>
    </row>
    <row r="31" spans="1:9" x14ac:dyDescent="0.25">
      <c r="A31" s="1">
        <v>41648</v>
      </c>
      <c r="B31" s="1">
        <v>41658</v>
      </c>
      <c r="C31" s="8">
        <v>14.31</v>
      </c>
      <c r="D31" s="8">
        <v>0.38</v>
      </c>
      <c r="E31">
        <v>6</v>
      </c>
      <c r="F31" s="10">
        <f>(WYNAJEM47[[#This Row],[data_wyjazdu]]-WYNAJEM47[[#This Row],[data_przyjazdu]])</f>
        <v>10</v>
      </c>
      <c r="G31" s="9">
        <f xml:space="preserve"> WYNAJEM47[[#This Row],[energia]] + WYNAJEM47[[#This Row],[woda]]</f>
        <v>14.690000000000001</v>
      </c>
      <c r="I31" s="9"/>
    </row>
    <row r="32" spans="1:9" x14ac:dyDescent="0.25">
      <c r="A32" s="1">
        <v>41648</v>
      </c>
      <c r="B32" s="1">
        <v>41675</v>
      </c>
      <c r="C32" s="8">
        <v>3.79</v>
      </c>
      <c r="D32" s="8">
        <v>0.1</v>
      </c>
      <c r="E32">
        <v>5</v>
      </c>
      <c r="F32" s="10">
        <f>(WYNAJEM47[[#This Row],[data_wyjazdu]]-WYNAJEM47[[#This Row],[data_przyjazdu]])</f>
        <v>27</v>
      </c>
      <c r="G32" s="9">
        <f xml:space="preserve"> WYNAJEM47[[#This Row],[energia]] + WYNAJEM47[[#This Row],[woda]]</f>
        <v>3.89</v>
      </c>
      <c r="I32" s="9"/>
    </row>
    <row r="33" spans="1:9" x14ac:dyDescent="0.25">
      <c r="A33" s="1">
        <v>41648</v>
      </c>
      <c r="B33" s="1">
        <v>41666</v>
      </c>
      <c r="C33" s="8">
        <v>6.23</v>
      </c>
      <c r="D33" s="8">
        <v>0.16</v>
      </c>
      <c r="E33">
        <v>5</v>
      </c>
      <c r="F33" s="10">
        <f>(WYNAJEM47[[#This Row],[data_wyjazdu]]-WYNAJEM47[[#This Row],[data_przyjazdu]])</f>
        <v>18</v>
      </c>
      <c r="G33" s="9">
        <f xml:space="preserve"> WYNAJEM47[[#This Row],[energia]] + WYNAJEM47[[#This Row],[woda]]</f>
        <v>6.3900000000000006</v>
      </c>
      <c r="I33" s="9"/>
    </row>
    <row r="34" spans="1:9" x14ac:dyDescent="0.25">
      <c r="A34" s="1">
        <v>41649</v>
      </c>
      <c r="B34" s="1">
        <v>41659</v>
      </c>
      <c r="C34" s="8">
        <v>3.57</v>
      </c>
      <c r="D34" s="8">
        <v>0.09</v>
      </c>
      <c r="E34">
        <v>6</v>
      </c>
      <c r="F34" s="10">
        <f>(WYNAJEM47[[#This Row],[data_wyjazdu]]-WYNAJEM47[[#This Row],[data_przyjazdu]])</f>
        <v>10</v>
      </c>
      <c r="G34" s="9">
        <f xml:space="preserve"> WYNAJEM47[[#This Row],[energia]] + WYNAJEM47[[#This Row],[woda]]</f>
        <v>3.6599999999999997</v>
      </c>
      <c r="I34" s="9"/>
    </row>
    <row r="35" spans="1:9" x14ac:dyDescent="0.25">
      <c r="A35" s="1">
        <v>41649</v>
      </c>
      <c r="B35" s="1">
        <v>41652</v>
      </c>
      <c r="C35" s="8">
        <v>5.67</v>
      </c>
      <c r="D35" s="8">
        <v>0.15</v>
      </c>
      <c r="E35">
        <v>6</v>
      </c>
      <c r="F35" s="10">
        <f>(WYNAJEM47[[#This Row],[data_wyjazdu]]-WYNAJEM47[[#This Row],[data_przyjazdu]])</f>
        <v>3</v>
      </c>
      <c r="G35" s="9">
        <f xml:space="preserve"> WYNAJEM47[[#This Row],[energia]] + WYNAJEM47[[#This Row],[woda]]</f>
        <v>5.82</v>
      </c>
      <c r="I35" s="9"/>
    </row>
    <row r="36" spans="1:9" x14ac:dyDescent="0.25">
      <c r="A36" s="1">
        <v>41649</v>
      </c>
      <c r="B36" s="1">
        <v>41667</v>
      </c>
      <c r="C36" s="8">
        <v>8.7200000000000006</v>
      </c>
      <c r="D36" s="8">
        <v>0.23</v>
      </c>
      <c r="E36">
        <v>5</v>
      </c>
      <c r="F36" s="10">
        <f>(WYNAJEM47[[#This Row],[data_wyjazdu]]-WYNAJEM47[[#This Row],[data_przyjazdu]])</f>
        <v>18</v>
      </c>
      <c r="G36" s="9">
        <f xml:space="preserve"> WYNAJEM47[[#This Row],[energia]] + WYNAJEM47[[#This Row],[woda]]</f>
        <v>8.9500000000000011</v>
      </c>
      <c r="I36" s="9"/>
    </row>
    <row r="37" spans="1:9" x14ac:dyDescent="0.25">
      <c r="A37" s="1">
        <v>41649</v>
      </c>
      <c r="B37" s="1">
        <v>41654</v>
      </c>
      <c r="C37" s="8">
        <v>4.66</v>
      </c>
      <c r="D37" s="8">
        <v>0.12</v>
      </c>
      <c r="E37">
        <v>3</v>
      </c>
      <c r="F37" s="10">
        <f>(WYNAJEM47[[#This Row],[data_wyjazdu]]-WYNAJEM47[[#This Row],[data_przyjazdu]])</f>
        <v>5</v>
      </c>
      <c r="G37" s="9">
        <f xml:space="preserve"> WYNAJEM47[[#This Row],[energia]] + WYNAJEM47[[#This Row],[woda]]</f>
        <v>4.78</v>
      </c>
      <c r="I37" s="9"/>
    </row>
    <row r="38" spans="1:9" x14ac:dyDescent="0.25">
      <c r="A38" s="1">
        <v>41651</v>
      </c>
      <c r="B38" s="1">
        <v>41659</v>
      </c>
      <c r="C38" s="8">
        <v>5.67</v>
      </c>
      <c r="D38" s="8">
        <v>0.15</v>
      </c>
      <c r="E38">
        <v>3</v>
      </c>
      <c r="F38" s="10">
        <f>(WYNAJEM47[[#This Row],[data_wyjazdu]]-WYNAJEM47[[#This Row],[data_przyjazdu]])</f>
        <v>8</v>
      </c>
      <c r="G38" s="9">
        <f xml:space="preserve"> WYNAJEM47[[#This Row],[energia]] + WYNAJEM47[[#This Row],[woda]]</f>
        <v>5.82</v>
      </c>
      <c r="I38" s="9"/>
    </row>
    <row r="39" spans="1:9" x14ac:dyDescent="0.25">
      <c r="A39" s="1">
        <v>41652</v>
      </c>
      <c r="B39" s="1">
        <v>41654</v>
      </c>
      <c r="C39" s="8">
        <v>7.06</v>
      </c>
      <c r="D39" s="8">
        <v>0.19</v>
      </c>
      <c r="E39">
        <v>2</v>
      </c>
      <c r="F39" s="10">
        <f>(WYNAJEM47[[#This Row],[data_wyjazdu]]-WYNAJEM47[[#This Row],[data_przyjazdu]])</f>
        <v>2</v>
      </c>
      <c r="G39" s="9">
        <f xml:space="preserve"> WYNAJEM47[[#This Row],[energia]] + WYNAJEM47[[#This Row],[woda]]</f>
        <v>7.25</v>
      </c>
      <c r="I39" s="9"/>
    </row>
    <row r="40" spans="1:9" x14ac:dyDescent="0.25">
      <c r="A40" s="1">
        <v>41652</v>
      </c>
      <c r="B40" s="1">
        <v>41661</v>
      </c>
      <c r="C40" s="8">
        <v>5.67</v>
      </c>
      <c r="D40" s="8">
        <v>0.15</v>
      </c>
      <c r="E40">
        <v>5</v>
      </c>
      <c r="F40" s="10">
        <f>(WYNAJEM47[[#This Row],[data_wyjazdu]]-WYNAJEM47[[#This Row],[data_przyjazdu]])</f>
        <v>9</v>
      </c>
      <c r="G40" s="9">
        <f xml:space="preserve"> WYNAJEM47[[#This Row],[energia]] + WYNAJEM47[[#This Row],[woda]]</f>
        <v>5.82</v>
      </c>
      <c r="I40" s="9"/>
    </row>
    <row r="41" spans="1:9" x14ac:dyDescent="0.25">
      <c r="A41" s="1">
        <v>41652</v>
      </c>
      <c r="B41" s="1">
        <v>41671</v>
      </c>
      <c r="C41" s="8">
        <v>6.34</v>
      </c>
      <c r="D41" s="8">
        <v>0.17</v>
      </c>
      <c r="E41">
        <v>3</v>
      </c>
      <c r="F41" s="10">
        <f>(WYNAJEM47[[#This Row],[data_wyjazdu]]-WYNAJEM47[[#This Row],[data_przyjazdu]])</f>
        <v>19</v>
      </c>
      <c r="G41" s="9">
        <f xml:space="preserve"> WYNAJEM47[[#This Row],[energia]] + WYNAJEM47[[#This Row],[woda]]</f>
        <v>6.51</v>
      </c>
      <c r="I41" s="9"/>
    </row>
    <row r="42" spans="1:9" x14ac:dyDescent="0.25">
      <c r="A42" s="1">
        <v>41652</v>
      </c>
      <c r="B42" s="1">
        <v>41656</v>
      </c>
      <c r="C42" s="8">
        <v>7.31</v>
      </c>
      <c r="D42" s="8">
        <v>0.19</v>
      </c>
      <c r="E42">
        <v>3</v>
      </c>
      <c r="F42" s="10">
        <f>(WYNAJEM47[[#This Row],[data_wyjazdu]]-WYNAJEM47[[#This Row],[data_przyjazdu]])</f>
        <v>4</v>
      </c>
      <c r="G42" s="9">
        <f xml:space="preserve"> WYNAJEM47[[#This Row],[energia]] + WYNAJEM47[[#This Row],[woda]]</f>
        <v>7.5</v>
      </c>
      <c r="I42" s="9"/>
    </row>
    <row r="43" spans="1:9" x14ac:dyDescent="0.25">
      <c r="A43" s="1">
        <v>41652</v>
      </c>
      <c r="B43" s="1">
        <v>41668</v>
      </c>
      <c r="C43" s="8">
        <v>6.75</v>
      </c>
      <c r="D43" s="8">
        <v>0.18</v>
      </c>
      <c r="E43">
        <v>3</v>
      </c>
      <c r="F43" s="10">
        <f>(WYNAJEM47[[#This Row],[data_wyjazdu]]-WYNAJEM47[[#This Row],[data_przyjazdu]])</f>
        <v>16</v>
      </c>
      <c r="G43" s="9">
        <f xml:space="preserve"> WYNAJEM47[[#This Row],[energia]] + WYNAJEM47[[#This Row],[woda]]</f>
        <v>6.93</v>
      </c>
      <c r="I43" s="9"/>
    </row>
    <row r="44" spans="1:9" x14ac:dyDescent="0.25">
      <c r="A44" s="1">
        <v>41652</v>
      </c>
      <c r="B44" s="1">
        <v>41680</v>
      </c>
      <c r="C44" s="8">
        <v>3.57</v>
      </c>
      <c r="D44" s="8">
        <v>0.09</v>
      </c>
      <c r="E44">
        <v>2</v>
      </c>
      <c r="F44" s="10">
        <f>(WYNAJEM47[[#This Row],[data_wyjazdu]]-WYNAJEM47[[#This Row],[data_przyjazdu]])</f>
        <v>28</v>
      </c>
      <c r="G44" s="9">
        <f xml:space="preserve"> WYNAJEM47[[#This Row],[energia]] + WYNAJEM47[[#This Row],[woda]]</f>
        <v>3.6599999999999997</v>
      </c>
      <c r="I44" s="9"/>
    </row>
    <row r="45" spans="1:9" x14ac:dyDescent="0.25">
      <c r="A45" s="1">
        <v>41653</v>
      </c>
      <c r="B45" s="1">
        <v>41664</v>
      </c>
      <c r="C45" s="8">
        <v>8.5399999999999991</v>
      </c>
      <c r="D45" s="8">
        <v>0.22</v>
      </c>
      <c r="E45">
        <v>2</v>
      </c>
      <c r="F45" s="10">
        <f>(WYNAJEM47[[#This Row],[data_wyjazdu]]-WYNAJEM47[[#This Row],[data_przyjazdu]])</f>
        <v>11</v>
      </c>
      <c r="G45" s="9">
        <f xml:space="preserve"> WYNAJEM47[[#This Row],[energia]] + WYNAJEM47[[#This Row],[woda]]</f>
        <v>8.76</v>
      </c>
      <c r="I45" s="9"/>
    </row>
    <row r="46" spans="1:9" x14ac:dyDescent="0.25">
      <c r="A46" s="1">
        <v>41653</v>
      </c>
      <c r="B46" s="1">
        <v>41655</v>
      </c>
      <c r="C46" s="8">
        <v>8.9499999999999993</v>
      </c>
      <c r="D46" s="8">
        <v>0.24</v>
      </c>
      <c r="E46">
        <v>4</v>
      </c>
      <c r="F46" s="10">
        <f>(WYNAJEM47[[#This Row],[data_wyjazdu]]-WYNAJEM47[[#This Row],[data_przyjazdu]])</f>
        <v>2</v>
      </c>
      <c r="G46" s="9">
        <f xml:space="preserve"> WYNAJEM47[[#This Row],[energia]] + WYNAJEM47[[#This Row],[woda]]</f>
        <v>9.19</v>
      </c>
      <c r="I46" s="9"/>
    </row>
    <row r="47" spans="1:9" x14ac:dyDescent="0.25">
      <c r="A47" s="1">
        <v>41653</v>
      </c>
      <c r="B47" s="1">
        <v>41677</v>
      </c>
      <c r="C47" s="8">
        <v>6.34</v>
      </c>
      <c r="D47" s="8">
        <v>0.17</v>
      </c>
      <c r="E47">
        <v>6</v>
      </c>
      <c r="F47" s="10">
        <f>(WYNAJEM47[[#This Row],[data_wyjazdu]]-WYNAJEM47[[#This Row],[data_przyjazdu]])</f>
        <v>24</v>
      </c>
      <c r="G47" s="9">
        <f xml:space="preserve"> WYNAJEM47[[#This Row],[energia]] + WYNAJEM47[[#This Row],[woda]]</f>
        <v>6.51</v>
      </c>
      <c r="I47" s="9"/>
    </row>
    <row r="48" spans="1:9" x14ac:dyDescent="0.25">
      <c r="A48" s="1">
        <v>41653</v>
      </c>
      <c r="B48" s="1">
        <v>41672</v>
      </c>
      <c r="C48" s="8">
        <v>12.23</v>
      </c>
      <c r="D48" s="8">
        <v>0.32</v>
      </c>
      <c r="E48">
        <v>3</v>
      </c>
      <c r="F48" s="10">
        <f>(WYNAJEM47[[#This Row],[data_wyjazdu]]-WYNAJEM47[[#This Row],[data_przyjazdu]])</f>
        <v>19</v>
      </c>
      <c r="G48" s="9">
        <f xml:space="preserve"> WYNAJEM47[[#This Row],[energia]] + WYNAJEM47[[#This Row],[woda]]</f>
        <v>12.55</v>
      </c>
      <c r="I48" s="9"/>
    </row>
    <row r="49" spans="1:9" x14ac:dyDescent="0.25">
      <c r="A49" s="1">
        <v>41653</v>
      </c>
      <c r="B49" s="1">
        <v>41668</v>
      </c>
      <c r="C49" s="8">
        <v>8.7200000000000006</v>
      </c>
      <c r="D49" s="8">
        <v>0.23</v>
      </c>
      <c r="E49">
        <v>5</v>
      </c>
      <c r="F49" s="10">
        <f>(WYNAJEM47[[#This Row],[data_wyjazdu]]-WYNAJEM47[[#This Row],[data_przyjazdu]])</f>
        <v>15</v>
      </c>
      <c r="G49" s="9">
        <f xml:space="preserve"> WYNAJEM47[[#This Row],[energia]] + WYNAJEM47[[#This Row],[woda]]</f>
        <v>8.9500000000000011</v>
      </c>
      <c r="I49" s="9"/>
    </row>
    <row r="50" spans="1:9" x14ac:dyDescent="0.25">
      <c r="A50" s="1">
        <v>41653</v>
      </c>
      <c r="B50" s="1">
        <v>41671</v>
      </c>
      <c r="C50" s="8">
        <v>16.55</v>
      </c>
      <c r="D50" s="8">
        <v>0.44</v>
      </c>
      <c r="E50">
        <v>6</v>
      </c>
      <c r="F50" s="10">
        <f>(WYNAJEM47[[#This Row],[data_wyjazdu]]-WYNAJEM47[[#This Row],[data_przyjazdu]])</f>
        <v>18</v>
      </c>
      <c r="G50" s="9">
        <f xml:space="preserve"> WYNAJEM47[[#This Row],[energia]] + WYNAJEM47[[#This Row],[woda]]</f>
        <v>16.990000000000002</v>
      </c>
      <c r="I50" s="9"/>
    </row>
    <row r="51" spans="1:9" x14ac:dyDescent="0.25">
      <c r="A51" s="1">
        <v>41653</v>
      </c>
      <c r="B51" s="1">
        <v>41656</v>
      </c>
      <c r="C51" s="8">
        <v>7.55</v>
      </c>
      <c r="D51" s="8">
        <v>0.2</v>
      </c>
      <c r="E51">
        <v>2</v>
      </c>
      <c r="F51" s="10">
        <f>(WYNAJEM47[[#This Row],[data_wyjazdu]]-WYNAJEM47[[#This Row],[data_przyjazdu]])</f>
        <v>3</v>
      </c>
      <c r="G51" s="9">
        <f xml:space="preserve"> WYNAJEM47[[#This Row],[energia]] + WYNAJEM47[[#This Row],[woda]]</f>
        <v>7.75</v>
      </c>
      <c r="I51" s="9"/>
    </row>
    <row r="52" spans="1:9" x14ac:dyDescent="0.25">
      <c r="A52" s="1">
        <v>41653</v>
      </c>
      <c r="B52" s="1">
        <v>41668</v>
      </c>
      <c r="C52" s="8">
        <v>5.78</v>
      </c>
      <c r="D52" s="8">
        <v>0.15</v>
      </c>
      <c r="E52">
        <v>2</v>
      </c>
      <c r="F52" s="10">
        <f>(WYNAJEM47[[#This Row],[data_wyjazdu]]-WYNAJEM47[[#This Row],[data_przyjazdu]])</f>
        <v>15</v>
      </c>
      <c r="G52" s="9">
        <f xml:space="preserve"> WYNAJEM47[[#This Row],[energia]] + WYNAJEM47[[#This Row],[woda]]</f>
        <v>5.9300000000000006</v>
      </c>
      <c r="I52" s="9"/>
    </row>
    <row r="53" spans="1:9" x14ac:dyDescent="0.25">
      <c r="A53" s="1">
        <v>41653</v>
      </c>
      <c r="B53" s="1">
        <v>41658</v>
      </c>
      <c r="C53" s="8">
        <v>8.83</v>
      </c>
      <c r="D53" s="8">
        <v>0.23</v>
      </c>
      <c r="E53">
        <v>3</v>
      </c>
      <c r="F53" s="10">
        <f>(WYNAJEM47[[#This Row],[data_wyjazdu]]-WYNAJEM47[[#This Row],[data_przyjazdu]])</f>
        <v>5</v>
      </c>
      <c r="G53" s="9">
        <f xml:space="preserve"> WYNAJEM47[[#This Row],[energia]] + WYNAJEM47[[#This Row],[woda]]</f>
        <v>9.06</v>
      </c>
      <c r="I53" s="9"/>
    </row>
    <row r="54" spans="1:9" x14ac:dyDescent="0.25">
      <c r="A54" s="1">
        <v>41653</v>
      </c>
      <c r="B54" s="1">
        <v>41655</v>
      </c>
      <c r="C54" s="8">
        <v>8.89</v>
      </c>
      <c r="D54" s="8">
        <v>0.23</v>
      </c>
      <c r="E54">
        <v>4</v>
      </c>
      <c r="F54" s="10">
        <f>(WYNAJEM47[[#This Row],[data_wyjazdu]]-WYNAJEM47[[#This Row],[data_przyjazdu]])</f>
        <v>2</v>
      </c>
      <c r="G54" s="9">
        <f xml:space="preserve"> WYNAJEM47[[#This Row],[energia]] + WYNAJEM47[[#This Row],[woda]]</f>
        <v>9.120000000000001</v>
      </c>
      <c r="I54" s="9"/>
    </row>
    <row r="55" spans="1:9" x14ac:dyDescent="0.25">
      <c r="A55" s="1">
        <v>41653</v>
      </c>
      <c r="B55" s="1">
        <v>41657</v>
      </c>
      <c r="C55" s="8">
        <v>2.72</v>
      </c>
      <c r="D55" s="8">
        <v>7.0000000000000007E-2</v>
      </c>
      <c r="E55">
        <v>6</v>
      </c>
      <c r="F55" s="10">
        <f>(WYNAJEM47[[#This Row],[data_wyjazdu]]-WYNAJEM47[[#This Row],[data_przyjazdu]])</f>
        <v>4</v>
      </c>
      <c r="G55" s="9">
        <f xml:space="preserve"> WYNAJEM47[[#This Row],[energia]] + WYNAJEM47[[#This Row],[woda]]</f>
        <v>2.79</v>
      </c>
      <c r="I55" s="9"/>
    </row>
    <row r="56" spans="1:9" x14ac:dyDescent="0.25">
      <c r="A56" s="1">
        <v>41653</v>
      </c>
      <c r="B56" s="1">
        <v>41675</v>
      </c>
      <c r="C56" s="8">
        <v>11.42</v>
      </c>
      <c r="D56" s="8">
        <v>0.3</v>
      </c>
      <c r="E56">
        <v>2</v>
      </c>
      <c r="F56" s="10">
        <f>(WYNAJEM47[[#This Row],[data_wyjazdu]]-WYNAJEM47[[#This Row],[data_przyjazdu]])</f>
        <v>22</v>
      </c>
      <c r="G56" s="9">
        <f xml:space="preserve"> WYNAJEM47[[#This Row],[energia]] + WYNAJEM47[[#This Row],[woda]]</f>
        <v>11.72</v>
      </c>
      <c r="I56" s="9"/>
    </row>
    <row r="57" spans="1:9" x14ac:dyDescent="0.25">
      <c r="A57" s="1">
        <v>41653</v>
      </c>
      <c r="B57" s="1">
        <v>41675</v>
      </c>
      <c r="C57" s="8">
        <v>5.23</v>
      </c>
      <c r="D57" s="8">
        <v>0.14000000000000001</v>
      </c>
      <c r="E57">
        <v>2</v>
      </c>
      <c r="F57" s="10">
        <f>(WYNAJEM47[[#This Row],[data_wyjazdu]]-WYNAJEM47[[#This Row],[data_przyjazdu]])</f>
        <v>22</v>
      </c>
      <c r="G57" s="9">
        <f xml:space="preserve"> WYNAJEM47[[#This Row],[energia]] + WYNAJEM47[[#This Row],[woda]]</f>
        <v>5.37</v>
      </c>
      <c r="I57" s="9"/>
    </row>
    <row r="58" spans="1:9" x14ac:dyDescent="0.25">
      <c r="A58" s="1">
        <v>41653</v>
      </c>
      <c r="B58" s="1">
        <v>41657</v>
      </c>
      <c r="C58" s="8">
        <v>6.58</v>
      </c>
      <c r="D58" s="8">
        <v>0.17</v>
      </c>
      <c r="E58">
        <v>4</v>
      </c>
      <c r="F58" s="10">
        <f>(WYNAJEM47[[#This Row],[data_wyjazdu]]-WYNAJEM47[[#This Row],[data_przyjazdu]])</f>
        <v>4</v>
      </c>
      <c r="G58" s="9">
        <f xml:space="preserve"> WYNAJEM47[[#This Row],[energia]] + WYNAJEM47[[#This Row],[woda]]</f>
        <v>6.75</v>
      </c>
      <c r="I58" s="9"/>
    </row>
    <row r="59" spans="1:9" x14ac:dyDescent="0.25">
      <c r="A59" s="1">
        <v>41653</v>
      </c>
      <c r="B59" s="1">
        <v>41679</v>
      </c>
      <c r="C59" s="8">
        <v>9.74</v>
      </c>
      <c r="D59" s="8">
        <v>0.26</v>
      </c>
      <c r="E59">
        <v>4</v>
      </c>
      <c r="F59" s="10">
        <f>(WYNAJEM47[[#This Row],[data_wyjazdu]]-WYNAJEM47[[#This Row],[data_przyjazdu]])</f>
        <v>26</v>
      </c>
      <c r="G59" s="9">
        <f xml:space="preserve"> WYNAJEM47[[#This Row],[energia]] + WYNAJEM47[[#This Row],[woda]]</f>
        <v>10</v>
      </c>
      <c r="I59" s="9"/>
    </row>
    <row r="60" spans="1:9" x14ac:dyDescent="0.25">
      <c r="A60" s="1">
        <v>41653</v>
      </c>
      <c r="B60" s="1">
        <v>41659</v>
      </c>
      <c r="C60" s="8">
        <v>6.75</v>
      </c>
      <c r="D60" s="8">
        <v>0.18</v>
      </c>
      <c r="E60">
        <v>6</v>
      </c>
      <c r="F60" s="10">
        <f>(WYNAJEM47[[#This Row],[data_wyjazdu]]-WYNAJEM47[[#This Row],[data_przyjazdu]])</f>
        <v>6</v>
      </c>
      <c r="G60" s="9">
        <f xml:space="preserve"> WYNAJEM47[[#This Row],[energia]] + WYNAJEM47[[#This Row],[woda]]</f>
        <v>6.93</v>
      </c>
      <c r="I60" s="9"/>
    </row>
    <row r="61" spans="1:9" x14ac:dyDescent="0.25">
      <c r="A61" s="1">
        <v>41653</v>
      </c>
      <c r="B61" s="1">
        <v>41671</v>
      </c>
      <c r="C61" s="8">
        <v>16.829999999999998</v>
      </c>
      <c r="D61" s="8">
        <v>0.44</v>
      </c>
      <c r="E61">
        <v>4</v>
      </c>
      <c r="F61" s="10">
        <f>(WYNAJEM47[[#This Row],[data_wyjazdu]]-WYNAJEM47[[#This Row],[data_przyjazdu]])</f>
        <v>18</v>
      </c>
      <c r="G61" s="9">
        <f xml:space="preserve"> WYNAJEM47[[#This Row],[energia]] + WYNAJEM47[[#This Row],[woda]]</f>
        <v>17.27</v>
      </c>
      <c r="I61" s="9"/>
    </row>
    <row r="62" spans="1:9" x14ac:dyDescent="0.25">
      <c r="A62" s="1">
        <v>41653</v>
      </c>
      <c r="B62" s="1">
        <v>41676</v>
      </c>
      <c r="C62" s="8">
        <v>10.79</v>
      </c>
      <c r="D62" s="8">
        <v>0.28000000000000003</v>
      </c>
      <c r="E62">
        <v>3</v>
      </c>
      <c r="F62" s="10">
        <f>(WYNAJEM47[[#This Row],[data_wyjazdu]]-WYNAJEM47[[#This Row],[data_przyjazdu]])</f>
        <v>23</v>
      </c>
      <c r="G62" s="9">
        <f xml:space="preserve"> WYNAJEM47[[#This Row],[energia]] + WYNAJEM47[[#This Row],[woda]]</f>
        <v>11.069999999999999</v>
      </c>
      <c r="I62" s="9"/>
    </row>
    <row r="63" spans="1:9" x14ac:dyDescent="0.25">
      <c r="A63" s="1">
        <v>41653</v>
      </c>
      <c r="B63" s="1">
        <v>41669</v>
      </c>
      <c r="C63" s="8">
        <v>10.19</v>
      </c>
      <c r="D63" s="8">
        <v>0.27</v>
      </c>
      <c r="E63">
        <v>5</v>
      </c>
      <c r="F63" s="10">
        <f>(WYNAJEM47[[#This Row],[data_wyjazdu]]-WYNAJEM47[[#This Row],[data_przyjazdu]])</f>
        <v>16</v>
      </c>
      <c r="G63" s="9">
        <f xml:space="preserve"> WYNAJEM47[[#This Row],[energia]] + WYNAJEM47[[#This Row],[woda]]</f>
        <v>10.459999999999999</v>
      </c>
      <c r="I63" s="9"/>
    </row>
    <row r="64" spans="1:9" x14ac:dyDescent="0.25">
      <c r="A64" s="1">
        <v>41653</v>
      </c>
      <c r="B64" s="1">
        <v>41678</v>
      </c>
      <c r="C64" s="8">
        <v>10.93</v>
      </c>
      <c r="D64" s="8">
        <v>0.28999999999999998</v>
      </c>
      <c r="E64">
        <v>6</v>
      </c>
      <c r="F64" s="10">
        <f>(WYNAJEM47[[#This Row],[data_wyjazdu]]-WYNAJEM47[[#This Row],[data_przyjazdu]])</f>
        <v>25</v>
      </c>
      <c r="G64" s="9">
        <f xml:space="preserve"> WYNAJEM47[[#This Row],[energia]] + WYNAJEM47[[#This Row],[woda]]</f>
        <v>11.219999999999999</v>
      </c>
      <c r="I64" s="9"/>
    </row>
    <row r="65" spans="1:9" x14ac:dyDescent="0.25">
      <c r="A65" s="1">
        <v>41654</v>
      </c>
      <c r="B65" s="1">
        <v>41661</v>
      </c>
      <c r="C65" s="8">
        <v>9.74</v>
      </c>
      <c r="D65" s="8">
        <v>0.26</v>
      </c>
      <c r="E65">
        <v>5</v>
      </c>
      <c r="F65" s="10">
        <f>(WYNAJEM47[[#This Row],[data_wyjazdu]]-WYNAJEM47[[#This Row],[data_przyjazdu]])</f>
        <v>7</v>
      </c>
      <c r="G65" s="9">
        <f xml:space="preserve"> WYNAJEM47[[#This Row],[energia]] + WYNAJEM47[[#This Row],[woda]]</f>
        <v>10</v>
      </c>
      <c r="I65" s="9"/>
    </row>
    <row r="66" spans="1:9" x14ac:dyDescent="0.25">
      <c r="A66" s="1">
        <v>41654</v>
      </c>
      <c r="B66" s="1">
        <v>41669</v>
      </c>
      <c r="C66" s="8">
        <v>14.31</v>
      </c>
      <c r="D66" s="8">
        <v>0.38</v>
      </c>
      <c r="E66">
        <v>6</v>
      </c>
      <c r="F66" s="10">
        <f>(WYNAJEM47[[#This Row],[data_wyjazdu]]-WYNAJEM47[[#This Row],[data_przyjazdu]])</f>
        <v>15</v>
      </c>
      <c r="G66" s="9">
        <f xml:space="preserve"> WYNAJEM47[[#This Row],[energia]] + WYNAJEM47[[#This Row],[woda]]</f>
        <v>14.690000000000001</v>
      </c>
      <c r="I66" s="9"/>
    </row>
    <row r="67" spans="1:9" x14ac:dyDescent="0.25">
      <c r="A67" s="1">
        <v>41654</v>
      </c>
      <c r="B67" s="1">
        <v>41663</v>
      </c>
      <c r="C67" s="8">
        <v>7.35</v>
      </c>
      <c r="D67" s="8">
        <v>0.19</v>
      </c>
      <c r="E67">
        <v>4</v>
      </c>
      <c r="F67" s="10">
        <f>(WYNAJEM47[[#This Row],[data_wyjazdu]]-WYNAJEM47[[#This Row],[data_przyjazdu]])</f>
        <v>9</v>
      </c>
      <c r="G67" s="9">
        <f xml:space="preserve"> WYNAJEM47[[#This Row],[energia]] + WYNAJEM47[[#This Row],[woda]]</f>
        <v>7.54</v>
      </c>
      <c r="I67" s="9"/>
    </row>
    <row r="68" spans="1:9" x14ac:dyDescent="0.25">
      <c r="A68" s="1">
        <v>41654</v>
      </c>
      <c r="B68" s="1">
        <v>41670</v>
      </c>
      <c r="C68" s="8">
        <v>9.74</v>
      </c>
      <c r="D68" s="8">
        <v>0.26</v>
      </c>
      <c r="E68">
        <v>5</v>
      </c>
      <c r="F68" s="10">
        <f>(WYNAJEM47[[#This Row],[data_wyjazdu]]-WYNAJEM47[[#This Row],[data_przyjazdu]])</f>
        <v>16</v>
      </c>
      <c r="G68" s="9">
        <f xml:space="preserve"> WYNAJEM47[[#This Row],[energia]] + WYNAJEM47[[#This Row],[woda]]</f>
        <v>10</v>
      </c>
      <c r="I68" s="9"/>
    </row>
    <row r="69" spans="1:9" x14ac:dyDescent="0.25">
      <c r="A69" s="1">
        <v>41654</v>
      </c>
      <c r="B69" s="1">
        <v>41666</v>
      </c>
      <c r="C69" s="8">
        <v>14.13</v>
      </c>
      <c r="D69" s="8">
        <v>0.37</v>
      </c>
      <c r="E69">
        <v>2</v>
      </c>
      <c r="F69" s="10">
        <f>(WYNAJEM47[[#This Row],[data_wyjazdu]]-WYNAJEM47[[#This Row],[data_przyjazdu]])</f>
        <v>12</v>
      </c>
      <c r="G69" s="9">
        <f xml:space="preserve"> WYNAJEM47[[#This Row],[energia]] + WYNAJEM47[[#This Row],[woda]]</f>
        <v>14.5</v>
      </c>
      <c r="I69" s="9"/>
    </row>
    <row r="70" spans="1:9" x14ac:dyDescent="0.25">
      <c r="A70" s="1">
        <v>41654</v>
      </c>
      <c r="B70" s="1">
        <v>41658</v>
      </c>
      <c r="C70" s="8">
        <v>12.01</v>
      </c>
      <c r="D70" s="8">
        <v>0.32</v>
      </c>
      <c r="E70">
        <v>3</v>
      </c>
      <c r="F70" s="10">
        <f>(WYNAJEM47[[#This Row],[data_wyjazdu]]-WYNAJEM47[[#This Row],[data_przyjazdu]])</f>
        <v>4</v>
      </c>
      <c r="G70" s="9">
        <f xml:space="preserve"> WYNAJEM47[[#This Row],[energia]] + WYNAJEM47[[#This Row],[woda]]</f>
        <v>12.33</v>
      </c>
      <c r="I70" s="9"/>
    </row>
    <row r="71" spans="1:9" x14ac:dyDescent="0.25">
      <c r="A71" s="1">
        <v>41654</v>
      </c>
      <c r="B71" s="1">
        <v>41669</v>
      </c>
      <c r="C71" s="8">
        <v>13.07</v>
      </c>
      <c r="D71" s="8">
        <v>0.34</v>
      </c>
      <c r="E71">
        <v>6</v>
      </c>
      <c r="F71" s="10">
        <f>(WYNAJEM47[[#This Row],[data_wyjazdu]]-WYNAJEM47[[#This Row],[data_przyjazdu]])</f>
        <v>15</v>
      </c>
      <c r="G71" s="9">
        <f xml:space="preserve"> WYNAJEM47[[#This Row],[energia]] + WYNAJEM47[[#This Row],[woda]]</f>
        <v>13.41</v>
      </c>
      <c r="I71" s="9"/>
    </row>
    <row r="72" spans="1:9" x14ac:dyDescent="0.25">
      <c r="A72" s="1">
        <v>41654</v>
      </c>
      <c r="B72" s="1">
        <v>41659</v>
      </c>
      <c r="C72" s="8">
        <v>14</v>
      </c>
      <c r="D72" s="8">
        <v>0.37</v>
      </c>
      <c r="E72">
        <v>5</v>
      </c>
      <c r="F72" s="10">
        <f>(WYNAJEM47[[#This Row],[data_wyjazdu]]-WYNAJEM47[[#This Row],[data_przyjazdu]])</f>
        <v>5</v>
      </c>
      <c r="G72" s="9">
        <f xml:space="preserve"> WYNAJEM47[[#This Row],[energia]] + WYNAJEM47[[#This Row],[woda]]</f>
        <v>14.37</v>
      </c>
      <c r="I72" s="9"/>
    </row>
    <row r="73" spans="1:9" x14ac:dyDescent="0.25">
      <c r="A73" s="1">
        <v>41654</v>
      </c>
      <c r="B73" s="1">
        <v>41671</v>
      </c>
      <c r="C73" s="8">
        <v>13.02</v>
      </c>
      <c r="D73" s="8">
        <v>0.34</v>
      </c>
      <c r="E73">
        <v>2</v>
      </c>
      <c r="F73" s="10">
        <f>(WYNAJEM47[[#This Row],[data_wyjazdu]]-WYNAJEM47[[#This Row],[data_przyjazdu]])</f>
        <v>17</v>
      </c>
      <c r="G73" s="9">
        <f xml:space="preserve"> WYNAJEM47[[#This Row],[energia]] + WYNAJEM47[[#This Row],[woda]]</f>
        <v>13.36</v>
      </c>
      <c r="I73" s="9"/>
    </row>
    <row r="74" spans="1:9" x14ac:dyDescent="0.25">
      <c r="A74" s="1">
        <v>41654</v>
      </c>
      <c r="B74" s="1">
        <v>41658</v>
      </c>
      <c r="C74" s="8">
        <v>6.75</v>
      </c>
      <c r="D74" s="8">
        <v>0.18</v>
      </c>
      <c r="E74">
        <v>5</v>
      </c>
      <c r="F74" s="10">
        <f>(WYNAJEM47[[#This Row],[data_wyjazdu]]-WYNAJEM47[[#This Row],[data_przyjazdu]])</f>
        <v>4</v>
      </c>
      <c r="G74" s="9">
        <f xml:space="preserve"> WYNAJEM47[[#This Row],[energia]] + WYNAJEM47[[#This Row],[woda]]</f>
        <v>6.93</v>
      </c>
      <c r="I74" s="9"/>
    </row>
    <row r="75" spans="1:9" x14ac:dyDescent="0.25">
      <c r="A75" s="1">
        <v>41654</v>
      </c>
      <c r="B75" s="1">
        <v>41670</v>
      </c>
      <c r="C75" s="8">
        <v>3.88</v>
      </c>
      <c r="D75" s="8">
        <v>0.1</v>
      </c>
      <c r="E75">
        <v>2</v>
      </c>
      <c r="F75" s="10">
        <f>(WYNAJEM47[[#This Row],[data_wyjazdu]]-WYNAJEM47[[#This Row],[data_przyjazdu]])</f>
        <v>16</v>
      </c>
      <c r="G75" s="9">
        <f xml:space="preserve"> WYNAJEM47[[#This Row],[energia]] + WYNAJEM47[[#This Row],[woda]]</f>
        <v>3.98</v>
      </c>
      <c r="I75" s="9"/>
    </row>
    <row r="76" spans="1:9" x14ac:dyDescent="0.25">
      <c r="A76" s="1">
        <v>41654</v>
      </c>
      <c r="B76" s="1">
        <v>41657</v>
      </c>
      <c r="C76" s="8">
        <v>4.66</v>
      </c>
      <c r="D76" s="8">
        <v>0.12</v>
      </c>
      <c r="E76">
        <v>6</v>
      </c>
      <c r="F76" s="10">
        <f>(WYNAJEM47[[#This Row],[data_wyjazdu]]-WYNAJEM47[[#This Row],[data_przyjazdu]])</f>
        <v>3</v>
      </c>
      <c r="G76" s="9">
        <f xml:space="preserve"> WYNAJEM47[[#This Row],[energia]] + WYNAJEM47[[#This Row],[woda]]</f>
        <v>4.78</v>
      </c>
      <c r="I76" s="9"/>
    </row>
    <row r="77" spans="1:9" x14ac:dyDescent="0.25">
      <c r="A77" s="1">
        <v>41654</v>
      </c>
      <c r="B77" s="1">
        <v>41661</v>
      </c>
      <c r="C77" s="8">
        <v>2.29</v>
      </c>
      <c r="D77" s="8">
        <v>0.06</v>
      </c>
      <c r="E77">
        <v>4</v>
      </c>
      <c r="F77" s="10">
        <f>(WYNAJEM47[[#This Row],[data_wyjazdu]]-WYNAJEM47[[#This Row],[data_przyjazdu]])</f>
        <v>7</v>
      </c>
      <c r="G77" s="9">
        <f xml:space="preserve"> WYNAJEM47[[#This Row],[energia]] + WYNAJEM47[[#This Row],[woda]]</f>
        <v>2.35</v>
      </c>
      <c r="I77" s="9"/>
    </row>
    <row r="78" spans="1:9" x14ac:dyDescent="0.25">
      <c r="A78" s="1">
        <v>41654</v>
      </c>
      <c r="B78" s="1">
        <v>41665</v>
      </c>
      <c r="C78" s="8">
        <v>7.31</v>
      </c>
      <c r="D78" s="8">
        <v>0.19</v>
      </c>
      <c r="E78">
        <v>6</v>
      </c>
      <c r="F78" s="10">
        <f>(WYNAJEM47[[#This Row],[data_wyjazdu]]-WYNAJEM47[[#This Row],[data_przyjazdu]])</f>
        <v>11</v>
      </c>
      <c r="G78" s="9">
        <f xml:space="preserve"> WYNAJEM47[[#This Row],[energia]] + WYNAJEM47[[#This Row],[woda]]</f>
        <v>7.5</v>
      </c>
      <c r="I78" s="9"/>
    </row>
    <row r="79" spans="1:9" x14ac:dyDescent="0.25">
      <c r="A79" s="1">
        <v>41654</v>
      </c>
      <c r="B79" s="1">
        <v>41682</v>
      </c>
      <c r="C79" s="8">
        <v>6.23</v>
      </c>
      <c r="D79" s="8">
        <v>0.16</v>
      </c>
      <c r="E79">
        <v>6</v>
      </c>
      <c r="F79" s="10">
        <f>(WYNAJEM47[[#This Row],[data_wyjazdu]]-WYNAJEM47[[#This Row],[data_przyjazdu]])</f>
        <v>28</v>
      </c>
      <c r="G79" s="9">
        <f xml:space="preserve"> WYNAJEM47[[#This Row],[energia]] + WYNAJEM47[[#This Row],[woda]]</f>
        <v>6.3900000000000006</v>
      </c>
      <c r="I79" s="9"/>
    </row>
    <row r="80" spans="1:9" x14ac:dyDescent="0.25">
      <c r="A80" s="1">
        <v>41654</v>
      </c>
      <c r="B80" s="1">
        <v>41663</v>
      </c>
      <c r="C80" s="8">
        <v>3.88</v>
      </c>
      <c r="D80" s="8">
        <v>0.1</v>
      </c>
      <c r="E80">
        <v>2</v>
      </c>
      <c r="F80" s="10">
        <f>(WYNAJEM47[[#This Row],[data_wyjazdu]]-WYNAJEM47[[#This Row],[data_przyjazdu]])</f>
        <v>9</v>
      </c>
      <c r="G80" s="9">
        <f xml:space="preserve"> WYNAJEM47[[#This Row],[energia]] + WYNAJEM47[[#This Row],[woda]]</f>
        <v>3.98</v>
      </c>
      <c r="I80" s="9"/>
    </row>
    <row r="81" spans="1:9" x14ac:dyDescent="0.25">
      <c r="A81" s="1">
        <v>41654</v>
      </c>
      <c r="B81" s="1">
        <v>41662</v>
      </c>
      <c r="C81" s="8">
        <v>8.51</v>
      </c>
      <c r="D81" s="8">
        <v>0.22</v>
      </c>
      <c r="E81">
        <v>2</v>
      </c>
      <c r="F81" s="10">
        <f>(WYNAJEM47[[#This Row],[data_wyjazdu]]-WYNAJEM47[[#This Row],[data_przyjazdu]])</f>
        <v>8</v>
      </c>
      <c r="G81" s="9">
        <f xml:space="preserve"> WYNAJEM47[[#This Row],[energia]] + WYNAJEM47[[#This Row],[woda]]</f>
        <v>8.73</v>
      </c>
      <c r="I81" s="9"/>
    </row>
    <row r="82" spans="1:9" x14ac:dyDescent="0.25">
      <c r="A82" s="1">
        <v>41654</v>
      </c>
      <c r="B82" s="1">
        <v>41657</v>
      </c>
      <c r="C82" s="8">
        <v>8.51</v>
      </c>
      <c r="D82" s="8">
        <v>0.22</v>
      </c>
      <c r="E82">
        <v>4</v>
      </c>
      <c r="F82" s="10">
        <f>(WYNAJEM47[[#This Row],[data_wyjazdu]]-WYNAJEM47[[#This Row],[data_przyjazdu]])</f>
        <v>3</v>
      </c>
      <c r="G82" s="9">
        <f xml:space="preserve"> WYNAJEM47[[#This Row],[energia]] + WYNAJEM47[[#This Row],[woda]]</f>
        <v>8.73</v>
      </c>
      <c r="I82" s="9"/>
    </row>
    <row r="83" spans="1:9" x14ac:dyDescent="0.25">
      <c r="A83" s="1">
        <v>41654</v>
      </c>
      <c r="B83" s="1">
        <v>41676</v>
      </c>
      <c r="C83" s="8">
        <v>9.1300000000000008</v>
      </c>
      <c r="D83" s="8">
        <v>0.24</v>
      </c>
      <c r="E83">
        <v>2</v>
      </c>
      <c r="F83" s="10">
        <f>(WYNAJEM47[[#This Row],[data_wyjazdu]]-WYNAJEM47[[#This Row],[data_przyjazdu]])</f>
        <v>22</v>
      </c>
      <c r="G83" s="9">
        <f xml:space="preserve"> WYNAJEM47[[#This Row],[energia]] + WYNAJEM47[[#This Row],[woda]]</f>
        <v>9.370000000000001</v>
      </c>
      <c r="I83" s="9"/>
    </row>
    <row r="84" spans="1:9" x14ac:dyDescent="0.25">
      <c r="A84" s="1">
        <v>41654</v>
      </c>
      <c r="B84" s="1">
        <v>41658</v>
      </c>
      <c r="C84" s="8">
        <v>3.88</v>
      </c>
      <c r="D84" s="8">
        <v>0.1</v>
      </c>
      <c r="E84">
        <v>2</v>
      </c>
      <c r="F84" s="10">
        <f>(WYNAJEM47[[#This Row],[data_wyjazdu]]-WYNAJEM47[[#This Row],[data_przyjazdu]])</f>
        <v>4</v>
      </c>
      <c r="G84" s="9">
        <f xml:space="preserve"> WYNAJEM47[[#This Row],[energia]] + WYNAJEM47[[#This Row],[woda]]</f>
        <v>3.98</v>
      </c>
      <c r="I84" s="9"/>
    </row>
    <row r="85" spans="1:9" x14ac:dyDescent="0.25">
      <c r="A85" s="1">
        <v>41654</v>
      </c>
      <c r="B85" s="1">
        <v>41675</v>
      </c>
      <c r="C85" s="8">
        <v>11.42</v>
      </c>
      <c r="D85" s="8">
        <v>0.3</v>
      </c>
      <c r="E85">
        <v>2</v>
      </c>
      <c r="F85" s="10">
        <f>(WYNAJEM47[[#This Row],[data_wyjazdu]]-WYNAJEM47[[#This Row],[data_przyjazdu]])</f>
        <v>21</v>
      </c>
      <c r="G85" s="9">
        <f xml:space="preserve"> WYNAJEM47[[#This Row],[energia]] + WYNAJEM47[[#This Row],[woda]]</f>
        <v>11.72</v>
      </c>
      <c r="I85" s="9"/>
    </row>
    <row r="86" spans="1:9" x14ac:dyDescent="0.25">
      <c r="A86" s="1">
        <v>41654</v>
      </c>
      <c r="B86" s="1">
        <v>41661</v>
      </c>
      <c r="C86" s="8">
        <v>16.829999999999998</v>
      </c>
      <c r="D86" s="8">
        <v>0.44</v>
      </c>
      <c r="E86">
        <v>4</v>
      </c>
      <c r="F86" s="10">
        <f>(WYNAJEM47[[#This Row],[data_wyjazdu]]-WYNAJEM47[[#This Row],[data_przyjazdu]])</f>
        <v>7</v>
      </c>
      <c r="G86" s="9">
        <f xml:space="preserve"> WYNAJEM47[[#This Row],[energia]] + WYNAJEM47[[#This Row],[woda]]</f>
        <v>17.27</v>
      </c>
      <c r="I86" s="9"/>
    </row>
    <row r="87" spans="1:9" x14ac:dyDescent="0.25">
      <c r="A87" s="1">
        <v>41656</v>
      </c>
      <c r="B87" s="1">
        <v>41674</v>
      </c>
      <c r="C87" s="8">
        <v>5.67</v>
      </c>
      <c r="D87" s="8">
        <v>0.15</v>
      </c>
      <c r="E87">
        <v>2</v>
      </c>
      <c r="F87" s="10">
        <f>(WYNAJEM47[[#This Row],[data_wyjazdu]]-WYNAJEM47[[#This Row],[data_przyjazdu]])</f>
        <v>18</v>
      </c>
      <c r="G87" s="9">
        <f xml:space="preserve"> WYNAJEM47[[#This Row],[energia]] + WYNAJEM47[[#This Row],[woda]]</f>
        <v>5.82</v>
      </c>
      <c r="I87" s="9"/>
    </row>
    <row r="88" spans="1:9" x14ac:dyDescent="0.25">
      <c r="A88" s="1">
        <v>41656</v>
      </c>
      <c r="B88" s="1">
        <v>41667</v>
      </c>
      <c r="C88" s="8">
        <v>5.67</v>
      </c>
      <c r="D88" s="8">
        <v>0.15</v>
      </c>
      <c r="E88">
        <v>3</v>
      </c>
      <c r="F88" s="10">
        <f>(WYNAJEM47[[#This Row],[data_wyjazdu]]-WYNAJEM47[[#This Row],[data_przyjazdu]])</f>
        <v>11</v>
      </c>
      <c r="G88" s="9">
        <f xml:space="preserve"> WYNAJEM47[[#This Row],[energia]] + WYNAJEM47[[#This Row],[woda]]</f>
        <v>5.82</v>
      </c>
      <c r="I88" s="9"/>
    </row>
    <row r="89" spans="1:9" x14ac:dyDescent="0.25">
      <c r="A89" s="1">
        <v>41656</v>
      </c>
      <c r="B89" s="1">
        <v>41666</v>
      </c>
      <c r="C89" s="8">
        <v>2.0099999999999998</v>
      </c>
      <c r="D89" s="8">
        <v>0.05</v>
      </c>
      <c r="E89">
        <v>5</v>
      </c>
      <c r="F89" s="10">
        <f>(WYNAJEM47[[#This Row],[data_wyjazdu]]-WYNAJEM47[[#This Row],[data_przyjazdu]])</f>
        <v>10</v>
      </c>
      <c r="G89" s="9">
        <f xml:space="preserve"> WYNAJEM47[[#This Row],[energia]] + WYNAJEM47[[#This Row],[woda]]</f>
        <v>2.0599999999999996</v>
      </c>
      <c r="I89" s="9"/>
    </row>
    <row r="90" spans="1:9" x14ac:dyDescent="0.25">
      <c r="A90" s="1">
        <v>41656</v>
      </c>
      <c r="B90" s="1">
        <v>41678</v>
      </c>
      <c r="C90" s="8">
        <v>2.0099999999999998</v>
      </c>
      <c r="D90" s="8">
        <v>0.05</v>
      </c>
      <c r="E90">
        <v>5</v>
      </c>
      <c r="F90" s="10">
        <f>(WYNAJEM47[[#This Row],[data_wyjazdu]]-WYNAJEM47[[#This Row],[data_przyjazdu]])</f>
        <v>22</v>
      </c>
      <c r="G90" s="9">
        <f xml:space="preserve"> WYNAJEM47[[#This Row],[energia]] + WYNAJEM47[[#This Row],[woda]]</f>
        <v>2.0599999999999996</v>
      </c>
      <c r="I90" s="9"/>
    </row>
    <row r="91" spans="1:9" x14ac:dyDescent="0.25">
      <c r="A91" s="1">
        <v>41657</v>
      </c>
      <c r="B91" s="1">
        <v>41669</v>
      </c>
      <c r="C91" s="8">
        <v>6.43</v>
      </c>
      <c r="D91" s="8">
        <v>0.17</v>
      </c>
      <c r="E91">
        <v>5</v>
      </c>
      <c r="F91" s="10">
        <f>(WYNAJEM47[[#This Row],[data_wyjazdu]]-WYNAJEM47[[#This Row],[data_przyjazdu]])</f>
        <v>12</v>
      </c>
      <c r="G91" s="9">
        <f xml:space="preserve"> WYNAJEM47[[#This Row],[energia]] + WYNAJEM47[[#This Row],[woda]]</f>
        <v>6.6</v>
      </c>
      <c r="I91" s="9"/>
    </row>
    <row r="92" spans="1:9" x14ac:dyDescent="0.25">
      <c r="A92" s="1">
        <v>41657</v>
      </c>
      <c r="B92" s="1">
        <v>41666</v>
      </c>
      <c r="C92" s="8">
        <v>3.88</v>
      </c>
      <c r="D92" s="8">
        <v>0.1</v>
      </c>
      <c r="E92">
        <v>5</v>
      </c>
      <c r="F92" s="10">
        <f>(WYNAJEM47[[#This Row],[data_wyjazdu]]-WYNAJEM47[[#This Row],[data_przyjazdu]])</f>
        <v>9</v>
      </c>
      <c r="G92" s="9">
        <f xml:space="preserve"> WYNAJEM47[[#This Row],[energia]] + WYNAJEM47[[#This Row],[woda]]</f>
        <v>3.98</v>
      </c>
      <c r="I92" s="9"/>
    </row>
    <row r="93" spans="1:9" x14ac:dyDescent="0.25">
      <c r="A93" s="1">
        <v>41657</v>
      </c>
      <c r="B93" s="1">
        <v>41661</v>
      </c>
      <c r="C93" s="8">
        <v>8.7200000000000006</v>
      </c>
      <c r="D93" s="8">
        <v>0.23</v>
      </c>
      <c r="E93">
        <v>4</v>
      </c>
      <c r="F93" s="10">
        <f>(WYNAJEM47[[#This Row],[data_wyjazdu]]-WYNAJEM47[[#This Row],[data_przyjazdu]])</f>
        <v>4</v>
      </c>
      <c r="G93" s="9">
        <f xml:space="preserve"> WYNAJEM47[[#This Row],[energia]] + WYNAJEM47[[#This Row],[woda]]</f>
        <v>8.9500000000000011</v>
      </c>
      <c r="I93" s="9"/>
    </row>
    <row r="94" spans="1:9" x14ac:dyDescent="0.25">
      <c r="A94" s="1">
        <v>41658</v>
      </c>
      <c r="B94" s="1">
        <v>41685</v>
      </c>
      <c r="C94" s="8">
        <v>6.58</v>
      </c>
      <c r="D94" s="8">
        <v>0.17</v>
      </c>
      <c r="E94">
        <v>5</v>
      </c>
      <c r="F94" s="10">
        <f>(WYNAJEM47[[#This Row],[data_wyjazdu]]-WYNAJEM47[[#This Row],[data_przyjazdu]])</f>
        <v>27</v>
      </c>
      <c r="G94" s="9">
        <f xml:space="preserve"> WYNAJEM47[[#This Row],[energia]] + WYNAJEM47[[#This Row],[woda]]</f>
        <v>6.75</v>
      </c>
      <c r="I94" s="9"/>
    </row>
    <row r="95" spans="1:9" x14ac:dyDescent="0.25">
      <c r="A95" s="1">
        <v>41658</v>
      </c>
      <c r="B95" s="1">
        <v>41685</v>
      </c>
      <c r="C95" s="8">
        <v>6.43</v>
      </c>
      <c r="D95" s="8">
        <v>0.17</v>
      </c>
      <c r="E95">
        <v>2</v>
      </c>
      <c r="F95" s="10">
        <f>(WYNAJEM47[[#This Row],[data_wyjazdu]]-WYNAJEM47[[#This Row],[data_przyjazdu]])</f>
        <v>27</v>
      </c>
      <c r="G95" s="9">
        <f xml:space="preserve"> WYNAJEM47[[#This Row],[energia]] + WYNAJEM47[[#This Row],[woda]]</f>
        <v>6.6</v>
      </c>
      <c r="I95" s="9"/>
    </row>
    <row r="96" spans="1:9" x14ac:dyDescent="0.25">
      <c r="A96" s="1">
        <v>41660</v>
      </c>
      <c r="B96" s="1">
        <v>41676</v>
      </c>
      <c r="C96" s="8">
        <v>11.44</v>
      </c>
      <c r="D96" s="8">
        <v>0.3</v>
      </c>
      <c r="E96">
        <v>3</v>
      </c>
      <c r="F96" s="10">
        <f>(WYNAJEM47[[#This Row],[data_wyjazdu]]-WYNAJEM47[[#This Row],[data_przyjazdu]])</f>
        <v>16</v>
      </c>
      <c r="G96" s="9">
        <f xml:space="preserve"> WYNAJEM47[[#This Row],[energia]] + WYNAJEM47[[#This Row],[woda]]</f>
        <v>11.74</v>
      </c>
      <c r="I96" s="9"/>
    </row>
    <row r="97" spans="1:9" x14ac:dyDescent="0.25">
      <c r="A97" s="1">
        <v>41660</v>
      </c>
      <c r="B97" s="1">
        <v>41667</v>
      </c>
      <c r="C97" s="8">
        <v>10.59</v>
      </c>
      <c r="D97" s="8">
        <v>0.28000000000000003</v>
      </c>
      <c r="E97">
        <v>4</v>
      </c>
      <c r="F97" s="10">
        <f>(WYNAJEM47[[#This Row],[data_wyjazdu]]-WYNAJEM47[[#This Row],[data_przyjazdu]])</f>
        <v>7</v>
      </c>
      <c r="G97" s="9">
        <f xml:space="preserve"> WYNAJEM47[[#This Row],[energia]] + WYNAJEM47[[#This Row],[woda]]</f>
        <v>10.87</v>
      </c>
      <c r="I97" s="9"/>
    </row>
    <row r="98" spans="1:9" x14ac:dyDescent="0.25">
      <c r="A98" s="1">
        <v>41660</v>
      </c>
      <c r="B98" s="1">
        <v>41687</v>
      </c>
      <c r="C98" s="8">
        <v>11.44</v>
      </c>
      <c r="D98" s="8">
        <v>0.3</v>
      </c>
      <c r="E98">
        <v>6</v>
      </c>
      <c r="F98" s="10">
        <f>(WYNAJEM47[[#This Row],[data_wyjazdu]]-WYNAJEM47[[#This Row],[data_przyjazdu]])</f>
        <v>27</v>
      </c>
      <c r="G98" s="9">
        <f xml:space="preserve"> WYNAJEM47[[#This Row],[energia]] + WYNAJEM47[[#This Row],[woda]]</f>
        <v>11.74</v>
      </c>
      <c r="I98" s="9"/>
    </row>
    <row r="99" spans="1:9" x14ac:dyDescent="0.25">
      <c r="A99" s="1">
        <v>41660</v>
      </c>
      <c r="B99" s="1">
        <v>41686</v>
      </c>
      <c r="C99" s="8">
        <v>10.199999999999999</v>
      </c>
      <c r="D99" s="8">
        <v>0.27</v>
      </c>
      <c r="E99">
        <v>6</v>
      </c>
      <c r="F99" s="10">
        <f>(WYNAJEM47[[#This Row],[data_wyjazdu]]-WYNAJEM47[[#This Row],[data_przyjazdu]])</f>
        <v>26</v>
      </c>
      <c r="G99" s="9">
        <f xml:space="preserve"> WYNAJEM47[[#This Row],[energia]] + WYNAJEM47[[#This Row],[woda]]</f>
        <v>10.469999999999999</v>
      </c>
      <c r="I99" s="9"/>
    </row>
    <row r="100" spans="1:9" x14ac:dyDescent="0.25">
      <c r="A100" s="1">
        <v>41660</v>
      </c>
      <c r="B100" s="1">
        <v>41684</v>
      </c>
      <c r="C100" s="8">
        <v>19.54</v>
      </c>
      <c r="D100" s="8">
        <v>0.51</v>
      </c>
      <c r="E100">
        <v>5</v>
      </c>
      <c r="F100" s="10">
        <f>(WYNAJEM47[[#This Row],[data_wyjazdu]]-WYNAJEM47[[#This Row],[data_przyjazdu]])</f>
        <v>24</v>
      </c>
      <c r="G100" s="9">
        <f xml:space="preserve"> WYNAJEM47[[#This Row],[energia]] + WYNAJEM47[[#This Row],[woda]]</f>
        <v>20.05</v>
      </c>
      <c r="I100" s="9"/>
    </row>
    <row r="101" spans="1:9" x14ac:dyDescent="0.25">
      <c r="A101" s="1">
        <v>41660</v>
      </c>
      <c r="B101" s="1">
        <v>41674</v>
      </c>
      <c r="C101" s="8">
        <v>10.93</v>
      </c>
      <c r="D101" s="8">
        <v>0.28999999999999998</v>
      </c>
      <c r="E101">
        <v>4</v>
      </c>
      <c r="F101" s="10">
        <f>(WYNAJEM47[[#This Row],[data_wyjazdu]]-WYNAJEM47[[#This Row],[data_przyjazdu]])</f>
        <v>14</v>
      </c>
      <c r="G101" s="9">
        <f xml:space="preserve"> WYNAJEM47[[#This Row],[energia]] + WYNAJEM47[[#This Row],[woda]]</f>
        <v>11.219999999999999</v>
      </c>
      <c r="I101" s="9"/>
    </row>
    <row r="102" spans="1:9" x14ac:dyDescent="0.25">
      <c r="A102" s="1">
        <v>41661</v>
      </c>
      <c r="B102" s="1">
        <v>41668</v>
      </c>
      <c r="C102" s="8">
        <v>6.43</v>
      </c>
      <c r="D102" s="8">
        <v>0.17</v>
      </c>
      <c r="E102">
        <v>5</v>
      </c>
      <c r="F102" s="10">
        <f>(WYNAJEM47[[#This Row],[data_wyjazdu]]-WYNAJEM47[[#This Row],[data_przyjazdu]])</f>
        <v>7</v>
      </c>
      <c r="G102" s="9">
        <f xml:space="preserve"> WYNAJEM47[[#This Row],[energia]] + WYNAJEM47[[#This Row],[woda]]</f>
        <v>6.6</v>
      </c>
      <c r="I102" s="9"/>
    </row>
    <row r="103" spans="1:9" x14ac:dyDescent="0.25">
      <c r="A103" s="1">
        <v>41661</v>
      </c>
      <c r="B103" s="1">
        <v>41681</v>
      </c>
      <c r="C103" s="8">
        <v>5.67</v>
      </c>
      <c r="D103" s="8">
        <v>0.15</v>
      </c>
      <c r="E103">
        <v>4</v>
      </c>
      <c r="F103" s="10">
        <f>(WYNAJEM47[[#This Row],[data_wyjazdu]]-WYNAJEM47[[#This Row],[data_przyjazdu]])</f>
        <v>20</v>
      </c>
      <c r="G103" s="9">
        <f xml:space="preserve"> WYNAJEM47[[#This Row],[energia]] + WYNAJEM47[[#This Row],[woda]]</f>
        <v>5.82</v>
      </c>
      <c r="I103" s="9"/>
    </row>
    <row r="104" spans="1:9" x14ac:dyDescent="0.25">
      <c r="A104" s="1">
        <v>41661</v>
      </c>
      <c r="B104" s="1">
        <v>41682</v>
      </c>
      <c r="C104" s="8">
        <v>14.13</v>
      </c>
      <c r="D104" s="8">
        <v>0.37</v>
      </c>
      <c r="E104">
        <v>5</v>
      </c>
      <c r="F104" s="10">
        <f>(WYNAJEM47[[#This Row],[data_wyjazdu]]-WYNAJEM47[[#This Row],[data_przyjazdu]])</f>
        <v>21</v>
      </c>
      <c r="G104" s="9">
        <f xml:space="preserve"> WYNAJEM47[[#This Row],[energia]] + WYNAJEM47[[#This Row],[woda]]</f>
        <v>14.5</v>
      </c>
      <c r="I104" s="9"/>
    </row>
    <row r="105" spans="1:9" x14ac:dyDescent="0.25">
      <c r="A105" s="1">
        <v>41661</v>
      </c>
      <c r="B105" s="1">
        <v>41689</v>
      </c>
      <c r="C105" s="8">
        <v>5.47</v>
      </c>
      <c r="D105" s="8">
        <v>0.14000000000000001</v>
      </c>
      <c r="E105">
        <v>3</v>
      </c>
      <c r="F105" s="10">
        <f>(WYNAJEM47[[#This Row],[data_wyjazdu]]-WYNAJEM47[[#This Row],[data_przyjazdu]])</f>
        <v>28</v>
      </c>
      <c r="G105" s="9">
        <f xml:space="preserve"> WYNAJEM47[[#This Row],[energia]] + WYNAJEM47[[#This Row],[woda]]</f>
        <v>5.6099999999999994</v>
      </c>
      <c r="I105" s="9"/>
    </row>
    <row r="106" spans="1:9" x14ac:dyDescent="0.25">
      <c r="A106" s="1">
        <v>41662</v>
      </c>
      <c r="B106" s="1">
        <v>41686</v>
      </c>
      <c r="C106" s="8">
        <v>8.39</v>
      </c>
      <c r="D106" s="8">
        <v>0.22</v>
      </c>
      <c r="E106">
        <v>2</v>
      </c>
      <c r="F106" s="10">
        <f>(WYNAJEM47[[#This Row],[data_wyjazdu]]-WYNAJEM47[[#This Row],[data_przyjazdu]])</f>
        <v>24</v>
      </c>
      <c r="G106" s="9">
        <f xml:space="preserve"> WYNAJEM47[[#This Row],[energia]] + WYNAJEM47[[#This Row],[woda]]</f>
        <v>8.6100000000000012</v>
      </c>
      <c r="I106" s="9"/>
    </row>
    <row r="107" spans="1:9" x14ac:dyDescent="0.25">
      <c r="A107" s="1">
        <v>41662</v>
      </c>
      <c r="B107" s="1">
        <v>41688</v>
      </c>
      <c r="C107" s="8">
        <v>3.79</v>
      </c>
      <c r="D107" s="8">
        <v>0.1</v>
      </c>
      <c r="E107">
        <v>3</v>
      </c>
      <c r="F107" s="10">
        <f>(WYNAJEM47[[#This Row],[data_wyjazdu]]-WYNAJEM47[[#This Row],[data_przyjazdu]])</f>
        <v>26</v>
      </c>
      <c r="G107" s="9">
        <f xml:space="preserve"> WYNAJEM47[[#This Row],[energia]] + WYNAJEM47[[#This Row],[woda]]</f>
        <v>3.89</v>
      </c>
      <c r="I107" s="9"/>
    </row>
    <row r="108" spans="1:9" x14ac:dyDescent="0.25">
      <c r="A108" s="1">
        <v>41662</v>
      </c>
      <c r="B108" s="1">
        <v>41664</v>
      </c>
      <c r="C108" s="8">
        <v>6.23</v>
      </c>
      <c r="D108" s="8">
        <v>0.16</v>
      </c>
      <c r="E108">
        <v>6</v>
      </c>
      <c r="F108" s="10">
        <f>(WYNAJEM47[[#This Row],[data_wyjazdu]]-WYNAJEM47[[#This Row],[data_przyjazdu]])</f>
        <v>2</v>
      </c>
      <c r="G108" s="9">
        <f xml:space="preserve"> WYNAJEM47[[#This Row],[energia]] + WYNAJEM47[[#This Row],[woda]]</f>
        <v>6.3900000000000006</v>
      </c>
      <c r="I108" s="9"/>
    </row>
    <row r="109" spans="1:9" x14ac:dyDescent="0.25">
      <c r="A109" s="1">
        <v>41663</v>
      </c>
      <c r="B109" s="1">
        <v>41675</v>
      </c>
      <c r="C109" s="8">
        <v>6.34</v>
      </c>
      <c r="D109" s="8">
        <v>0.17</v>
      </c>
      <c r="E109">
        <v>6</v>
      </c>
      <c r="F109" s="10">
        <f>(WYNAJEM47[[#This Row],[data_wyjazdu]]-WYNAJEM47[[#This Row],[data_przyjazdu]])</f>
        <v>12</v>
      </c>
      <c r="G109" s="9">
        <f xml:space="preserve"> WYNAJEM47[[#This Row],[energia]] + WYNAJEM47[[#This Row],[woda]]</f>
        <v>6.51</v>
      </c>
      <c r="I109" s="9"/>
    </row>
    <row r="110" spans="1:9" x14ac:dyDescent="0.25">
      <c r="A110" s="1">
        <v>41663</v>
      </c>
      <c r="B110" s="1">
        <v>41684</v>
      </c>
      <c r="C110" s="8">
        <v>3.57</v>
      </c>
      <c r="D110" s="8">
        <v>0.09</v>
      </c>
      <c r="E110">
        <v>6</v>
      </c>
      <c r="F110" s="10">
        <f>(WYNAJEM47[[#This Row],[data_wyjazdu]]-WYNAJEM47[[#This Row],[data_przyjazdu]])</f>
        <v>21</v>
      </c>
      <c r="G110" s="9">
        <f xml:space="preserve"> WYNAJEM47[[#This Row],[energia]] + WYNAJEM47[[#This Row],[woda]]</f>
        <v>3.6599999999999997</v>
      </c>
      <c r="I110" s="9"/>
    </row>
    <row r="111" spans="1:9" x14ac:dyDescent="0.25">
      <c r="A111" s="1">
        <v>41664</v>
      </c>
      <c r="B111" s="1">
        <v>41681</v>
      </c>
      <c r="C111" s="8">
        <v>4.66</v>
      </c>
      <c r="D111" s="8">
        <v>0.12</v>
      </c>
      <c r="E111">
        <v>4</v>
      </c>
      <c r="F111" s="10">
        <f>(WYNAJEM47[[#This Row],[data_wyjazdu]]-WYNAJEM47[[#This Row],[data_przyjazdu]])</f>
        <v>17</v>
      </c>
      <c r="G111" s="9">
        <f xml:space="preserve"> WYNAJEM47[[#This Row],[energia]] + WYNAJEM47[[#This Row],[woda]]</f>
        <v>4.78</v>
      </c>
      <c r="I111" s="9"/>
    </row>
    <row r="112" spans="1:9" x14ac:dyDescent="0.25">
      <c r="A112" s="1">
        <v>41665</v>
      </c>
      <c r="B112" s="1">
        <v>41692</v>
      </c>
      <c r="C112" s="8">
        <v>13.07</v>
      </c>
      <c r="D112" s="8">
        <v>0.34</v>
      </c>
      <c r="E112">
        <v>3</v>
      </c>
      <c r="F112" s="10">
        <f>(WYNAJEM47[[#This Row],[data_wyjazdu]]-WYNAJEM47[[#This Row],[data_przyjazdu]])</f>
        <v>27</v>
      </c>
      <c r="G112" s="9">
        <f xml:space="preserve"> WYNAJEM47[[#This Row],[energia]] + WYNAJEM47[[#This Row],[woda]]</f>
        <v>13.41</v>
      </c>
      <c r="I112" s="9"/>
    </row>
    <row r="113" spans="1:9" x14ac:dyDescent="0.25">
      <c r="A113" s="1">
        <v>41665</v>
      </c>
      <c r="B113" s="1">
        <v>41691</v>
      </c>
      <c r="C113" s="8">
        <v>13.81</v>
      </c>
      <c r="D113" s="8">
        <v>0.36</v>
      </c>
      <c r="E113">
        <v>5</v>
      </c>
      <c r="F113" s="10">
        <f>(WYNAJEM47[[#This Row],[data_wyjazdu]]-WYNAJEM47[[#This Row],[data_przyjazdu]])</f>
        <v>26</v>
      </c>
      <c r="G113" s="9">
        <f xml:space="preserve"> WYNAJEM47[[#This Row],[energia]] + WYNAJEM47[[#This Row],[woda]]</f>
        <v>14.17</v>
      </c>
      <c r="I113" s="9"/>
    </row>
    <row r="114" spans="1:9" x14ac:dyDescent="0.25">
      <c r="A114" s="1">
        <v>41665</v>
      </c>
      <c r="B114" s="1">
        <v>41673</v>
      </c>
      <c r="C114" s="8">
        <v>11.69</v>
      </c>
      <c r="D114" s="8">
        <v>0.31</v>
      </c>
      <c r="E114">
        <v>2</v>
      </c>
      <c r="F114" s="10">
        <f>(WYNAJEM47[[#This Row],[data_wyjazdu]]-WYNAJEM47[[#This Row],[data_przyjazdu]])</f>
        <v>8</v>
      </c>
      <c r="G114" s="9">
        <f xml:space="preserve"> WYNAJEM47[[#This Row],[energia]] + WYNAJEM47[[#This Row],[woda]]</f>
        <v>12</v>
      </c>
      <c r="I114" s="9"/>
    </row>
    <row r="115" spans="1:9" x14ac:dyDescent="0.25">
      <c r="A115" s="1">
        <v>41665</v>
      </c>
      <c r="B115" s="1">
        <v>41683</v>
      </c>
      <c r="C115" s="8">
        <v>8.84</v>
      </c>
      <c r="D115" s="8">
        <v>0.23</v>
      </c>
      <c r="E115">
        <v>4</v>
      </c>
      <c r="F115" s="10">
        <f>(WYNAJEM47[[#This Row],[data_wyjazdu]]-WYNAJEM47[[#This Row],[data_przyjazdu]])</f>
        <v>18</v>
      </c>
      <c r="G115" s="9">
        <f xml:space="preserve"> WYNAJEM47[[#This Row],[energia]] + WYNAJEM47[[#This Row],[woda]]</f>
        <v>9.07</v>
      </c>
      <c r="I115" s="9"/>
    </row>
    <row r="116" spans="1:9" x14ac:dyDescent="0.25">
      <c r="A116" s="1">
        <v>41665</v>
      </c>
      <c r="B116" s="1">
        <v>41690</v>
      </c>
      <c r="C116" s="8">
        <v>16.940000000000001</v>
      </c>
      <c r="D116" s="8">
        <v>0.45</v>
      </c>
      <c r="E116">
        <v>5</v>
      </c>
      <c r="F116" s="10">
        <f>(WYNAJEM47[[#This Row],[data_wyjazdu]]-WYNAJEM47[[#This Row],[data_przyjazdu]])</f>
        <v>25</v>
      </c>
      <c r="G116" s="9">
        <f xml:space="preserve"> WYNAJEM47[[#This Row],[energia]] + WYNAJEM47[[#This Row],[woda]]</f>
        <v>17.39</v>
      </c>
      <c r="I116" s="9"/>
    </row>
    <row r="117" spans="1:9" x14ac:dyDescent="0.25">
      <c r="A117" s="1">
        <v>41665</v>
      </c>
      <c r="B117" s="1">
        <v>41669</v>
      </c>
      <c r="C117" s="8">
        <v>13.82</v>
      </c>
      <c r="D117" s="8">
        <v>0.36</v>
      </c>
      <c r="E117">
        <v>4</v>
      </c>
      <c r="F117" s="10">
        <f>(WYNAJEM47[[#This Row],[data_wyjazdu]]-WYNAJEM47[[#This Row],[data_przyjazdu]])</f>
        <v>4</v>
      </c>
      <c r="G117" s="9">
        <f xml:space="preserve"> WYNAJEM47[[#This Row],[energia]] + WYNAJEM47[[#This Row],[woda]]</f>
        <v>14.18</v>
      </c>
      <c r="I117" s="9"/>
    </row>
    <row r="118" spans="1:9" x14ac:dyDescent="0.25">
      <c r="A118" s="1">
        <v>41665</v>
      </c>
      <c r="B118" s="1">
        <v>41689</v>
      </c>
      <c r="C118" s="8">
        <v>9.4600000000000009</v>
      </c>
      <c r="D118" s="8">
        <v>0.25</v>
      </c>
      <c r="E118">
        <v>6</v>
      </c>
      <c r="F118" s="10">
        <f>(WYNAJEM47[[#This Row],[data_wyjazdu]]-WYNAJEM47[[#This Row],[data_przyjazdu]])</f>
        <v>24</v>
      </c>
      <c r="G118" s="9">
        <f xml:space="preserve"> WYNAJEM47[[#This Row],[energia]] + WYNAJEM47[[#This Row],[woda]]</f>
        <v>9.7100000000000009</v>
      </c>
      <c r="I118" s="9"/>
    </row>
    <row r="119" spans="1:9" x14ac:dyDescent="0.25">
      <c r="A119" s="1">
        <v>41665</v>
      </c>
      <c r="B119" s="1">
        <v>41684</v>
      </c>
      <c r="C119" s="8">
        <v>8.89</v>
      </c>
      <c r="D119" s="8">
        <v>0.23</v>
      </c>
      <c r="E119">
        <v>6</v>
      </c>
      <c r="F119" s="10">
        <f>(WYNAJEM47[[#This Row],[data_wyjazdu]]-WYNAJEM47[[#This Row],[data_przyjazdu]])</f>
        <v>19</v>
      </c>
      <c r="G119" s="9">
        <f xml:space="preserve"> WYNAJEM47[[#This Row],[energia]] + WYNAJEM47[[#This Row],[woda]]</f>
        <v>9.120000000000001</v>
      </c>
      <c r="I119" s="9"/>
    </row>
    <row r="120" spans="1:9" x14ac:dyDescent="0.25">
      <c r="A120" s="1">
        <v>41665</v>
      </c>
      <c r="B120" s="1">
        <v>41673</v>
      </c>
      <c r="C120" s="8">
        <v>5.57</v>
      </c>
      <c r="D120" s="8">
        <v>0.15</v>
      </c>
      <c r="E120">
        <v>4</v>
      </c>
      <c r="F120" s="10">
        <f>(WYNAJEM47[[#This Row],[data_wyjazdu]]-WYNAJEM47[[#This Row],[data_przyjazdu]])</f>
        <v>8</v>
      </c>
      <c r="G120" s="9">
        <f xml:space="preserve"> WYNAJEM47[[#This Row],[energia]] + WYNAJEM47[[#This Row],[woda]]</f>
        <v>5.7200000000000006</v>
      </c>
      <c r="I120" s="9"/>
    </row>
    <row r="121" spans="1:9" x14ac:dyDescent="0.25">
      <c r="A121" s="1">
        <v>41665</v>
      </c>
      <c r="B121" s="1">
        <v>41669</v>
      </c>
      <c r="C121" s="8">
        <v>7.35</v>
      </c>
      <c r="D121" s="8">
        <v>0.19</v>
      </c>
      <c r="E121">
        <v>2</v>
      </c>
      <c r="F121" s="10">
        <f>(WYNAJEM47[[#This Row],[data_wyjazdu]]-WYNAJEM47[[#This Row],[data_przyjazdu]])</f>
        <v>4</v>
      </c>
      <c r="G121" s="9">
        <f xml:space="preserve"> WYNAJEM47[[#This Row],[energia]] + WYNAJEM47[[#This Row],[woda]]</f>
        <v>7.54</v>
      </c>
      <c r="I121" s="9"/>
    </row>
    <row r="122" spans="1:9" x14ac:dyDescent="0.25">
      <c r="A122" s="1">
        <v>41665</v>
      </c>
      <c r="B122" s="1">
        <v>41681</v>
      </c>
      <c r="C122" s="8">
        <v>12.23</v>
      </c>
      <c r="D122" s="8">
        <v>0.32</v>
      </c>
      <c r="E122">
        <v>4</v>
      </c>
      <c r="F122" s="10">
        <f>(WYNAJEM47[[#This Row],[data_wyjazdu]]-WYNAJEM47[[#This Row],[data_przyjazdu]])</f>
        <v>16</v>
      </c>
      <c r="G122" s="9">
        <f xml:space="preserve"> WYNAJEM47[[#This Row],[energia]] + WYNAJEM47[[#This Row],[woda]]</f>
        <v>12.55</v>
      </c>
      <c r="I122" s="9"/>
    </row>
    <row r="123" spans="1:9" x14ac:dyDescent="0.25">
      <c r="A123" s="1">
        <v>41665</v>
      </c>
      <c r="B123" s="1">
        <v>41690</v>
      </c>
      <c r="C123" s="8">
        <v>5.23</v>
      </c>
      <c r="D123" s="8">
        <v>0.14000000000000001</v>
      </c>
      <c r="E123">
        <v>6</v>
      </c>
      <c r="F123" s="10">
        <f>(WYNAJEM47[[#This Row],[data_wyjazdu]]-WYNAJEM47[[#This Row],[data_przyjazdu]])</f>
        <v>25</v>
      </c>
      <c r="G123" s="9">
        <f xml:space="preserve"> WYNAJEM47[[#This Row],[energia]] + WYNAJEM47[[#This Row],[woda]]</f>
        <v>5.37</v>
      </c>
      <c r="I123" s="9"/>
    </row>
    <row r="124" spans="1:9" x14ac:dyDescent="0.25">
      <c r="A124" s="1">
        <v>41666</v>
      </c>
      <c r="B124" s="1">
        <v>41682</v>
      </c>
      <c r="C124" s="8">
        <v>6.43</v>
      </c>
      <c r="D124" s="8">
        <v>0.17</v>
      </c>
      <c r="E124">
        <v>4</v>
      </c>
      <c r="F124" s="10">
        <f>(WYNAJEM47[[#This Row],[data_wyjazdu]]-WYNAJEM47[[#This Row],[data_przyjazdu]])</f>
        <v>16</v>
      </c>
      <c r="G124" s="9">
        <f xml:space="preserve"> WYNAJEM47[[#This Row],[energia]] + WYNAJEM47[[#This Row],[woda]]</f>
        <v>6.6</v>
      </c>
      <c r="I124" s="9"/>
    </row>
    <row r="125" spans="1:9" x14ac:dyDescent="0.25">
      <c r="A125" s="1">
        <v>41666</v>
      </c>
      <c r="B125" s="1">
        <v>41668</v>
      </c>
      <c r="C125" s="8">
        <v>11.44</v>
      </c>
      <c r="D125" s="8">
        <v>0.3</v>
      </c>
      <c r="E125">
        <v>5</v>
      </c>
      <c r="F125" s="10">
        <f>(WYNAJEM47[[#This Row],[data_wyjazdu]]-WYNAJEM47[[#This Row],[data_przyjazdu]])</f>
        <v>2</v>
      </c>
      <c r="G125" s="9">
        <f xml:space="preserve"> WYNAJEM47[[#This Row],[energia]] + WYNAJEM47[[#This Row],[woda]]</f>
        <v>11.74</v>
      </c>
      <c r="I125" s="9"/>
    </row>
    <row r="126" spans="1:9" x14ac:dyDescent="0.25">
      <c r="A126" s="1">
        <v>41666</v>
      </c>
      <c r="B126" s="1">
        <v>41673</v>
      </c>
      <c r="C126" s="8">
        <v>8.7200000000000006</v>
      </c>
      <c r="D126" s="8">
        <v>0.23</v>
      </c>
      <c r="E126">
        <v>5</v>
      </c>
      <c r="F126" s="10">
        <f>(WYNAJEM47[[#This Row],[data_wyjazdu]]-WYNAJEM47[[#This Row],[data_przyjazdu]])</f>
        <v>7</v>
      </c>
      <c r="G126" s="9">
        <f xml:space="preserve"> WYNAJEM47[[#This Row],[energia]] + WYNAJEM47[[#This Row],[woda]]</f>
        <v>8.9500000000000011</v>
      </c>
      <c r="I126" s="9"/>
    </row>
    <row r="127" spans="1:9" x14ac:dyDescent="0.25">
      <c r="A127" s="1">
        <v>41666</v>
      </c>
      <c r="B127" s="1">
        <v>41685</v>
      </c>
      <c r="C127" s="8">
        <v>10.199999999999999</v>
      </c>
      <c r="D127" s="8">
        <v>0.27</v>
      </c>
      <c r="E127">
        <v>4</v>
      </c>
      <c r="F127" s="10">
        <f>(WYNAJEM47[[#This Row],[data_wyjazdu]]-WYNAJEM47[[#This Row],[data_przyjazdu]])</f>
        <v>19</v>
      </c>
      <c r="G127" s="9">
        <f xml:space="preserve"> WYNAJEM47[[#This Row],[energia]] + WYNAJEM47[[#This Row],[woda]]</f>
        <v>10.469999999999999</v>
      </c>
      <c r="I127" s="9"/>
    </row>
    <row r="128" spans="1:9" x14ac:dyDescent="0.25">
      <c r="A128" s="1">
        <v>41666</v>
      </c>
      <c r="B128" s="1">
        <v>41668</v>
      </c>
      <c r="C128" s="8">
        <v>10.199999999999999</v>
      </c>
      <c r="D128" s="8">
        <v>0.27</v>
      </c>
      <c r="E128">
        <v>2</v>
      </c>
      <c r="F128" s="10">
        <f>(WYNAJEM47[[#This Row],[data_wyjazdu]]-WYNAJEM47[[#This Row],[data_przyjazdu]])</f>
        <v>2</v>
      </c>
      <c r="G128" s="9">
        <f xml:space="preserve"> WYNAJEM47[[#This Row],[energia]] + WYNAJEM47[[#This Row],[woda]]</f>
        <v>10.469999999999999</v>
      </c>
      <c r="I128" s="9"/>
    </row>
    <row r="129" spans="1:9" x14ac:dyDescent="0.25">
      <c r="A129" s="1">
        <v>41667</v>
      </c>
      <c r="B129" s="1">
        <v>41693</v>
      </c>
      <c r="C129" s="8">
        <v>4.66</v>
      </c>
      <c r="D129" s="8">
        <v>0.12</v>
      </c>
      <c r="E129">
        <v>3</v>
      </c>
      <c r="F129" s="10">
        <f>(WYNAJEM47[[#This Row],[data_wyjazdu]]-WYNAJEM47[[#This Row],[data_przyjazdu]])</f>
        <v>26</v>
      </c>
      <c r="G129" s="9">
        <f xml:space="preserve"> WYNAJEM47[[#This Row],[energia]] + WYNAJEM47[[#This Row],[woda]]</f>
        <v>4.78</v>
      </c>
      <c r="I129" s="9"/>
    </row>
    <row r="130" spans="1:9" x14ac:dyDescent="0.25">
      <c r="A130" s="1">
        <v>41667</v>
      </c>
      <c r="B130" s="1">
        <v>41675</v>
      </c>
      <c r="C130" s="8">
        <v>11.69</v>
      </c>
      <c r="D130" s="8">
        <v>0.31</v>
      </c>
      <c r="E130">
        <v>6</v>
      </c>
      <c r="F130" s="10">
        <f>(WYNAJEM47[[#This Row],[data_wyjazdu]]-WYNAJEM47[[#This Row],[data_przyjazdu]])</f>
        <v>8</v>
      </c>
      <c r="G130" s="9">
        <f xml:space="preserve"> WYNAJEM47[[#This Row],[energia]] + WYNAJEM47[[#This Row],[woda]]</f>
        <v>12</v>
      </c>
      <c r="I130" s="9"/>
    </row>
    <row r="131" spans="1:9" x14ac:dyDescent="0.25">
      <c r="A131" s="1">
        <v>41667</v>
      </c>
      <c r="B131" s="1">
        <v>41673</v>
      </c>
      <c r="C131" s="8">
        <v>6.88</v>
      </c>
      <c r="D131" s="8">
        <v>0.18</v>
      </c>
      <c r="E131">
        <v>3</v>
      </c>
      <c r="F131" s="10">
        <f>(WYNAJEM47[[#This Row],[data_wyjazdu]]-WYNAJEM47[[#This Row],[data_przyjazdu]])</f>
        <v>6</v>
      </c>
      <c r="G131" s="9">
        <f xml:space="preserve"> WYNAJEM47[[#This Row],[energia]] + WYNAJEM47[[#This Row],[woda]]</f>
        <v>7.06</v>
      </c>
      <c r="I131" s="9"/>
    </row>
    <row r="132" spans="1:9" x14ac:dyDescent="0.25">
      <c r="A132" s="1">
        <v>41672</v>
      </c>
      <c r="B132" s="1">
        <v>41683</v>
      </c>
      <c r="C132" s="8">
        <v>9.74</v>
      </c>
      <c r="D132" s="8">
        <v>0.26</v>
      </c>
      <c r="E132">
        <v>2</v>
      </c>
      <c r="F132" s="10">
        <f>(WYNAJEM47[[#This Row],[data_wyjazdu]]-WYNAJEM47[[#This Row],[data_przyjazdu]])</f>
        <v>11</v>
      </c>
      <c r="G132" s="9">
        <f xml:space="preserve"> WYNAJEM47[[#This Row],[energia]] + WYNAJEM47[[#This Row],[woda]]</f>
        <v>10</v>
      </c>
      <c r="I132" s="9"/>
    </row>
    <row r="133" spans="1:9" x14ac:dyDescent="0.25">
      <c r="A133" s="1">
        <v>41672</v>
      </c>
      <c r="B133" s="1">
        <v>41681</v>
      </c>
      <c r="C133" s="8">
        <v>9.06</v>
      </c>
      <c r="D133" s="8">
        <v>0.24</v>
      </c>
      <c r="E133">
        <v>2</v>
      </c>
      <c r="F133" s="10">
        <f>(WYNAJEM47[[#This Row],[data_wyjazdu]]-WYNAJEM47[[#This Row],[data_przyjazdu]])</f>
        <v>9</v>
      </c>
      <c r="G133" s="9">
        <f xml:space="preserve"> WYNAJEM47[[#This Row],[energia]] + WYNAJEM47[[#This Row],[woda]]</f>
        <v>9.3000000000000007</v>
      </c>
      <c r="I133" s="9"/>
    </row>
    <row r="134" spans="1:9" x14ac:dyDescent="0.25">
      <c r="A134" s="1">
        <v>41672</v>
      </c>
      <c r="B134" s="1">
        <v>41694</v>
      </c>
      <c r="C134" s="8">
        <v>14</v>
      </c>
      <c r="D134" s="8">
        <v>0.37</v>
      </c>
      <c r="E134">
        <v>2</v>
      </c>
      <c r="F134" s="10">
        <f>(WYNAJEM47[[#This Row],[data_wyjazdu]]-WYNAJEM47[[#This Row],[data_przyjazdu]])</f>
        <v>22</v>
      </c>
      <c r="G134" s="9">
        <f xml:space="preserve"> WYNAJEM47[[#This Row],[energia]] + WYNAJEM47[[#This Row],[woda]]</f>
        <v>14.37</v>
      </c>
      <c r="I134" s="9"/>
    </row>
    <row r="135" spans="1:9" x14ac:dyDescent="0.25">
      <c r="A135" s="1">
        <v>41673</v>
      </c>
      <c r="B135" s="1">
        <v>41697</v>
      </c>
      <c r="C135" s="8">
        <v>10.59</v>
      </c>
      <c r="D135" s="8">
        <v>0.28000000000000003</v>
      </c>
      <c r="E135">
        <v>3</v>
      </c>
      <c r="F135" s="10">
        <f>(WYNAJEM47[[#This Row],[data_wyjazdu]]-WYNAJEM47[[#This Row],[data_przyjazdu]])</f>
        <v>24</v>
      </c>
      <c r="G135" s="9">
        <f xml:space="preserve"> WYNAJEM47[[#This Row],[energia]] + WYNAJEM47[[#This Row],[woda]]</f>
        <v>10.87</v>
      </c>
      <c r="I135" s="9"/>
    </row>
    <row r="136" spans="1:9" x14ac:dyDescent="0.25">
      <c r="A136" s="1">
        <v>41673</v>
      </c>
      <c r="B136" s="1">
        <v>41676</v>
      </c>
      <c r="C136" s="8">
        <v>3.94</v>
      </c>
      <c r="D136" s="8">
        <v>0.1</v>
      </c>
      <c r="E136">
        <v>6</v>
      </c>
      <c r="F136" s="10">
        <f>(WYNAJEM47[[#This Row],[data_wyjazdu]]-WYNAJEM47[[#This Row],[data_przyjazdu]])</f>
        <v>3</v>
      </c>
      <c r="G136" s="9">
        <f xml:space="preserve"> WYNAJEM47[[#This Row],[energia]] + WYNAJEM47[[#This Row],[woda]]</f>
        <v>4.04</v>
      </c>
      <c r="I136" s="9"/>
    </row>
    <row r="137" spans="1:9" x14ac:dyDescent="0.25">
      <c r="A137" s="1">
        <v>41673</v>
      </c>
      <c r="B137" s="1">
        <v>41690</v>
      </c>
      <c r="C137" s="8">
        <v>4.66</v>
      </c>
      <c r="D137" s="8">
        <v>0.12</v>
      </c>
      <c r="E137">
        <v>3</v>
      </c>
      <c r="F137" s="10">
        <f>(WYNAJEM47[[#This Row],[data_wyjazdu]]-WYNAJEM47[[#This Row],[data_przyjazdu]])</f>
        <v>17</v>
      </c>
      <c r="G137" s="9">
        <f xml:space="preserve"> WYNAJEM47[[#This Row],[energia]] + WYNAJEM47[[#This Row],[woda]]</f>
        <v>4.78</v>
      </c>
      <c r="I137" s="9"/>
    </row>
    <row r="138" spans="1:9" x14ac:dyDescent="0.25">
      <c r="A138" s="1">
        <v>41673</v>
      </c>
      <c r="B138" s="1">
        <v>41701</v>
      </c>
      <c r="C138" s="8">
        <v>10.199999999999999</v>
      </c>
      <c r="D138" s="8">
        <v>0.27</v>
      </c>
      <c r="E138">
        <v>6</v>
      </c>
      <c r="F138" s="10">
        <f>(WYNAJEM47[[#This Row],[data_wyjazdu]]-WYNAJEM47[[#This Row],[data_przyjazdu]])</f>
        <v>28</v>
      </c>
      <c r="G138" s="9">
        <f xml:space="preserve"> WYNAJEM47[[#This Row],[energia]] + WYNAJEM47[[#This Row],[woda]]</f>
        <v>10.469999999999999</v>
      </c>
      <c r="I138" s="9"/>
    </row>
    <row r="139" spans="1:9" x14ac:dyDescent="0.25">
      <c r="A139" s="1">
        <v>41677</v>
      </c>
      <c r="B139" s="1">
        <v>41682</v>
      </c>
      <c r="C139" s="8">
        <v>12.23</v>
      </c>
      <c r="D139" s="8">
        <v>0.32</v>
      </c>
      <c r="E139">
        <v>5</v>
      </c>
      <c r="F139" s="10">
        <f>(WYNAJEM47[[#This Row],[data_wyjazdu]]-WYNAJEM47[[#This Row],[data_przyjazdu]])</f>
        <v>5</v>
      </c>
      <c r="G139" s="9">
        <f xml:space="preserve"> WYNAJEM47[[#This Row],[energia]] + WYNAJEM47[[#This Row],[woda]]</f>
        <v>12.55</v>
      </c>
      <c r="I139" s="9"/>
    </row>
    <row r="140" spans="1:9" x14ac:dyDescent="0.25">
      <c r="A140" s="1">
        <v>41677</v>
      </c>
      <c r="B140" s="1">
        <v>41698</v>
      </c>
      <c r="C140" s="8">
        <v>10.19</v>
      </c>
      <c r="D140" s="8">
        <v>0.27</v>
      </c>
      <c r="E140">
        <v>3</v>
      </c>
      <c r="F140" s="10">
        <f>(WYNAJEM47[[#This Row],[data_wyjazdu]]-WYNAJEM47[[#This Row],[data_przyjazdu]])</f>
        <v>21</v>
      </c>
      <c r="G140" s="9">
        <f xml:space="preserve"> WYNAJEM47[[#This Row],[energia]] + WYNAJEM47[[#This Row],[woda]]</f>
        <v>10.459999999999999</v>
      </c>
      <c r="I140" s="9"/>
    </row>
    <row r="141" spans="1:9" x14ac:dyDescent="0.25">
      <c r="A141" s="1">
        <v>41677</v>
      </c>
      <c r="B141" s="1">
        <v>41701</v>
      </c>
      <c r="C141" s="8">
        <v>12.01</v>
      </c>
      <c r="D141" s="8">
        <v>0.32</v>
      </c>
      <c r="E141">
        <v>6</v>
      </c>
      <c r="F141" s="10">
        <f>(WYNAJEM47[[#This Row],[data_wyjazdu]]-WYNAJEM47[[#This Row],[data_przyjazdu]])</f>
        <v>24</v>
      </c>
      <c r="G141" s="9">
        <f xml:space="preserve"> WYNAJEM47[[#This Row],[energia]] + WYNAJEM47[[#This Row],[woda]]</f>
        <v>12.33</v>
      </c>
      <c r="I141" s="9"/>
    </row>
    <row r="142" spans="1:9" x14ac:dyDescent="0.25">
      <c r="A142" s="1">
        <v>41677</v>
      </c>
      <c r="B142" s="1">
        <v>41681</v>
      </c>
      <c r="C142" s="8">
        <v>11.44</v>
      </c>
      <c r="D142" s="8">
        <v>0.3</v>
      </c>
      <c r="E142">
        <v>3</v>
      </c>
      <c r="F142" s="10">
        <f>(WYNAJEM47[[#This Row],[data_wyjazdu]]-WYNAJEM47[[#This Row],[data_przyjazdu]])</f>
        <v>4</v>
      </c>
      <c r="G142" s="9">
        <f xml:space="preserve"> WYNAJEM47[[#This Row],[energia]] + WYNAJEM47[[#This Row],[woda]]</f>
        <v>11.74</v>
      </c>
      <c r="I142" s="9"/>
    </row>
    <row r="143" spans="1:9" x14ac:dyDescent="0.25">
      <c r="A143" s="1">
        <v>41677</v>
      </c>
      <c r="B143" s="1">
        <v>41700</v>
      </c>
      <c r="C143" s="8">
        <v>6.23</v>
      </c>
      <c r="D143" s="8">
        <v>0.16</v>
      </c>
      <c r="E143">
        <v>3</v>
      </c>
      <c r="F143" s="10">
        <f>(WYNAJEM47[[#This Row],[data_wyjazdu]]-WYNAJEM47[[#This Row],[data_przyjazdu]])</f>
        <v>23</v>
      </c>
      <c r="G143" s="9">
        <f xml:space="preserve"> WYNAJEM47[[#This Row],[energia]] + WYNAJEM47[[#This Row],[woda]]</f>
        <v>6.3900000000000006</v>
      </c>
      <c r="I143" s="9"/>
    </row>
    <row r="144" spans="1:9" x14ac:dyDescent="0.25">
      <c r="A144" s="1">
        <v>41677</v>
      </c>
      <c r="B144" s="1">
        <v>41686</v>
      </c>
      <c r="C144" s="8">
        <v>12.01</v>
      </c>
      <c r="D144" s="8">
        <v>0.32</v>
      </c>
      <c r="E144">
        <v>5</v>
      </c>
      <c r="F144" s="10">
        <f>(WYNAJEM47[[#This Row],[data_wyjazdu]]-WYNAJEM47[[#This Row],[data_przyjazdu]])</f>
        <v>9</v>
      </c>
      <c r="G144" s="9">
        <f xml:space="preserve"> WYNAJEM47[[#This Row],[energia]] + WYNAJEM47[[#This Row],[woda]]</f>
        <v>12.33</v>
      </c>
      <c r="I144" s="9"/>
    </row>
    <row r="145" spans="1:9" x14ac:dyDescent="0.25">
      <c r="A145" s="1">
        <v>41677</v>
      </c>
      <c r="B145" s="1">
        <v>41681</v>
      </c>
      <c r="C145" s="8">
        <v>12.23</v>
      </c>
      <c r="D145" s="8">
        <v>0.32</v>
      </c>
      <c r="E145">
        <v>5</v>
      </c>
      <c r="F145" s="10">
        <f>(WYNAJEM47[[#This Row],[data_wyjazdu]]-WYNAJEM47[[#This Row],[data_przyjazdu]])</f>
        <v>4</v>
      </c>
      <c r="G145" s="9">
        <f xml:space="preserve"> WYNAJEM47[[#This Row],[energia]] + WYNAJEM47[[#This Row],[woda]]</f>
        <v>12.55</v>
      </c>
      <c r="I145" s="9"/>
    </row>
    <row r="146" spans="1:9" x14ac:dyDescent="0.25">
      <c r="A146" s="1">
        <v>41677</v>
      </c>
      <c r="B146" s="1">
        <v>41695</v>
      </c>
      <c r="C146" s="8">
        <v>12.01</v>
      </c>
      <c r="D146" s="8">
        <v>0.32</v>
      </c>
      <c r="E146">
        <v>5</v>
      </c>
      <c r="F146" s="10">
        <f>(WYNAJEM47[[#This Row],[data_wyjazdu]]-WYNAJEM47[[#This Row],[data_przyjazdu]])</f>
        <v>18</v>
      </c>
      <c r="G146" s="9">
        <f xml:space="preserve"> WYNAJEM47[[#This Row],[energia]] + WYNAJEM47[[#This Row],[woda]]</f>
        <v>12.33</v>
      </c>
      <c r="I146" s="9"/>
    </row>
    <row r="147" spans="1:9" x14ac:dyDescent="0.25">
      <c r="A147" s="1">
        <v>41677</v>
      </c>
      <c r="B147" s="1">
        <v>41692</v>
      </c>
      <c r="C147" s="8">
        <v>5.67</v>
      </c>
      <c r="D147" s="8">
        <v>0.15</v>
      </c>
      <c r="E147">
        <v>4</v>
      </c>
      <c r="F147" s="10">
        <f>(WYNAJEM47[[#This Row],[data_wyjazdu]]-WYNAJEM47[[#This Row],[data_przyjazdu]])</f>
        <v>15</v>
      </c>
      <c r="G147" s="9">
        <f xml:space="preserve"> WYNAJEM47[[#This Row],[energia]] + WYNAJEM47[[#This Row],[woda]]</f>
        <v>5.82</v>
      </c>
      <c r="I147" s="9"/>
    </row>
    <row r="148" spans="1:9" x14ac:dyDescent="0.25">
      <c r="A148" s="1">
        <v>41677</v>
      </c>
      <c r="B148" s="1">
        <v>41702</v>
      </c>
      <c r="C148" s="8">
        <v>6.88</v>
      </c>
      <c r="D148" s="8">
        <v>0.18</v>
      </c>
      <c r="E148">
        <v>5</v>
      </c>
      <c r="F148" s="10">
        <f>(WYNAJEM47[[#This Row],[data_wyjazdu]]-WYNAJEM47[[#This Row],[data_przyjazdu]])</f>
        <v>25</v>
      </c>
      <c r="G148" s="9">
        <f xml:space="preserve"> WYNAJEM47[[#This Row],[energia]] + WYNAJEM47[[#This Row],[woda]]</f>
        <v>7.06</v>
      </c>
      <c r="I148" s="9"/>
    </row>
    <row r="149" spans="1:9" x14ac:dyDescent="0.25">
      <c r="A149" s="1">
        <v>41677</v>
      </c>
      <c r="B149" s="1">
        <v>41705</v>
      </c>
      <c r="C149" s="8">
        <v>2.72</v>
      </c>
      <c r="D149" s="8">
        <v>7.0000000000000007E-2</v>
      </c>
      <c r="E149">
        <v>6</v>
      </c>
      <c r="F149" s="10">
        <f>(WYNAJEM47[[#This Row],[data_wyjazdu]]-WYNAJEM47[[#This Row],[data_przyjazdu]])</f>
        <v>28</v>
      </c>
      <c r="G149" s="9">
        <f xml:space="preserve"> WYNAJEM47[[#This Row],[energia]] + WYNAJEM47[[#This Row],[woda]]</f>
        <v>2.79</v>
      </c>
      <c r="I149" s="9"/>
    </row>
    <row r="150" spans="1:9" x14ac:dyDescent="0.25">
      <c r="A150" s="1">
        <v>41677</v>
      </c>
      <c r="B150" s="1">
        <v>41686</v>
      </c>
      <c r="C150" s="8">
        <v>9.74</v>
      </c>
      <c r="D150" s="8">
        <v>0.26</v>
      </c>
      <c r="E150">
        <v>6</v>
      </c>
      <c r="F150" s="10">
        <f>(WYNAJEM47[[#This Row],[data_wyjazdu]]-WYNAJEM47[[#This Row],[data_przyjazdu]])</f>
        <v>9</v>
      </c>
      <c r="G150" s="9">
        <f xml:space="preserve"> WYNAJEM47[[#This Row],[energia]] + WYNAJEM47[[#This Row],[woda]]</f>
        <v>10</v>
      </c>
      <c r="I150" s="9"/>
    </row>
    <row r="151" spans="1:9" x14ac:dyDescent="0.25">
      <c r="A151" s="1">
        <v>41677</v>
      </c>
      <c r="B151" s="1">
        <v>41691</v>
      </c>
      <c r="C151" s="8">
        <v>7.31</v>
      </c>
      <c r="D151" s="8">
        <v>0.19</v>
      </c>
      <c r="E151">
        <v>3</v>
      </c>
      <c r="F151" s="10">
        <f>(WYNAJEM47[[#This Row],[data_wyjazdu]]-WYNAJEM47[[#This Row],[data_przyjazdu]])</f>
        <v>14</v>
      </c>
      <c r="G151" s="9">
        <f xml:space="preserve"> WYNAJEM47[[#This Row],[energia]] + WYNAJEM47[[#This Row],[woda]]</f>
        <v>7.5</v>
      </c>
      <c r="I151" s="9"/>
    </row>
    <row r="152" spans="1:9" x14ac:dyDescent="0.25">
      <c r="A152" s="1">
        <v>41677</v>
      </c>
      <c r="B152" s="1">
        <v>41704</v>
      </c>
      <c r="C152" s="8">
        <v>8.84</v>
      </c>
      <c r="D152" s="8">
        <v>0.23</v>
      </c>
      <c r="E152">
        <v>6</v>
      </c>
      <c r="F152" s="10">
        <f>(WYNAJEM47[[#This Row],[data_wyjazdu]]-WYNAJEM47[[#This Row],[data_przyjazdu]])</f>
        <v>27</v>
      </c>
      <c r="G152" s="9">
        <f xml:space="preserve"> WYNAJEM47[[#This Row],[energia]] + WYNAJEM47[[#This Row],[woda]]</f>
        <v>9.07</v>
      </c>
      <c r="I152" s="9"/>
    </row>
    <row r="153" spans="1:9" x14ac:dyDescent="0.25">
      <c r="A153" s="1">
        <v>41677</v>
      </c>
      <c r="B153" s="1">
        <v>41690</v>
      </c>
      <c r="C153" s="8">
        <v>13.07</v>
      </c>
      <c r="D153" s="8">
        <v>0.34</v>
      </c>
      <c r="E153">
        <v>2</v>
      </c>
      <c r="F153" s="10">
        <f>(WYNAJEM47[[#This Row],[data_wyjazdu]]-WYNAJEM47[[#This Row],[data_przyjazdu]])</f>
        <v>13</v>
      </c>
      <c r="G153" s="9">
        <f xml:space="preserve"> WYNAJEM47[[#This Row],[energia]] + WYNAJEM47[[#This Row],[woda]]</f>
        <v>13.41</v>
      </c>
      <c r="I153" s="9"/>
    </row>
    <row r="154" spans="1:9" x14ac:dyDescent="0.25">
      <c r="A154" s="1">
        <v>41677</v>
      </c>
      <c r="B154" s="1">
        <v>41690</v>
      </c>
      <c r="C154" s="8">
        <v>11.42</v>
      </c>
      <c r="D154" s="8">
        <v>0.3</v>
      </c>
      <c r="E154">
        <v>6</v>
      </c>
      <c r="F154" s="10">
        <f>(WYNAJEM47[[#This Row],[data_wyjazdu]]-WYNAJEM47[[#This Row],[data_przyjazdu]])</f>
        <v>13</v>
      </c>
      <c r="G154" s="9">
        <f xml:space="preserve"> WYNAJEM47[[#This Row],[energia]] + WYNAJEM47[[#This Row],[woda]]</f>
        <v>11.72</v>
      </c>
      <c r="I154" s="9"/>
    </row>
    <row r="155" spans="1:9" x14ac:dyDescent="0.25">
      <c r="A155" s="1">
        <v>41677</v>
      </c>
      <c r="B155" s="1">
        <v>41704</v>
      </c>
      <c r="C155" s="8">
        <v>3.79</v>
      </c>
      <c r="D155" s="8">
        <v>0.1</v>
      </c>
      <c r="E155">
        <v>3</v>
      </c>
      <c r="F155" s="10">
        <f>(WYNAJEM47[[#This Row],[data_wyjazdu]]-WYNAJEM47[[#This Row],[data_przyjazdu]])</f>
        <v>27</v>
      </c>
      <c r="G155" s="9">
        <f xml:space="preserve"> WYNAJEM47[[#This Row],[energia]] + WYNAJEM47[[#This Row],[woda]]</f>
        <v>3.89</v>
      </c>
      <c r="I155" s="9"/>
    </row>
    <row r="156" spans="1:9" x14ac:dyDescent="0.25">
      <c r="A156" s="1">
        <v>41677</v>
      </c>
      <c r="B156" s="1">
        <v>41682</v>
      </c>
      <c r="C156" s="8">
        <v>11.42</v>
      </c>
      <c r="D156" s="8">
        <v>0.3</v>
      </c>
      <c r="E156">
        <v>6</v>
      </c>
      <c r="F156" s="10">
        <f>(WYNAJEM47[[#This Row],[data_wyjazdu]]-WYNAJEM47[[#This Row],[data_przyjazdu]])</f>
        <v>5</v>
      </c>
      <c r="G156" s="9">
        <f xml:space="preserve"> WYNAJEM47[[#This Row],[energia]] + WYNAJEM47[[#This Row],[woda]]</f>
        <v>11.72</v>
      </c>
      <c r="I156" s="9"/>
    </row>
    <row r="157" spans="1:9" x14ac:dyDescent="0.25">
      <c r="A157" s="1">
        <v>41677</v>
      </c>
      <c r="B157" s="1">
        <v>41680</v>
      </c>
      <c r="C157" s="8">
        <v>8.83</v>
      </c>
      <c r="D157" s="8">
        <v>0.23</v>
      </c>
      <c r="E157">
        <v>4</v>
      </c>
      <c r="F157" s="10">
        <f>(WYNAJEM47[[#This Row],[data_wyjazdu]]-WYNAJEM47[[#This Row],[data_przyjazdu]])</f>
        <v>3</v>
      </c>
      <c r="G157" s="9">
        <f xml:space="preserve"> WYNAJEM47[[#This Row],[energia]] + WYNAJEM47[[#This Row],[woda]]</f>
        <v>9.06</v>
      </c>
      <c r="I157" s="9"/>
    </row>
    <row r="158" spans="1:9" x14ac:dyDescent="0.25">
      <c r="A158" s="1">
        <v>41677</v>
      </c>
      <c r="B158" s="1">
        <v>41690</v>
      </c>
      <c r="C158" s="8">
        <v>8.51</v>
      </c>
      <c r="D158" s="8">
        <v>0.22</v>
      </c>
      <c r="E158">
        <v>5</v>
      </c>
      <c r="F158" s="10">
        <f>(WYNAJEM47[[#This Row],[data_wyjazdu]]-WYNAJEM47[[#This Row],[data_przyjazdu]])</f>
        <v>13</v>
      </c>
      <c r="G158" s="9">
        <f xml:space="preserve"> WYNAJEM47[[#This Row],[energia]] + WYNAJEM47[[#This Row],[woda]]</f>
        <v>8.73</v>
      </c>
      <c r="I158" s="9"/>
    </row>
    <row r="159" spans="1:9" x14ac:dyDescent="0.25">
      <c r="A159" s="1">
        <v>41677</v>
      </c>
      <c r="B159" s="1">
        <v>41694</v>
      </c>
      <c r="C159" s="8">
        <v>7.3</v>
      </c>
      <c r="D159" s="8">
        <v>0.19</v>
      </c>
      <c r="E159">
        <v>5</v>
      </c>
      <c r="F159" s="10">
        <f>(WYNAJEM47[[#This Row],[data_wyjazdu]]-WYNAJEM47[[#This Row],[data_przyjazdu]])</f>
        <v>17</v>
      </c>
      <c r="G159" s="9">
        <f xml:space="preserve"> WYNAJEM47[[#This Row],[energia]] + WYNAJEM47[[#This Row],[woda]]</f>
        <v>7.49</v>
      </c>
      <c r="I159" s="9"/>
    </row>
    <row r="160" spans="1:9" x14ac:dyDescent="0.25">
      <c r="A160" s="1">
        <v>41680</v>
      </c>
      <c r="B160" s="1">
        <v>41692</v>
      </c>
      <c r="C160" s="8">
        <v>5.67</v>
      </c>
      <c r="D160" s="8">
        <v>0.15</v>
      </c>
      <c r="E160">
        <v>4</v>
      </c>
      <c r="F160" s="10">
        <f>(WYNAJEM47[[#This Row],[data_wyjazdu]]-WYNAJEM47[[#This Row],[data_przyjazdu]])</f>
        <v>12</v>
      </c>
      <c r="G160" s="9">
        <f xml:space="preserve"> WYNAJEM47[[#This Row],[energia]] + WYNAJEM47[[#This Row],[woda]]</f>
        <v>5.82</v>
      </c>
      <c r="I160" s="9"/>
    </row>
    <row r="161" spans="1:9" x14ac:dyDescent="0.25">
      <c r="A161" s="1">
        <v>41680</v>
      </c>
      <c r="B161" s="1">
        <v>41690</v>
      </c>
      <c r="C161" s="8">
        <v>6.58</v>
      </c>
      <c r="D161" s="8">
        <v>0.17</v>
      </c>
      <c r="E161">
        <v>3</v>
      </c>
      <c r="F161" s="10">
        <f>(WYNAJEM47[[#This Row],[data_wyjazdu]]-WYNAJEM47[[#This Row],[data_przyjazdu]])</f>
        <v>10</v>
      </c>
      <c r="G161" s="9">
        <f xml:space="preserve"> WYNAJEM47[[#This Row],[energia]] + WYNAJEM47[[#This Row],[woda]]</f>
        <v>6.75</v>
      </c>
      <c r="I161" s="9"/>
    </row>
    <row r="162" spans="1:9" x14ac:dyDescent="0.25">
      <c r="A162" s="1">
        <v>41680</v>
      </c>
      <c r="B162" s="1">
        <v>41699</v>
      </c>
      <c r="C162" s="8">
        <v>4.25</v>
      </c>
      <c r="D162" s="8">
        <v>0.11</v>
      </c>
      <c r="E162">
        <v>3</v>
      </c>
      <c r="F162" s="10">
        <f>(WYNAJEM47[[#This Row],[data_wyjazdu]]-WYNAJEM47[[#This Row],[data_przyjazdu]])</f>
        <v>19</v>
      </c>
      <c r="G162" s="9">
        <f xml:space="preserve"> WYNAJEM47[[#This Row],[energia]] + WYNAJEM47[[#This Row],[woda]]</f>
        <v>4.3600000000000003</v>
      </c>
      <c r="I162" s="9"/>
    </row>
    <row r="163" spans="1:9" x14ac:dyDescent="0.25">
      <c r="A163" s="1">
        <v>41682</v>
      </c>
      <c r="B163" s="1">
        <v>41694</v>
      </c>
      <c r="C163" s="8">
        <v>6.58</v>
      </c>
      <c r="D163" s="8">
        <v>0.17</v>
      </c>
      <c r="E163">
        <v>6</v>
      </c>
      <c r="F163" s="10">
        <f>(WYNAJEM47[[#This Row],[data_wyjazdu]]-WYNAJEM47[[#This Row],[data_przyjazdu]])</f>
        <v>12</v>
      </c>
      <c r="G163" s="9">
        <f xml:space="preserve"> WYNAJEM47[[#This Row],[energia]] + WYNAJEM47[[#This Row],[woda]]</f>
        <v>6.75</v>
      </c>
      <c r="I163" s="9"/>
    </row>
    <row r="164" spans="1:9" x14ac:dyDescent="0.25">
      <c r="A164" s="1">
        <v>41684</v>
      </c>
      <c r="B164" s="1">
        <v>41704</v>
      </c>
      <c r="C164" s="8">
        <v>5.78</v>
      </c>
      <c r="D164" s="8">
        <v>0.15</v>
      </c>
      <c r="E164">
        <v>2</v>
      </c>
      <c r="F164" s="10">
        <f>(WYNAJEM47[[#This Row],[data_wyjazdu]]-WYNAJEM47[[#This Row],[data_przyjazdu]])</f>
        <v>20</v>
      </c>
      <c r="G164" s="9">
        <f xml:space="preserve"> WYNAJEM47[[#This Row],[energia]] + WYNAJEM47[[#This Row],[woda]]</f>
        <v>5.9300000000000006</v>
      </c>
      <c r="I164" s="9"/>
    </row>
    <row r="165" spans="1:9" x14ac:dyDescent="0.25">
      <c r="A165" s="1">
        <v>41684</v>
      </c>
      <c r="B165" s="1">
        <v>41693</v>
      </c>
      <c r="C165" s="8">
        <v>10.199999999999999</v>
      </c>
      <c r="D165" s="8">
        <v>0.27</v>
      </c>
      <c r="E165">
        <v>5</v>
      </c>
      <c r="F165" s="10">
        <f>(WYNAJEM47[[#This Row],[data_wyjazdu]]-WYNAJEM47[[#This Row],[data_przyjazdu]])</f>
        <v>9</v>
      </c>
      <c r="G165" s="9">
        <f xml:space="preserve"> WYNAJEM47[[#This Row],[energia]] + WYNAJEM47[[#This Row],[woda]]</f>
        <v>10.469999999999999</v>
      </c>
      <c r="I165" s="9"/>
    </row>
    <row r="166" spans="1:9" x14ac:dyDescent="0.25">
      <c r="A166" s="1">
        <v>41684</v>
      </c>
      <c r="B166" s="1">
        <v>41692</v>
      </c>
      <c r="C166" s="8">
        <v>2.72</v>
      </c>
      <c r="D166" s="8">
        <v>7.0000000000000007E-2</v>
      </c>
      <c r="E166">
        <v>6</v>
      </c>
      <c r="F166" s="10">
        <f>(WYNAJEM47[[#This Row],[data_wyjazdu]]-WYNAJEM47[[#This Row],[data_przyjazdu]])</f>
        <v>8</v>
      </c>
      <c r="G166" s="9">
        <f xml:space="preserve"> WYNAJEM47[[#This Row],[energia]] + WYNAJEM47[[#This Row],[woda]]</f>
        <v>2.79</v>
      </c>
      <c r="I166" s="9"/>
    </row>
    <row r="167" spans="1:9" x14ac:dyDescent="0.25">
      <c r="A167" s="1">
        <v>41684</v>
      </c>
      <c r="B167" s="1">
        <v>41707</v>
      </c>
      <c r="C167" s="8">
        <v>11.44</v>
      </c>
      <c r="D167" s="8">
        <v>0.3</v>
      </c>
      <c r="E167">
        <v>6</v>
      </c>
      <c r="F167" s="10">
        <f>(WYNAJEM47[[#This Row],[data_wyjazdu]]-WYNAJEM47[[#This Row],[data_przyjazdu]])</f>
        <v>23</v>
      </c>
      <c r="G167" s="9">
        <f xml:space="preserve"> WYNAJEM47[[#This Row],[energia]] + WYNAJEM47[[#This Row],[woda]]</f>
        <v>11.74</v>
      </c>
      <c r="I167" s="9"/>
    </row>
    <row r="168" spans="1:9" x14ac:dyDescent="0.25">
      <c r="A168" s="1">
        <v>41684</v>
      </c>
      <c r="B168" s="1">
        <v>41712</v>
      </c>
      <c r="C168" s="8">
        <v>13.07</v>
      </c>
      <c r="D168" s="8">
        <v>0.34</v>
      </c>
      <c r="E168">
        <v>6</v>
      </c>
      <c r="F168" s="10">
        <f>(WYNAJEM47[[#This Row],[data_wyjazdu]]-WYNAJEM47[[#This Row],[data_przyjazdu]])</f>
        <v>28</v>
      </c>
      <c r="G168" s="9">
        <f xml:space="preserve"> WYNAJEM47[[#This Row],[energia]] + WYNAJEM47[[#This Row],[woda]]</f>
        <v>13.41</v>
      </c>
      <c r="I168" s="9"/>
    </row>
    <row r="169" spans="1:9" x14ac:dyDescent="0.25">
      <c r="A169" s="1">
        <v>41684</v>
      </c>
      <c r="B169" s="1">
        <v>41712</v>
      </c>
      <c r="C169" s="8">
        <v>7.35</v>
      </c>
      <c r="D169" s="8">
        <v>0.19</v>
      </c>
      <c r="E169">
        <v>4</v>
      </c>
      <c r="F169" s="10">
        <f>(WYNAJEM47[[#This Row],[data_wyjazdu]]-WYNAJEM47[[#This Row],[data_przyjazdu]])</f>
        <v>28</v>
      </c>
      <c r="G169" s="9">
        <f xml:space="preserve"> WYNAJEM47[[#This Row],[energia]] + WYNAJEM47[[#This Row],[woda]]</f>
        <v>7.54</v>
      </c>
      <c r="I169" s="9"/>
    </row>
    <row r="170" spans="1:9" x14ac:dyDescent="0.25">
      <c r="A170" s="1">
        <v>41685</v>
      </c>
      <c r="B170" s="1">
        <v>41712</v>
      </c>
      <c r="C170" s="8">
        <v>6.88</v>
      </c>
      <c r="D170" s="8">
        <v>0.18</v>
      </c>
      <c r="E170">
        <v>3</v>
      </c>
      <c r="F170" s="10">
        <f>(WYNAJEM47[[#This Row],[data_wyjazdu]]-WYNAJEM47[[#This Row],[data_przyjazdu]])</f>
        <v>27</v>
      </c>
      <c r="G170" s="9">
        <f xml:space="preserve"> WYNAJEM47[[#This Row],[energia]] + WYNAJEM47[[#This Row],[woda]]</f>
        <v>7.06</v>
      </c>
      <c r="I170" s="9"/>
    </row>
    <row r="171" spans="1:9" x14ac:dyDescent="0.25">
      <c r="A171" s="1">
        <v>41685</v>
      </c>
      <c r="B171" s="1">
        <v>41708</v>
      </c>
      <c r="C171" s="8">
        <v>9.06</v>
      </c>
      <c r="D171" s="8">
        <v>0.24</v>
      </c>
      <c r="E171">
        <v>2</v>
      </c>
      <c r="F171" s="10">
        <f>(WYNAJEM47[[#This Row],[data_wyjazdu]]-WYNAJEM47[[#This Row],[data_przyjazdu]])</f>
        <v>23</v>
      </c>
      <c r="G171" s="9">
        <f xml:space="preserve"> WYNAJEM47[[#This Row],[energia]] + WYNAJEM47[[#This Row],[woda]]</f>
        <v>9.3000000000000007</v>
      </c>
      <c r="I171" s="9"/>
    </row>
    <row r="172" spans="1:9" x14ac:dyDescent="0.25">
      <c r="A172" s="1">
        <v>41689</v>
      </c>
      <c r="B172" s="1">
        <v>41708</v>
      </c>
      <c r="C172" s="8">
        <v>16.55</v>
      </c>
      <c r="D172" s="8">
        <v>0.44</v>
      </c>
      <c r="E172">
        <v>2</v>
      </c>
      <c r="F172" s="10">
        <f>(WYNAJEM47[[#This Row],[data_wyjazdu]]-WYNAJEM47[[#This Row],[data_przyjazdu]])</f>
        <v>19</v>
      </c>
      <c r="G172" s="9">
        <f xml:space="preserve"> WYNAJEM47[[#This Row],[energia]] + WYNAJEM47[[#This Row],[woda]]</f>
        <v>16.990000000000002</v>
      </c>
      <c r="I172" s="9"/>
    </row>
    <row r="173" spans="1:9" x14ac:dyDescent="0.25">
      <c r="A173" s="1">
        <v>41689</v>
      </c>
      <c r="B173" s="1">
        <v>41708</v>
      </c>
      <c r="C173" s="8">
        <v>8.83</v>
      </c>
      <c r="D173" s="8">
        <v>0.23</v>
      </c>
      <c r="E173">
        <v>3</v>
      </c>
      <c r="F173" s="10">
        <f>(WYNAJEM47[[#This Row],[data_wyjazdu]]-WYNAJEM47[[#This Row],[data_przyjazdu]])</f>
        <v>19</v>
      </c>
      <c r="G173" s="9">
        <f xml:space="preserve"> WYNAJEM47[[#This Row],[energia]] + WYNAJEM47[[#This Row],[woda]]</f>
        <v>9.06</v>
      </c>
      <c r="I173" s="9"/>
    </row>
    <row r="174" spans="1:9" x14ac:dyDescent="0.25">
      <c r="A174" s="1">
        <v>41689</v>
      </c>
      <c r="B174" s="1">
        <v>41696</v>
      </c>
      <c r="C174" s="8">
        <v>7.31</v>
      </c>
      <c r="D174" s="8">
        <v>0.19</v>
      </c>
      <c r="E174">
        <v>2</v>
      </c>
      <c r="F174" s="10">
        <f>(WYNAJEM47[[#This Row],[data_wyjazdu]]-WYNAJEM47[[#This Row],[data_przyjazdu]])</f>
        <v>7</v>
      </c>
      <c r="G174" s="9">
        <f xml:space="preserve"> WYNAJEM47[[#This Row],[energia]] + WYNAJEM47[[#This Row],[woda]]</f>
        <v>7.5</v>
      </c>
      <c r="I174" s="9"/>
    </row>
    <row r="175" spans="1:9" x14ac:dyDescent="0.25">
      <c r="A175" s="1">
        <v>41689</v>
      </c>
      <c r="B175" s="1">
        <v>41715</v>
      </c>
      <c r="C175" s="8">
        <v>14.31</v>
      </c>
      <c r="D175" s="8">
        <v>0.38</v>
      </c>
      <c r="E175">
        <v>5</v>
      </c>
      <c r="F175" s="10">
        <f>(WYNAJEM47[[#This Row],[data_wyjazdu]]-WYNAJEM47[[#This Row],[data_przyjazdu]])</f>
        <v>26</v>
      </c>
      <c r="G175" s="9">
        <f xml:space="preserve"> WYNAJEM47[[#This Row],[energia]] + WYNAJEM47[[#This Row],[woda]]</f>
        <v>14.690000000000001</v>
      </c>
      <c r="I175" s="9"/>
    </row>
    <row r="176" spans="1:9" x14ac:dyDescent="0.25">
      <c r="A176" s="1">
        <v>41689</v>
      </c>
      <c r="B176" s="1">
        <v>41691</v>
      </c>
      <c r="C176" s="8">
        <v>11.42</v>
      </c>
      <c r="D176" s="8">
        <v>0.3</v>
      </c>
      <c r="E176">
        <v>5</v>
      </c>
      <c r="F176" s="10">
        <f>(WYNAJEM47[[#This Row],[data_wyjazdu]]-WYNAJEM47[[#This Row],[data_przyjazdu]])</f>
        <v>2</v>
      </c>
      <c r="G176" s="9">
        <f xml:space="preserve"> WYNAJEM47[[#This Row],[energia]] + WYNAJEM47[[#This Row],[woda]]</f>
        <v>11.72</v>
      </c>
      <c r="I176" s="9"/>
    </row>
    <row r="177" spans="1:9" x14ac:dyDescent="0.25">
      <c r="A177" s="1">
        <v>41689</v>
      </c>
      <c r="B177" s="1">
        <v>41700</v>
      </c>
      <c r="C177" s="8">
        <v>8.5399999999999991</v>
      </c>
      <c r="D177" s="8">
        <v>0.22</v>
      </c>
      <c r="E177">
        <v>3</v>
      </c>
      <c r="F177" s="10">
        <f>(WYNAJEM47[[#This Row],[data_wyjazdu]]-WYNAJEM47[[#This Row],[data_przyjazdu]])</f>
        <v>11</v>
      </c>
      <c r="G177" s="9">
        <f xml:space="preserve"> WYNAJEM47[[#This Row],[energia]] + WYNAJEM47[[#This Row],[woda]]</f>
        <v>8.76</v>
      </c>
      <c r="I177" s="9"/>
    </row>
    <row r="178" spans="1:9" x14ac:dyDescent="0.25">
      <c r="A178" s="1">
        <v>41689</v>
      </c>
      <c r="B178" s="1">
        <v>41717</v>
      </c>
      <c r="C178" s="8">
        <v>5.57</v>
      </c>
      <c r="D178" s="8">
        <v>0.15</v>
      </c>
      <c r="E178">
        <v>4</v>
      </c>
      <c r="F178" s="10">
        <f>(WYNAJEM47[[#This Row],[data_wyjazdu]]-WYNAJEM47[[#This Row],[data_przyjazdu]])</f>
        <v>28</v>
      </c>
      <c r="G178" s="9">
        <f xml:space="preserve"> WYNAJEM47[[#This Row],[energia]] + WYNAJEM47[[#This Row],[woda]]</f>
        <v>5.7200000000000006</v>
      </c>
      <c r="I178" s="9"/>
    </row>
    <row r="179" spans="1:9" x14ac:dyDescent="0.25">
      <c r="A179" s="1">
        <v>41689</v>
      </c>
      <c r="B179" s="1">
        <v>41717</v>
      </c>
      <c r="C179" s="8">
        <v>7.55</v>
      </c>
      <c r="D179" s="8">
        <v>0.2</v>
      </c>
      <c r="E179">
        <v>4</v>
      </c>
      <c r="F179" s="10">
        <f>(WYNAJEM47[[#This Row],[data_wyjazdu]]-WYNAJEM47[[#This Row],[data_przyjazdu]])</f>
        <v>28</v>
      </c>
      <c r="G179" s="9">
        <f xml:space="preserve"> WYNAJEM47[[#This Row],[energia]] + WYNAJEM47[[#This Row],[woda]]</f>
        <v>7.75</v>
      </c>
      <c r="I179" s="9"/>
    </row>
    <row r="180" spans="1:9" x14ac:dyDescent="0.25">
      <c r="A180" s="1">
        <v>41689</v>
      </c>
      <c r="B180" s="1">
        <v>41707</v>
      </c>
      <c r="C180" s="8">
        <v>10.79</v>
      </c>
      <c r="D180" s="8">
        <v>0.28000000000000003</v>
      </c>
      <c r="E180">
        <v>6</v>
      </c>
      <c r="F180" s="10">
        <f>(WYNAJEM47[[#This Row],[data_wyjazdu]]-WYNAJEM47[[#This Row],[data_przyjazdu]])</f>
        <v>18</v>
      </c>
      <c r="G180" s="9">
        <f xml:space="preserve"> WYNAJEM47[[#This Row],[energia]] + WYNAJEM47[[#This Row],[woda]]</f>
        <v>11.069999999999999</v>
      </c>
      <c r="I180" s="9"/>
    </row>
    <row r="181" spans="1:9" x14ac:dyDescent="0.25">
      <c r="A181" s="1">
        <v>41689</v>
      </c>
      <c r="B181" s="1">
        <v>41706</v>
      </c>
      <c r="C181" s="8">
        <v>8.39</v>
      </c>
      <c r="D181" s="8">
        <v>0.22</v>
      </c>
      <c r="E181">
        <v>2</v>
      </c>
      <c r="F181" s="10">
        <f>(WYNAJEM47[[#This Row],[data_wyjazdu]]-WYNAJEM47[[#This Row],[data_przyjazdu]])</f>
        <v>17</v>
      </c>
      <c r="G181" s="9">
        <f xml:space="preserve"> WYNAJEM47[[#This Row],[energia]] + WYNAJEM47[[#This Row],[woda]]</f>
        <v>8.6100000000000012</v>
      </c>
      <c r="I181" s="9"/>
    </row>
    <row r="182" spans="1:9" x14ac:dyDescent="0.25">
      <c r="A182" s="1">
        <v>41689</v>
      </c>
      <c r="B182" s="1">
        <v>41711</v>
      </c>
      <c r="C182" s="8">
        <v>9.06</v>
      </c>
      <c r="D182" s="8">
        <v>0.24</v>
      </c>
      <c r="E182">
        <v>6</v>
      </c>
      <c r="F182" s="10">
        <f>(WYNAJEM47[[#This Row],[data_wyjazdu]]-WYNAJEM47[[#This Row],[data_przyjazdu]])</f>
        <v>22</v>
      </c>
      <c r="G182" s="9">
        <f xml:space="preserve"> WYNAJEM47[[#This Row],[energia]] + WYNAJEM47[[#This Row],[woda]]</f>
        <v>9.3000000000000007</v>
      </c>
      <c r="I182" s="9"/>
    </row>
    <row r="183" spans="1:9" x14ac:dyDescent="0.25">
      <c r="A183" s="1">
        <v>41689</v>
      </c>
      <c r="B183" s="1">
        <v>41700</v>
      </c>
      <c r="C183" s="8">
        <v>16.940000000000001</v>
      </c>
      <c r="D183" s="8">
        <v>0.45</v>
      </c>
      <c r="E183">
        <v>3</v>
      </c>
      <c r="F183" s="10">
        <f>(WYNAJEM47[[#This Row],[data_wyjazdu]]-WYNAJEM47[[#This Row],[data_przyjazdu]])</f>
        <v>11</v>
      </c>
      <c r="G183" s="9">
        <f xml:space="preserve"> WYNAJEM47[[#This Row],[energia]] + WYNAJEM47[[#This Row],[woda]]</f>
        <v>17.39</v>
      </c>
      <c r="I183" s="9"/>
    </row>
    <row r="184" spans="1:9" x14ac:dyDescent="0.25">
      <c r="A184" s="1">
        <v>41689</v>
      </c>
      <c r="B184" s="1">
        <v>41708</v>
      </c>
      <c r="C184" s="8">
        <v>11.37</v>
      </c>
      <c r="D184" s="8">
        <v>0.3</v>
      </c>
      <c r="E184">
        <v>4</v>
      </c>
      <c r="F184" s="10">
        <f>(WYNAJEM47[[#This Row],[data_wyjazdu]]-WYNAJEM47[[#This Row],[data_przyjazdu]])</f>
        <v>19</v>
      </c>
      <c r="G184" s="9">
        <f xml:space="preserve"> WYNAJEM47[[#This Row],[energia]] + WYNAJEM47[[#This Row],[woda]]</f>
        <v>11.67</v>
      </c>
      <c r="I184" s="9"/>
    </row>
    <row r="185" spans="1:9" x14ac:dyDescent="0.25">
      <c r="A185" s="1">
        <v>41689</v>
      </c>
      <c r="B185" s="1">
        <v>41699</v>
      </c>
      <c r="C185" s="8">
        <v>4.25</v>
      </c>
      <c r="D185" s="8">
        <v>0.11</v>
      </c>
      <c r="E185">
        <v>5</v>
      </c>
      <c r="F185" s="10">
        <f>(WYNAJEM47[[#This Row],[data_wyjazdu]]-WYNAJEM47[[#This Row],[data_przyjazdu]])</f>
        <v>10</v>
      </c>
      <c r="G185" s="9">
        <f xml:space="preserve"> WYNAJEM47[[#This Row],[energia]] + WYNAJEM47[[#This Row],[woda]]</f>
        <v>4.3600000000000003</v>
      </c>
      <c r="I185" s="9"/>
    </row>
    <row r="186" spans="1:9" x14ac:dyDescent="0.25">
      <c r="A186" s="1">
        <v>41689</v>
      </c>
      <c r="B186" s="1">
        <v>41710</v>
      </c>
      <c r="C186" s="8">
        <v>11.42</v>
      </c>
      <c r="D186" s="8">
        <v>0.3</v>
      </c>
      <c r="E186">
        <v>4</v>
      </c>
      <c r="F186" s="10">
        <f>(WYNAJEM47[[#This Row],[data_wyjazdu]]-WYNAJEM47[[#This Row],[data_przyjazdu]])</f>
        <v>21</v>
      </c>
      <c r="G186" s="9">
        <f xml:space="preserve"> WYNAJEM47[[#This Row],[energia]] + WYNAJEM47[[#This Row],[woda]]</f>
        <v>11.72</v>
      </c>
      <c r="I186" s="9"/>
    </row>
    <row r="187" spans="1:9" x14ac:dyDescent="0.25">
      <c r="A187" s="1">
        <v>41689</v>
      </c>
      <c r="B187" s="1">
        <v>41711</v>
      </c>
      <c r="C187" s="8">
        <v>3.79</v>
      </c>
      <c r="D187" s="8">
        <v>0.1</v>
      </c>
      <c r="E187">
        <v>3</v>
      </c>
      <c r="F187" s="10">
        <f>(WYNAJEM47[[#This Row],[data_wyjazdu]]-WYNAJEM47[[#This Row],[data_przyjazdu]])</f>
        <v>22</v>
      </c>
      <c r="G187" s="9">
        <f xml:space="preserve"> WYNAJEM47[[#This Row],[energia]] + WYNAJEM47[[#This Row],[woda]]</f>
        <v>3.89</v>
      </c>
      <c r="I187" s="9"/>
    </row>
    <row r="188" spans="1:9" x14ac:dyDescent="0.25">
      <c r="A188" s="1">
        <v>41689</v>
      </c>
      <c r="B188" s="1">
        <v>41712</v>
      </c>
      <c r="C188" s="8">
        <v>10.59</v>
      </c>
      <c r="D188" s="8">
        <v>0.28000000000000003</v>
      </c>
      <c r="E188">
        <v>4</v>
      </c>
      <c r="F188" s="10">
        <f>(WYNAJEM47[[#This Row],[data_wyjazdu]]-WYNAJEM47[[#This Row],[data_przyjazdu]])</f>
        <v>23</v>
      </c>
      <c r="G188" s="9">
        <f xml:space="preserve"> WYNAJEM47[[#This Row],[energia]] + WYNAJEM47[[#This Row],[woda]]</f>
        <v>10.87</v>
      </c>
      <c r="I188" s="9"/>
    </row>
    <row r="189" spans="1:9" x14ac:dyDescent="0.25">
      <c r="A189" s="1">
        <v>41689</v>
      </c>
      <c r="B189" s="1">
        <v>41705</v>
      </c>
      <c r="C189" s="8">
        <v>8.9499999999999993</v>
      </c>
      <c r="D189" s="8">
        <v>0.24</v>
      </c>
      <c r="E189">
        <v>2</v>
      </c>
      <c r="F189" s="10">
        <f>(WYNAJEM47[[#This Row],[data_wyjazdu]]-WYNAJEM47[[#This Row],[data_przyjazdu]])</f>
        <v>16</v>
      </c>
      <c r="G189" s="9">
        <f xml:space="preserve"> WYNAJEM47[[#This Row],[energia]] + WYNAJEM47[[#This Row],[woda]]</f>
        <v>9.19</v>
      </c>
      <c r="I189" s="9"/>
    </row>
    <row r="190" spans="1:9" x14ac:dyDescent="0.25">
      <c r="A190" s="1">
        <v>41689</v>
      </c>
      <c r="B190" s="1">
        <v>41693</v>
      </c>
      <c r="C190" s="8">
        <v>4.66</v>
      </c>
      <c r="D190" s="8">
        <v>0.12</v>
      </c>
      <c r="E190">
        <v>5</v>
      </c>
      <c r="F190" s="10">
        <f>(WYNAJEM47[[#This Row],[data_wyjazdu]]-WYNAJEM47[[#This Row],[data_przyjazdu]])</f>
        <v>4</v>
      </c>
      <c r="G190" s="9">
        <f xml:space="preserve"> WYNAJEM47[[#This Row],[energia]] + WYNAJEM47[[#This Row],[woda]]</f>
        <v>4.78</v>
      </c>
      <c r="I190" s="9"/>
    </row>
    <row r="191" spans="1:9" x14ac:dyDescent="0.25">
      <c r="A191" s="1">
        <v>41689</v>
      </c>
      <c r="B191" s="1">
        <v>41707</v>
      </c>
      <c r="C191" s="8">
        <v>6.88</v>
      </c>
      <c r="D191" s="8">
        <v>0.18</v>
      </c>
      <c r="E191">
        <v>5</v>
      </c>
      <c r="F191" s="10">
        <f>(WYNAJEM47[[#This Row],[data_wyjazdu]]-WYNAJEM47[[#This Row],[data_przyjazdu]])</f>
        <v>18</v>
      </c>
      <c r="G191" s="9">
        <f xml:space="preserve"> WYNAJEM47[[#This Row],[energia]] + WYNAJEM47[[#This Row],[woda]]</f>
        <v>7.06</v>
      </c>
      <c r="I191" s="9"/>
    </row>
    <row r="192" spans="1:9" x14ac:dyDescent="0.25">
      <c r="A192" s="1">
        <v>41692</v>
      </c>
      <c r="B192" s="1">
        <v>41706</v>
      </c>
      <c r="C192" s="8">
        <v>8.7200000000000006</v>
      </c>
      <c r="D192" s="8">
        <v>0.23</v>
      </c>
      <c r="E192">
        <v>4</v>
      </c>
      <c r="F192" s="10">
        <f>(WYNAJEM47[[#This Row],[data_wyjazdu]]-WYNAJEM47[[#This Row],[data_przyjazdu]])</f>
        <v>14</v>
      </c>
      <c r="G192" s="9">
        <f xml:space="preserve"> WYNAJEM47[[#This Row],[energia]] + WYNAJEM47[[#This Row],[woda]]</f>
        <v>8.9500000000000011</v>
      </c>
      <c r="I192" s="9"/>
    </row>
    <row r="193" spans="1:9" x14ac:dyDescent="0.25">
      <c r="A193" s="1">
        <v>41696</v>
      </c>
      <c r="B193" s="1">
        <v>41698</v>
      </c>
      <c r="C193" s="8">
        <v>12.23</v>
      </c>
      <c r="D193" s="8">
        <v>0.32</v>
      </c>
      <c r="E193">
        <v>2</v>
      </c>
      <c r="F193" s="10">
        <f>(WYNAJEM47[[#This Row],[data_wyjazdu]]-WYNAJEM47[[#This Row],[data_przyjazdu]])</f>
        <v>2</v>
      </c>
      <c r="G193" s="9">
        <f xml:space="preserve"> WYNAJEM47[[#This Row],[energia]] + WYNAJEM47[[#This Row],[woda]]</f>
        <v>12.55</v>
      </c>
      <c r="I193" s="9"/>
    </row>
    <row r="194" spans="1:9" x14ac:dyDescent="0.25">
      <c r="A194" s="1">
        <v>41696</v>
      </c>
      <c r="B194" s="1">
        <v>41708</v>
      </c>
      <c r="C194" s="8">
        <v>10.199999999999999</v>
      </c>
      <c r="D194" s="8">
        <v>0.27</v>
      </c>
      <c r="E194">
        <v>4</v>
      </c>
      <c r="F194" s="10">
        <f>(WYNAJEM47[[#This Row],[data_wyjazdu]]-WYNAJEM47[[#This Row],[data_przyjazdu]])</f>
        <v>12</v>
      </c>
      <c r="G194" s="9">
        <f xml:space="preserve"> WYNAJEM47[[#This Row],[energia]] + WYNAJEM47[[#This Row],[woda]]</f>
        <v>10.469999999999999</v>
      </c>
      <c r="I194" s="9"/>
    </row>
    <row r="195" spans="1:9" x14ac:dyDescent="0.25">
      <c r="A195" s="1">
        <v>41696</v>
      </c>
      <c r="B195" s="1">
        <v>41703</v>
      </c>
      <c r="C195" s="8">
        <v>7.06</v>
      </c>
      <c r="D195" s="8">
        <v>0.19</v>
      </c>
      <c r="E195">
        <v>5</v>
      </c>
      <c r="F195" s="10">
        <f>(WYNAJEM47[[#This Row],[data_wyjazdu]]-WYNAJEM47[[#This Row],[data_przyjazdu]])</f>
        <v>7</v>
      </c>
      <c r="G195" s="9">
        <f xml:space="preserve"> WYNAJEM47[[#This Row],[energia]] + WYNAJEM47[[#This Row],[woda]]</f>
        <v>7.25</v>
      </c>
      <c r="I195" s="9"/>
    </row>
    <row r="196" spans="1:9" x14ac:dyDescent="0.25">
      <c r="A196" s="1">
        <v>41696</v>
      </c>
      <c r="B196" s="1">
        <v>41716</v>
      </c>
      <c r="C196" s="8">
        <v>5.64</v>
      </c>
      <c r="D196" s="8">
        <v>0.15</v>
      </c>
      <c r="E196">
        <v>6</v>
      </c>
      <c r="F196" s="10">
        <f>(WYNAJEM47[[#This Row],[data_wyjazdu]]-WYNAJEM47[[#This Row],[data_przyjazdu]])</f>
        <v>20</v>
      </c>
      <c r="G196" s="9">
        <f xml:space="preserve"> WYNAJEM47[[#This Row],[energia]] + WYNAJEM47[[#This Row],[woda]]</f>
        <v>5.79</v>
      </c>
      <c r="I196" s="9"/>
    </row>
    <row r="197" spans="1:9" x14ac:dyDescent="0.25">
      <c r="A197" s="1">
        <v>41696</v>
      </c>
      <c r="B197" s="1">
        <v>41721</v>
      </c>
      <c r="C197" s="8">
        <v>9.06</v>
      </c>
      <c r="D197" s="8">
        <v>0.24</v>
      </c>
      <c r="E197">
        <v>4</v>
      </c>
      <c r="F197" s="10">
        <f>(WYNAJEM47[[#This Row],[data_wyjazdu]]-WYNAJEM47[[#This Row],[data_przyjazdu]])</f>
        <v>25</v>
      </c>
      <c r="G197" s="9">
        <f xml:space="preserve"> WYNAJEM47[[#This Row],[energia]] + WYNAJEM47[[#This Row],[woda]]</f>
        <v>9.3000000000000007</v>
      </c>
      <c r="I197" s="9"/>
    </row>
    <row r="198" spans="1:9" x14ac:dyDescent="0.25">
      <c r="A198" s="1">
        <v>41696</v>
      </c>
      <c r="B198" s="1">
        <v>41717</v>
      </c>
      <c r="C198" s="8">
        <v>6.23</v>
      </c>
      <c r="D198" s="8">
        <v>0.16</v>
      </c>
      <c r="E198">
        <v>2</v>
      </c>
      <c r="F198" s="10">
        <f>(WYNAJEM47[[#This Row],[data_wyjazdu]]-WYNAJEM47[[#This Row],[data_przyjazdu]])</f>
        <v>21</v>
      </c>
      <c r="G198" s="9">
        <f xml:space="preserve"> WYNAJEM47[[#This Row],[energia]] + WYNAJEM47[[#This Row],[woda]]</f>
        <v>6.3900000000000006</v>
      </c>
      <c r="I198" s="9"/>
    </row>
    <row r="199" spans="1:9" x14ac:dyDescent="0.25">
      <c r="A199" s="1">
        <v>41698</v>
      </c>
      <c r="B199" s="1">
        <v>41721</v>
      </c>
      <c r="C199" s="8">
        <v>3.57</v>
      </c>
      <c r="D199" s="8">
        <v>0.09</v>
      </c>
      <c r="E199">
        <v>4</v>
      </c>
      <c r="F199" s="10">
        <f>(WYNAJEM47[[#This Row],[data_wyjazdu]]-WYNAJEM47[[#This Row],[data_przyjazdu]])</f>
        <v>23</v>
      </c>
      <c r="G199" s="9">
        <f xml:space="preserve"> WYNAJEM47[[#This Row],[energia]] + WYNAJEM47[[#This Row],[woda]]</f>
        <v>3.6599999999999997</v>
      </c>
      <c r="I199" s="9"/>
    </row>
    <row r="200" spans="1:9" x14ac:dyDescent="0.25">
      <c r="A200" s="1">
        <v>41701</v>
      </c>
      <c r="B200" s="1">
        <v>41714</v>
      </c>
      <c r="C200" s="8">
        <v>8.89</v>
      </c>
      <c r="D200" s="8">
        <v>0.23</v>
      </c>
      <c r="E200">
        <v>3</v>
      </c>
      <c r="F200" s="10">
        <f>(WYNAJEM47[[#This Row],[data_wyjazdu]]-WYNAJEM47[[#This Row],[data_przyjazdu]])</f>
        <v>13</v>
      </c>
      <c r="G200" s="9">
        <f xml:space="preserve"> WYNAJEM47[[#This Row],[energia]] + WYNAJEM47[[#This Row],[woda]]</f>
        <v>9.120000000000001</v>
      </c>
      <c r="I200" s="9"/>
    </row>
    <row r="201" spans="1:9" x14ac:dyDescent="0.25">
      <c r="A201" s="1">
        <v>41701</v>
      </c>
      <c r="B201" s="1">
        <v>41726</v>
      </c>
      <c r="C201" s="8">
        <v>6.34</v>
      </c>
      <c r="D201" s="8">
        <v>0.17</v>
      </c>
      <c r="E201">
        <v>5</v>
      </c>
      <c r="F201" s="10">
        <f>(WYNAJEM47[[#This Row],[data_wyjazdu]]-WYNAJEM47[[#This Row],[data_przyjazdu]])</f>
        <v>25</v>
      </c>
      <c r="G201" s="9">
        <f xml:space="preserve"> WYNAJEM47[[#This Row],[energia]] + WYNAJEM47[[#This Row],[woda]]</f>
        <v>6.51</v>
      </c>
      <c r="I201" s="9"/>
    </row>
    <row r="202" spans="1:9" x14ac:dyDescent="0.25">
      <c r="A202" s="1">
        <v>41701</v>
      </c>
      <c r="B202" s="1">
        <v>41717</v>
      </c>
      <c r="C202" s="8">
        <v>11.69</v>
      </c>
      <c r="D202" s="8">
        <v>0.31</v>
      </c>
      <c r="E202">
        <v>6</v>
      </c>
      <c r="F202" s="10">
        <f>(WYNAJEM47[[#This Row],[data_wyjazdu]]-WYNAJEM47[[#This Row],[data_przyjazdu]])</f>
        <v>16</v>
      </c>
      <c r="G202" s="9">
        <f xml:space="preserve"> WYNAJEM47[[#This Row],[energia]] + WYNAJEM47[[#This Row],[woda]]</f>
        <v>12</v>
      </c>
      <c r="I202" s="9"/>
    </row>
    <row r="203" spans="1:9" x14ac:dyDescent="0.25">
      <c r="A203" s="1">
        <v>41701</v>
      </c>
      <c r="B203" s="1">
        <v>41712</v>
      </c>
      <c r="C203" s="8">
        <v>3.79</v>
      </c>
      <c r="D203" s="8">
        <v>0.1</v>
      </c>
      <c r="E203">
        <v>4</v>
      </c>
      <c r="F203" s="10">
        <f>(WYNAJEM47[[#This Row],[data_wyjazdu]]-WYNAJEM47[[#This Row],[data_przyjazdu]])</f>
        <v>11</v>
      </c>
      <c r="G203" s="9">
        <f xml:space="preserve"> WYNAJEM47[[#This Row],[energia]] + WYNAJEM47[[#This Row],[woda]]</f>
        <v>3.89</v>
      </c>
      <c r="I203" s="9"/>
    </row>
    <row r="204" spans="1:9" x14ac:dyDescent="0.25">
      <c r="A204" s="1">
        <v>41701</v>
      </c>
      <c r="B204" s="1">
        <v>41726</v>
      </c>
      <c r="C204" s="8">
        <v>9.1300000000000008</v>
      </c>
      <c r="D204" s="8">
        <v>0.24</v>
      </c>
      <c r="E204">
        <v>2</v>
      </c>
      <c r="F204" s="10">
        <f>(WYNAJEM47[[#This Row],[data_wyjazdu]]-WYNAJEM47[[#This Row],[data_przyjazdu]])</f>
        <v>25</v>
      </c>
      <c r="G204" s="9">
        <f xml:space="preserve"> WYNAJEM47[[#This Row],[energia]] + WYNAJEM47[[#This Row],[woda]]</f>
        <v>9.370000000000001</v>
      </c>
      <c r="I204" s="9"/>
    </row>
    <row r="205" spans="1:9" x14ac:dyDescent="0.25">
      <c r="A205" s="1">
        <v>41701</v>
      </c>
      <c r="B205" s="1">
        <v>41722</v>
      </c>
      <c r="C205" s="8">
        <v>5.78</v>
      </c>
      <c r="D205" s="8">
        <v>0.15</v>
      </c>
      <c r="E205">
        <v>6</v>
      </c>
      <c r="F205" s="10">
        <f>(WYNAJEM47[[#This Row],[data_wyjazdu]]-WYNAJEM47[[#This Row],[data_przyjazdu]])</f>
        <v>21</v>
      </c>
      <c r="G205" s="9">
        <f xml:space="preserve"> WYNAJEM47[[#This Row],[energia]] + WYNAJEM47[[#This Row],[woda]]</f>
        <v>5.9300000000000006</v>
      </c>
      <c r="I205" s="9"/>
    </row>
    <row r="206" spans="1:9" x14ac:dyDescent="0.25">
      <c r="A206" s="1">
        <v>41701</v>
      </c>
      <c r="B206" s="1">
        <v>41719</v>
      </c>
      <c r="C206" s="8">
        <v>7.06</v>
      </c>
      <c r="D206" s="8">
        <v>0.19</v>
      </c>
      <c r="E206">
        <v>6</v>
      </c>
      <c r="F206" s="10">
        <f>(WYNAJEM47[[#This Row],[data_wyjazdu]]-WYNAJEM47[[#This Row],[data_przyjazdu]])</f>
        <v>18</v>
      </c>
      <c r="G206" s="9">
        <f xml:space="preserve"> WYNAJEM47[[#This Row],[energia]] + WYNAJEM47[[#This Row],[woda]]</f>
        <v>7.25</v>
      </c>
      <c r="I206" s="9"/>
    </row>
    <row r="207" spans="1:9" x14ac:dyDescent="0.25">
      <c r="A207" s="1">
        <v>41701</v>
      </c>
      <c r="B207" s="1">
        <v>41712</v>
      </c>
      <c r="C207" s="8">
        <v>7.31</v>
      </c>
      <c r="D207" s="8">
        <v>0.19</v>
      </c>
      <c r="E207">
        <v>4</v>
      </c>
      <c r="F207" s="10">
        <f>(WYNAJEM47[[#This Row],[data_wyjazdu]]-WYNAJEM47[[#This Row],[data_przyjazdu]])</f>
        <v>11</v>
      </c>
      <c r="G207" s="9">
        <f xml:space="preserve"> WYNAJEM47[[#This Row],[energia]] + WYNAJEM47[[#This Row],[woda]]</f>
        <v>7.5</v>
      </c>
      <c r="I207" s="9"/>
    </row>
    <row r="208" spans="1:9" x14ac:dyDescent="0.25">
      <c r="A208" s="1">
        <v>41701</v>
      </c>
      <c r="B208" s="1">
        <v>41711</v>
      </c>
      <c r="C208" s="8">
        <v>8.9499999999999993</v>
      </c>
      <c r="D208" s="8">
        <v>0.24</v>
      </c>
      <c r="E208">
        <v>4</v>
      </c>
      <c r="F208" s="10">
        <f>(WYNAJEM47[[#This Row],[data_wyjazdu]]-WYNAJEM47[[#This Row],[data_przyjazdu]])</f>
        <v>10</v>
      </c>
      <c r="G208" s="9">
        <f xml:space="preserve"> WYNAJEM47[[#This Row],[energia]] + WYNAJEM47[[#This Row],[woda]]</f>
        <v>9.19</v>
      </c>
      <c r="I208" s="9"/>
    </row>
    <row r="209" spans="1:9" x14ac:dyDescent="0.25">
      <c r="A209" s="1">
        <v>41701</v>
      </c>
      <c r="B209" s="1">
        <v>41719</v>
      </c>
      <c r="C209" s="8">
        <v>2.0099999999999998</v>
      </c>
      <c r="D209" s="8">
        <v>0.05</v>
      </c>
      <c r="E209">
        <v>5</v>
      </c>
      <c r="F209" s="10">
        <f>(WYNAJEM47[[#This Row],[data_wyjazdu]]-WYNAJEM47[[#This Row],[data_przyjazdu]])</f>
        <v>18</v>
      </c>
      <c r="G209" s="9">
        <f xml:space="preserve"> WYNAJEM47[[#This Row],[energia]] + WYNAJEM47[[#This Row],[woda]]</f>
        <v>2.0599999999999996</v>
      </c>
      <c r="I209" s="9"/>
    </row>
    <row r="210" spans="1:9" x14ac:dyDescent="0.25">
      <c r="A210" s="1">
        <v>41701</v>
      </c>
      <c r="B210" s="1">
        <v>41705</v>
      </c>
      <c r="C210" s="8">
        <v>19.54</v>
      </c>
      <c r="D210" s="8">
        <v>0.51</v>
      </c>
      <c r="E210">
        <v>3</v>
      </c>
      <c r="F210" s="10">
        <f>(WYNAJEM47[[#This Row],[data_wyjazdu]]-WYNAJEM47[[#This Row],[data_przyjazdu]])</f>
        <v>4</v>
      </c>
      <c r="G210" s="9">
        <f xml:space="preserve"> WYNAJEM47[[#This Row],[energia]] + WYNAJEM47[[#This Row],[woda]]</f>
        <v>20.05</v>
      </c>
      <c r="I210" s="9"/>
    </row>
    <row r="211" spans="1:9" x14ac:dyDescent="0.25">
      <c r="A211" s="1">
        <v>41701</v>
      </c>
      <c r="B211" s="1">
        <v>41718</v>
      </c>
      <c r="C211" s="8">
        <v>13.02</v>
      </c>
      <c r="D211" s="8">
        <v>0.34</v>
      </c>
      <c r="E211">
        <v>5</v>
      </c>
      <c r="F211" s="10">
        <f>(WYNAJEM47[[#This Row],[data_wyjazdu]]-WYNAJEM47[[#This Row],[data_przyjazdu]])</f>
        <v>17</v>
      </c>
      <c r="G211" s="9">
        <f xml:space="preserve"> WYNAJEM47[[#This Row],[energia]] + WYNAJEM47[[#This Row],[woda]]</f>
        <v>13.36</v>
      </c>
      <c r="I211" s="9"/>
    </row>
    <row r="212" spans="1:9" x14ac:dyDescent="0.25">
      <c r="A212" s="1">
        <v>41701</v>
      </c>
      <c r="B212" s="1">
        <v>41720</v>
      </c>
      <c r="C212" s="8">
        <v>11.69</v>
      </c>
      <c r="D212" s="8">
        <v>0.31</v>
      </c>
      <c r="E212">
        <v>6</v>
      </c>
      <c r="F212" s="10">
        <f>(WYNAJEM47[[#This Row],[data_wyjazdu]]-WYNAJEM47[[#This Row],[data_przyjazdu]])</f>
        <v>19</v>
      </c>
      <c r="G212" s="9">
        <f xml:space="preserve"> WYNAJEM47[[#This Row],[energia]] + WYNAJEM47[[#This Row],[woda]]</f>
        <v>12</v>
      </c>
      <c r="I212" s="9"/>
    </row>
    <row r="213" spans="1:9" x14ac:dyDescent="0.25">
      <c r="A213" s="1">
        <v>41701</v>
      </c>
      <c r="B213" s="1">
        <v>41729</v>
      </c>
      <c r="C213" s="8">
        <v>13.02</v>
      </c>
      <c r="D213" s="8">
        <v>0.34</v>
      </c>
      <c r="E213">
        <v>2</v>
      </c>
      <c r="F213" s="10">
        <f>(WYNAJEM47[[#This Row],[data_wyjazdu]]-WYNAJEM47[[#This Row],[data_przyjazdu]])</f>
        <v>28</v>
      </c>
      <c r="G213" s="9">
        <f xml:space="preserve"> WYNAJEM47[[#This Row],[energia]] + WYNAJEM47[[#This Row],[woda]]</f>
        <v>13.36</v>
      </c>
      <c r="I213" s="9"/>
    </row>
    <row r="214" spans="1:9" x14ac:dyDescent="0.25">
      <c r="A214" s="1">
        <v>41701</v>
      </c>
      <c r="B214" s="1">
        <v>41713</v>
      </c>
      <c r="C214" s="8">
        <v>3.57</v>
      </c>
      <c r="D214" s="8">
        <v>0.09</v>
      </c>
      <c r="E214">
        <v>3</v>
      </c>
      <c r="F214" s="10">
        <f>(WYNAJEM47[[#This Row],[data_wyjazdu]]-WYNAJEM47[[#This Row],[data_przyjazdu]])</f>
        <v>12</v>
      </c>
      <c r="G214" s="9">
        <f xml:space="preserve"> WYNAJEM47[[#This Row],[energia]] + WYNAJEM47[[#This Row],[woda]]</f>
        <v>3.6599999999999997</v>
      </c>
      <c r="I214" s="9"/>
    </row>
    <row r="215" spans="1:9" x14ac:dyDescent="0.25">
      <c r="A215" s="1">
        <v>41701</v>
      </c>
      <c r="B215" s="1">
        <v>41708</v>
      </c>
      <c r="C215" s="8">
        <v>7.06</v>
      </c>
      <c r="D215" s="8">
        <v>0.19</v>
      </c>
      <c r="E215">
        <v>3</v>
      </c>
      <c r="F215" s="10">
        <f>(WYNAJEM47[[#This Row],[data_wyjazdu]]-WYNAJEM47[[#This Row],[data_przyjazdu]])</f>
        <v>7</v>
      </c>
      <c r="G215" s="9">
        <f xml:space="preserve"> WYNAJEM47[[#This Row],[energia]] + WYNAJEM47[[#This Row],[woda]]</f>
        <v>7.25</v>
      </c>
      <c r="I215" s="9"/>
    </row>
    <row r="216" spans="1:9" x14ac:dyDescent="0.25">
      <c r="A216" s="1">
        <v>41704</v>
      </c>
      <c r="B216" s="1">
        <v>41717</v>
      </c>
      <c r="C216" s="8">
        <v>6.34</v>
      </c>
      <c r="D216" s="8">
        <v>0.17</v>
      </c>
      <c r="E216">
        <v>3</v>
      </c>
      <c r="F216" s="10">
        <f>(WYNAJEM47[[#This Row],[data_wyjazdu]]-WYNAJEM47[[#This Row],[data_przyjazdu]])</f>
        <v>13</v>
      </c>
      <c r="G216" s="9">
        <f xml:space="preserve"> WYNAJEM47[[#This Row],[energia]] + WYNAJEM47[[#This Row],[woda]]</f>
        <v>6.51</v>
      </c>
      <c r="I216" s="9"/>
    </row>
    <row r="217" spans="1:9" x14ac:dyDescent="0.25">
      <c r="A217" s="1">
        <v>41704</v>
      </c>
      <c r="B217" s="1">
        <v>41718</v>
      </c>
      <c r="C217" s="8">
        <v>2.72</v>
      </c>
      <c r="D217" s="8">
        <v>7.0000000000000007E-2</v>
      </c>
      <c r="E217">
        <v>2</v>
      </c>
      <c r="F217" s="10">
        <f>(WYNAJEM47[[#This Row],[data_wyjazdu]]-WYNAJEM47[[#This Row],[data_przyjazdu]])</f>
        <v>14</v>
      </c>
      <c r="G217" s="9">
        <f xml:space="preserve"> WYNAJEM47[[#This Row],[energia]] + WYNAJEM47[[#This Row],[woda]]</f>
        <v>2.79</v>
      </c>
      <c r="I217" s="9"/>
    </row>
    <row r="218" spans="1:9" x14ac:dyDescent="0.25">
      <c r="A218" s="1">
        <v>41705</v>
      </c>
      <c r="B218" s="1">
        <v>41710</v>
      </c>
      <c r="C218" s="8">
        <v>3.73</v>
      </c>
      <c r="D218" s="8">
        <v>0.1</v>
      </c>
      <c r="E218">
        <v>5</v>
      </c>
      <c r="F218" s="10">
        <f>(WYNAJEM47[[#This Row],[data_wyjazdu]]-WYNAJEM47[[#This Row],[data_przyjazdu]])</f>
        <v>5</v>
      </c>
      <c r="G218" s="9">
        <f xml:space="preserve"> WYNAJEM47[[#This Row],[energia]] + WYNAJEM47[[#This Row],[woda]]</f>
        <v>3.83</v>
      </c>
      <c r="I218" s="9"/>
    </row>
    <row r="219" spans="1:9" x14ac:dyDescent="0.25">
      <c r="A219" s="1">
        <v>41707</v>
      </c>
      <c r="B219" s="1">
        <v>41719</v>
      </c>
      <c r="C219" s="8">
        <v>10.59</v>
      </c>
      <c r="D219" s="8">
        <v>0.28000000000000003</v>
      </c>
      <c r="E219">
        <v>6</v>
      </c>
      <c r="F219" s="10">
        <f>(WYNAJEM47[[#This Row],[data_wyjazdu]]-WYNAJEM47[[#This Row],[data_przyjazdu]])</f>
        <v>12</v>
      </c>
      <c r="G219" s="9">
        <f xml:space="preserve"> WYNAJEM47[[#This Row],[energia]] + WYNAJEM47[[#This Row],[woda]]</f>
        <v>10.87</v>
      </c>
      <c r="I219" s="9"/>
    </row>
    <row r="220" spans="1:9" x14ac:dyDescent="0.25">
      <c r="A220" s="1">
        <v>41708</v>
      </c>
      <c r="B220" s="1">
        <v>41733</v>
      </c>
      <c r="C220" s="8">
        <v>3.73</v>
      </c>
      <c r="D220" s="8">
        <v>0.1</v>
      </c>
      <c r="E220">
        <v>5</v>
      </c>
      <c r="F220" s="10">
        <f>(WYNAJEM47[[#This Row],[data_wyjazdu]]-WYNAJEM47[[#This Row],[data_przyjazdu]])</f>
        <v>25</v>
      </c>
      <c r="G220" s="9">
        <f xml:space="preserve"> WYNAJEM47[[#This Row],[energia]] + WYNAJEM47[[#This Row],[woda]]</f>
        <v>3.83</v>
      </c>
      <c r="I220" s="9"/>
    </row>
    <row r="221" spans="1:9" x14ac:dyDescent="0.25">
      <c r="A221" s="1">
        <v>41708</v>
      </c>
      <c r="B221" s="1">
        <v>41720</v>
      </c>
      <c r="C221" s="8">
        <v>5.78</v>
      </c>
      <c r="D221" s="8">
        <v>0.15</v>
      </c>
      <c r="E221">
        <v>2</v>
      </c>
      <c r="F221" s="10">
        <f>(WYNAJEM47[[#This Row],[data_wyjazdu]]-WYNAJEM47[[#This Row],[data_przyjazdu]])</f>
        <v>12</v>
      </c>
      <c r="G221" s="9">
        <f xml:space="preserve"> WYNAJEM47[[#This Row],[energia]] + WYNAJEM47[[#This Row],[woda]]</f>
        <v>5.9300000000000006</v>
      </c>
      <c r="I221" s="9"/>
    </row>
    <row r="222" spans="1:9" x14ac:dyDescent="0.25">
      <c r="A222" s="1">
        <v>41708</v>
      </c>
      <c r="B222" s="1">
        <v>41720</v>
      </c>
      <c r="C222" s="8">
        <v>10.79</v>
      </c>
      <c r="D222" s="8">
        <v>0.28000000000000003</v>
      </c>
      <c r="E222">
        <v>2</v>
      </c>
      <c r="F222" s="10">
        <f>(WYNAJEM47[[#This Row],[data_wyjazdu]]-WYNAJEM47[[#This Row],[data_przyjazdu]])</f>
        <v>12</v>
      </c>
      <c r="G222" s="9">
        <f xml:space="preserve"> WYNAJEM47[[#This Row],[energia]] + WYNAJEM47[[#This Row],[woda]]</f>
        <v>11.069999999999999</v>
      </c>
      <c r="I222" s="9"/>
    </row>
    <row r="223" spans="1:9" x14ac:dyDescent="0.25">
      <c r="A223" s="1">
        <v>41708</v>
      </c>
      <c r="B223" s="1">
        <v>41726</v>
      </c>
      <c r="C223" s="8">
        <v>5.47</v>
      </c>
      <c r="D223" s="8">
        <v>0.14000000000000001</v>
      </c>
      <c r="E223">
        <v>4</v>
      </c>
      <c r="F223" s="10">
        <f>(WYNAJEM47[[#This Row],[data_wyjazdu]]-WYNAJEM47[[#This Row],[data_przyjazdu]])</f>
        <v>18</v>
      </c>
      <c r="G223" s="9">
        <f xml:space="preserve"> WYNAJEM47[[#This Row],[energia]] + WYNAJEM47[[#This Row],[woda]]</f>
        <v>5.6099999999999994</v>
      </c>
      <c r="I223" s="9"/>
    </row>
    <row r="224" spans="1:9" x14ac:dyDescent="0.25">
      <c r="A224" s="1">
        <v>41708</v>
      </c>
      <c r="B224" s="1">
        <v>41720</v>
      </c>
      <c r="C224" s="8">
        <v>5.57</v>
      </c>
      <c r="D224" s="8">
        <v>0.15</v>
      </c>
      <c r="E224">
        <v>2</v>
      </c>
      <c r="F224" s="10">
        <f>(WYNAJEM47[[#This Row],[data_wyjazdu]]-WYNAJEM47[[#This Row],[data_przyjazdu]])</f>
        <v>12</v>
      </c>
      <c r="G224" s="9">
        <f xml:space="preserve"> WYNAJEM47[[#This Row],[energia]] + WYNAJEM47[[#This Row],[woda]]</f>
        <v>5.7200000000000006</v>
      </c>
      <c r="I224" s="9"/>
    </row>
    <row r="225" spans="1:9" x14ac:dyDescent="0.25">
      <c r="A225" s="1">
        <v>41709</v>
      </c>
      <c r="B225" s="1">
        <v>41736</v>
      </c>
      <c r="C225" s="8">
        <v>4.66</v>
      </c>
      <c r="D225" s="8">
        <v>0.12</v>
      </c>
      <c r="E225">
        <v>5</v>
      </c>
      <c r="F225" s="10">
        <f>(WYNAJEM47[[#This Row],[data_wyjazdu]]-WYNAJEM47[[#This Row],[data_przyjazdu]])</f>
        <v>27</v>
      </c>
      <c r="G225" s="9">
        <f xml:space="preserve"> WYNAJEM47[[#This Row],[energia]] + WYNAJEM47[[#This Row],[woda]]</f>
        <v>4.78</v>
      </c>
      <c r="I225" s="9"/>
    </row>
    <row r="226" spans="1:9" x14ac:dyDescent="0.25">
      <c r="A226" s="1">
        <v>41709</v>
      </c>
      <c r="B226" s="1">
        <v>41731</v>
      </c>
      <c r="C226" s="8">
        <v>8.9499999999999993</v>
      </c>
      <c r="D226" s="8">
        <v>0.24</v>
      </c>
      <c r="E226">
        <v>4</v>
      </c>
      <c r="F226" s="10">
        <f>(WYNAJEM47[[#This Row],[data_wyjazdu]]-WYNAJEM47[[#This Row],[data_przyjazdu]])</f>
        <v>22</v>
      </c>
      <c r="G226" s="9">
        <f xml:space="preserve"> WYNAJEM47[[#This Row],[energia]] + WYNAJEM47[[#This Row],[woda]]</f>
        <v>9.19</v>
      </c>
      <c r="I226" s="9"/>
    </row>
    <row r="227" spans="1:9" x14ac:dyDescent="0.25">
      <c r="A227" s="1">
        <v>41710</v>
      </c>
      <c r="B227" s="1">
        <v>41719</v>
      </c>
      <c r="C227" s="8">
        <v>3.94</v>
      </c>
      <c r="D227" s="8">
        <v>0.1</v>
      </c>
      <c r="E227">
        <v>3</v>
      </c>
      <c r="F227" s="10">
        <f>(WYNAJEM47[[#This Row],[data_wyjazdu]]-WYNAJEM47[[#This Row],[data_przyjazdu]])</f>
        <v>9</v>
      </c>
      <c r="G227" s="9">
        <f xml:space="preserve"> WYNAJEM47[[#This Row],[energia]] + WYNAJEM47[[#This Row],[woda]]</f>
        <v>4.04</v>
      </c>
      <c r="I227" s="9"/>
    </row>
    <row r="228" spans="1:9" x14ac:dyDescent="0.25">
      <c r="A228" s="1">
        <v>41713</v>
      </c>
      <c r="B228" s="1">
        <v>41724</v>
      </c>
      <c r="C228" s="8">
        <v>5.78</v>
      </c>
      <c r="D228" s="8">
        <v>0.15</v>
      </c>
      <c r="E228">
        <v>6</v>
      </c>
      <c r="F228" s="10">
        <f>(WYNAJEM47[[#This Row],[data_wyjazdu]]-WYNAJEM47[[#This Row],[data_przyjazdu]])</f>
        <v>11</v>
      </c>
      <c r="G228" s="9">
        <f xml:space="preserve"> WYNAJEM47[[#This Row],[energia]] + WYNAJEM47[[#This Row],[woda]]</f>
        <v>5.9300000000000006</v>
      </c>
      <c r="I228" s="9"/>
    </row>
    <row r="229" spans="1:9" x14ac:dyDescent="0.25">
      <c r="A229" s="1">
        <v>41713</v>
      </c>
      <c r="B229" s="1">
        <v>41735</v>
      </c>
      <c r="C229" s="8">
        <v>13.81</v>
      </c>
      <c r="D229" s="8">
        <v>0.36</v>
      </c>
      <c r="E229">
        <v>2</v>
      </c>
      <c r="F229" s="10">
        <f>(WYNAJEM47[[#This Row],[data_wyjazdu]]-WYNAJEM47[[#This Row],[data_przyjazdu]])</f>
        <v>22</v>
      </c>
      <c r="G229" s="9">
        <f xml:space="preserve"> WYNAJEM47[[#This Row],[energia]] + WYNAJEM47[[#This Row],[woda]]</f>
        <v>14.17</v>
      </c>
      <c r="I229" s="9"/>
    </row>
    <row r="230" spans="1:9" x14ac:dyDescent="0.25">
      <c r="A230" s="1">
        <v>41713</v>
      </c>
      <c r="B230" s="1">
        <v>41739</v>
      </c>
      <c r="C230" s="8">
        <v>5.23</v>
      </c>
      <c r="D230" s="8">
        <v>0.14000000000000001</v>
      </c>
      <c r="E230">
        <v>6</v>
      </c>
      <c r="F230" s="10">
        <f>(WYNAJEM47[[#This Row],[data_wyjazdu]]-WYNAJEM47[[#This Row],[data_przyjazdu]])</f>
        <v>26</v>
      </c>
      <c r="G230" s="9">
        <f xml:space="preserve"> WYNAJEM47[[#This Row],[energia]] + WYNAJEM47[[#This Row],[woda]]</f>
        <v>5.37</v>
      </c>
      <c r="I230" s="9"/>
    </row>
    <row r="231" spans="1:9" x14ac:dyDescent="0.25">
      <c r="A231" s="1">
        <v>41713</v>
      </c>
      <c r="B231" s="1">
        <v>41728</v>
      </c>
      <c r="C231" s="8">
        <v>10.93</v>
      </c>
      <c r="D231" s="8">
        <v>0.28999999999999998</v>
      </c>
      <c r="E231">
        <v>6</v>
      </c>
      <c r="F231" s="10">
        <f>(WYNAJEM47[[#This Row],[data_wyjazdu]]-WYNAJEM47[[#This Row],[data_przyjazdu]])</f>
        <v>15</v>
      </c>
      <c r="G231" s="9">
        <f xml:space="preserve"> WYNAJEM47[[#This Row],[energia]] + WYNAJEM47[[#This Row],[woda]]</f>
        <v>11.219999999999999</v>
      </c>
      <c r="I231" s="9"/>
    </row>
    <row r="232" spans="1:9" x14ac:dyDescent="0.25">
      <c r="A232" s="1">
        <v>41713</v>
      </c>
      <c r="B232" s="1">
        <v>41731</v>
      </c>
      <c r="C232" s="8">
        <v>8.9499999999999993</v>
      </c>
      <c r="D232" s="8">
        <v>0.24</v>
      </c>
      <c r="E232">
        <v>4</v>
      </c>
      <c r="F232" s="10">
        <f>(WYNAJEM47[[#This Row],[data_wyjazdu]]-WYNAJEM47[[#This Row],[data_przyjazdu]])</f>
        <v>18</v>
      </c>
      <c r="G232" s="9">
        <f xml:space="preserve"> WYNAJEM47[[#This Row],[energia]] + WYNAJEM47[[#This Row],[woda]]</f>
        <v>9.19</v>
      </c>
      <c r="I232" s="9"/>
    </row>
    <row r="233" spans="1:9" x14ac:dyDescent="0.25">
      <c r="A233" s="1">
        <v>41713</v>
      </c>
      <c r="B233" s="1">
        <v>41731</v>
      </c>
      <c r="C233" s="8">
        <v>16.829999999999998</v>
      </c>
      <c r="D233" s="8">
        <v>0.44</v>
      </c>
      <c r="E233">
        <v>3</v>
      </c>
      <c r="F233" s="10">
        <f>(WYNAJEM47[[#This Row],[data_wyjazdu]]-WYNAJEM47[[#This Row],[data_przyjazdu]])</f>
        <v>18</v>
      </c>
      <c r="G233" s="9">
        <f xml:space="preserve"> WYNAJEM47[[#This Row],[energia]] + WYNAJEM47[[#This Row],[woda]]</f>
        <v>17.27</v>
      </c>
      <c r="I233" s="9"/>
    </row>
    <row r="234" spans="1:9" x14ac:dyDescent="0.25">
      <c r="A234" s="1">
        <v>41713</v>
      </c>
      <c r="B234" s="1">
        <v>41718</v>
      </c>
      <c r="C234" s="8">
        <v>14</v>
      </c>
      <c r="D234" s="8">
        <v>0.37</v>
      </c>
      <c r="E234">
        <v>2</v>
      </c>
      <c r="F234" s="10">
        <f>(WYNAJEM47[[#This Row],[data_wyjazdu]]-WYNAJEM47[[#This Row],[data_przyjazdu]])</f>
        <v>5</v>
      </c>
      <c r="G234" s="9">
        <f xml:space="preserve"> WYNAJEM47[[#This Row],[energia]] + WYNAJEM47[[#This Row],[woda]]</f>
        <v>14.37</v>
      </c>
      <c r="I234" s="9"/>
    </row>
    <row r="235" spans="1:9" x14ac:dyDescent="0.25">
      <c r="A235" s="1">
        <v>41713</v>
      </c>
      <c r="B235" s="1">
        <v>41735</v>
      </c>
      <c r="C235" s="8">
        <v>5.23</v>
      </c>
      <c r="D235" s="8">
        <v>0.14000000000000001</v>
      </c>
      <c r="E235">
        <v>6</v>
      </c>
      <c r="F235" s="10">
        <f>(WYNAJEM47[[#This Row],[data_wyjazdu]]-WYNAJEM47[[#This Row],[data_przyjazdu]])</f>
        <v>22</v>
      </c>
      <c r="G235" s="9">
        <f xml:space="preserve"> WYNAJEM47[[#This Row],[energia]] + WYNAJEM47[[#This Row],[woda]]</f>
        <v>5.37</v>
      </c>
      <c r="I235" s="9"/>
    </row>
    <row r="236" spans="1:9" x14ac:dyDescent="0.25">
      <c r="A236" s="1">
        <v>41713</v>
      </c>
      <c r="B236" s="1">
        <v>41724</v>
      </c>
      <c r="C236" s="8">
        <v>16.55</v>
      </c>
      <c r="D236" s="8">
        <v>0.44</v>
      </c>
      <c r="E236">
        <v>6</v>
      </c>
      <c r="F236" s="10">
        <f>(WYNAJEM47[[#This Row],[data_wyjazdu]]-WYNAJEM47[[#This Row],[data_przyjazdu]])</f>
        <v>11</v>
      </c>
      <c r="G236" s="9">
        <f xml:space="preserve"> WYNAJEM47[[#This Row],[energia]] + WYNAJEM47[[#This Row],[woda]]</f>
        <v>16.990000000000002</v>
      </c>
      <c r="I236" s="9"/>
    </row>
    <row r="237" spans="1:9" x14ac:dyDescent="0.25">
      <c r="A237" s="1">
        <v>41713</v>
      </c>
      <c r="B237" s="1">
        <v>41724</v>
      </c>
      <c r="C237" s="8">
        <v>12.23</v>
      </c>
      <c r="D237" s="8">
        <v>0.32</v>
      </c>
      <c r="E237">
        <v>3</v>
      </c>
      <c r="F237" s="10">
        <f>(WYNAJEM47[[#This Row],[data_wyjazdu]]-WYNAJEM47[[#This Row],[data_przyjazdu]])</f>
        <v>11</v>
      </c>
      <c r="G237" s="9">
        <f xml:space="preserve"> WYNAJEM47[[#This Row],[energia]] + WYNAJEM47[[#This Row],[woda]]</f>
        <v>12.55</v>
      </c>
      <c r="I237" s="9"/>
    </row>
    <row r="238" spans="1:9" x14ac:dyDescent="0.25">
      <c r="A238" s="1">
        <v>41713</v>
      </c>
      <c r="B238" s="1">
        <v>41720</v>
      </c>
      <c r="C238" s="8">
        <v>8.39</v>
      </c>
      <c r="D238" s="8">
        <v>0.22</v>
      </c>
      <c r="E238">
        <v>2</v>
      </c>
      <c r="F238" s="10">
        <f>(WYNAJEM47[[#This Row],[data_wyjazdu]]-WYNAJEM47[[#This Row],[data_przyjazdu]])</f>
        <v>7</v>
      </c>
      <c r="G238" s="9">
        <f xml:space="preserve"> WYNAJEM47[[#This Row],[energia]] + WYNAJEM47[[#This Row],[woda]]</f>
        <v>8.6100000000000012</v>
      </c>
      <c r="I238" s="9"/>
    </row>
    <row r="239" spans="1:9" x14ac:dyDescent="0.25">
      <c r="A239" s="1">
        <v>41713</v>
      </c>
      <c r="B239" s="1">
        <v>41721</v>
      </c>
      <c r="C239" s="8">
        <v>5.67</v>
      </c>
      <c r="D239" s="8">
        <v>0.15</v>
      </c>
      <c r="E239">
        <v>5</v>
      </c>
      <c r="F239" s="10">
        <f>(WYNAJEM47[[#This Row],[data_wyjazdu]]-WYNAJEM47[[#This Row],[data_przyjazdu]])</f>
        <v>8</v>
      </c>
      <c r="G239" s="9">
        <f xml:space="preserve"> WYNAJEM47[[#This Row],[energia]] + WYNAJEM47[[#This Row],[woda]]</f>
        <v>5.82</v>
      </c>
      <c r="I239" s="9"/>
    </row>
    <row r="240" spans="1:9" x14ac:dyDescent="0.25">
      <c r="A240" s="1">
        <v>41713</v>
      </c>
      <c r="B240" s="1">
        <v>41719</v>
      </c>
      <c r="C240" s="8">
        <v>14.13</v>
      </c>
      <c r="D240" s="8">
        <v>0.37</v>
      </c>
      <c r="E240">
        <v>4</v>
      </c>
      <c r="F240" s="10">
        <f>(WYNAJEM47[[#This Row],[data_wyjazdu]]-WYNAJEM47[[#This Row],[data_przyjazdu]])</f>
        <v>6</v>
      </c>
      <c r="G240" s="9">
        <f xml:space="preserve"> WYNAJEM47[[#This Row],[energia]] + WYNAJEM47[[#This Row],[woda]]</f>
        <v>14.5</v>
      </c>
      <c r="I240" s="9"/>
    </row>
    <row r="241" spans="1:9" x14ac:dyDescent="0.25">
      <c r="A241" s="1">
        <v>41713</v>
      </c>
      <c r="B241" s="1">
        <v>41723</v>
      </c>
      <c r="C241" s="8">
        <v>11.69</v>
      </c>
      <c r="D241" s="8">
        <v>0.31</v>
      </c>
      <c r="E241">
        <v>4</v>
      </c>
      <c r="F241" s="10">
        <f>(WYNAJEM47[[#This Row],[data_wyjazdu]]-WYNAJEM47[[#This Row],[data_przyjazdu]])</f>
        <v>10</v>
      </c>
      <c r="G241" s="9">
        <f xml:space="preserve"> WYNAJEM47[[#This Row],[energia]] + WYNAJEM47[[#This Row],[woda]]</f>
        <v>12</v>
      </c>
      <c r="I241" s="9"/>
    </row>
    <row r="242" spans="1:9" x14ac:dyDescent="0.25">
      <c r="A242" s="1">
        <v>41713</v>
      </c>
      <c r="B242" s="1">
        <v>41728</v>
      </c>
      <c r="C242" s="8">
        <v>16.940000000000001</v>
      </c>
      <c r="D242" s="8">
        <v>0.45</v>
      </c>
      <c r="E242">
        <v>2</v>
      </c>
      <c r="F242" s="10">
        <f>(WYNAJEM47[[#This Row],[data_wyjazdu]]-WYNAJEM47[[#This Row],[data_przyjazdu]])</f>
        <v>15</v>
      </c>
      <c r="G242" s="9">
        <f xml:space="preserve"> WYNAJEM47[[#This Row],[energia]] + WYNAJEM47[[#This Row],[woda]]</f>
        <v>17.39</v>
      </c>
      <c r="I242" s="9"/>
    </row>
    <row r="243" spans="1:9" x14ac:dyDescent="0.25">
      <c r="A243" s="1">
        <v>41713</v>
      </c>
      <c r="B243" s="1">
        <v>41733</v>
      </c>
      <c r="C243" s="8">
        <v>14</v>
      </c>
      <c r="D243" s="8">
        <v>0.37</v>
      </c>
      <c r="E243">
        <v>4</v>
      </c>
      <c r="F243" s="10">
        <f>(WYNAJEM47[[#This Row],[data_wyjazdu]]-WYNAJEM47[[#This Row],[data_przyjazdu]])</f>
        <v>20</v>
      </c>
      <c r="G243" s="9">
        <f xml:space="preserve"> WYNAJEM47[[#This Row],[energia]] + WYNAJEM47[[#This Row],[woda]]</f>
        <v>14.37</v>
      </c>
      <c r="I243" s="9"/>
    </row>
    <row r="244" spans="1:9" x14ac:dyDescent="0.25">
      <c r="A244" s="1">
        <v>41715</v>
      </c>
      <c r="B244" s="1">
        <v>41743</v>
      </c>
      <c r="C244" s="8">
        <v>8.84</v>
      </c>
      <c r="D244" s="8">
        <v>0.23</v>
      </c>
      <c r="E244">
        <v>2</v>
      </c>
      <c r="F244" s="10">
        <f>(WYNAJEM47[[#This Row],[data_wyjazdu]]-WYNAJEM47[[#This Row],[data_przyjazdu]])</f>
        <v>28</v>
      </c>
      <c r="G244" s="9">
        <f xml:space="preserve"> WYNAJEM47[[#This Row],[energia]] + WYNAJEM47[[#This Row],[woda]]</f>
        <v>9.07</v>
      </c>
      <c r="I244" s="9"/>
    </row>
    <row r="245" spans="1:9" x14ac:dyDescent="0.25">
      <c r="A245" s="1">
        <v>41715</v>
      </c>
      <c r="B245" s="1">
        <v>41734</v>
      </c>
      <c r="C245" s="8">
        <v>6.75</v>
      </c>
      <c r="D245" s="8">
        <v>0.18</v>
      </c>
      <c r="E245">
        <v>4</v>
      </c>
      <c r="F245" s="10">
        <f>(WYNAJEM47[[#This Row],[data_wyjazdu]]-WYNAJEM47[[#This Row],[data_przyjazdu]])</f>
        <v>19</v>
      </c>
      <c r="G245" s="9">
        <f xml:space="preserve"> WYNAJEM47[[#This Row],[energia]] + WYNAJEM47[[#This Row],[woda]]</f>
        <v>6.93</v>
      </c>
      <c r="I245" s="9"/>
    </row>
    <row r="246" spans="1:9" x14ac:dyDescent="0.25">
      <c r="A246" s="1">
        <v>41715</v>
      </c>
      <c r="B246" s="1">
        <v>41728</v>
      </c>
      <c r="C246" s="8">
        <v>6.23</v>
      </c>
      <c r="D246" s="8">
        <v>0.16</v>
      </c>
      <c r="E246">
        <v>5</v>
      </c>
      <c r="F246" s="10">
        <f>(WYNAJEM47[[#This Row],[data_wyjazdu]]-WYNAJEM47[[#This Row],[data_przyjazdu]])</f>
        <v>13</v>
      </c>
      <c r="G246" s="9">
        <f xml:space="preserve"> WYNAJEM47[[#This Row],[energia]] + WYNAJEM47[[#This Row],[woda]]</f>
        <v>6.3900000000000006</v>
      </c>
      <c r="I246" s="9"/>
    </row>
    <row r="247" spans="1:9" x14ac:dyDescent="0.25">
      <c r="A247" s="1">
        <v>41715</v>
      </c>
      <c r="B247" s="1">
        <v>41741</v>
      </c>
      <c r="C247" s="8">
        <v>8.7200000000000006</v>
      </c>
      <c r="D247" s="8">
        <v>0.23</v>
      </c>
      <c r="E247">
        <v>6</v>
      </c>
      <c r="F247" s="10">
        <f>(WYNAJEM47[[#This Row],[data_wyjazdu]]-WYNAJEM47[[#This Row],[data_przyjazdu]])</f>
        <v>26</v>
      </c>
      <c r="G247" s="9">
        <f xml:space="preserve"> WYNAJEM47[[#This Row],[energia]] + WYNAJEM47[[#This Row],[woda]]</f>
        <v>8.9500000000000011</v>
      </c>
      <c r="I247" s="9"/>
    </row>
    <row r="248" spans="1:9" x14ac:dyDescent="0.25">
      <c r="A248" s="1">
        <v>41716</v>
      </c>
      <c r="B248" s="1">
        <v>41719</v>
      </c>
      <c r="C248" s="8">
        <v>6.34</v>
      </c>
      <c r="D248" s="8">
        <v>0.17</v>
      </c>
      <c r="E248">
        <v>5</v>
      </c>
      <c r="F248" s="10">
        <f>(WYNAJEM47[[#This Row],[data_wyjazdu]]-WYNAJEM47[[#This Row],[data_przyjazdu]])</f>
        <v>3</v>
      </c>
      <c r="G248" s="9">
        <f xml:space="preserve"> WYNAJEM47[[#This Row],[energia]] + WYNAJEM47[[#This Row],[woda]]</f>
        <v>6.51</v>
      </c>
      <c r="I248" s="9"/>
    </row>
    <row r="249" spans="1:9" x14ac:dyDescent="0.25">
      <c r="A249" s="1">
        <v>41716</v>
      </c>
      <c r="B249" s="1">
        <v>41734</v>
      </c>
      <c r="C249" s="8">
        <v>2.29</v>
      </c>
      <c r="D249" s="8">
        <v>0.06</v>
      </c>
      <c r="E249">
        <v>4</v>
      </c>
      <c r="F249" s="10">
        <f>(WYNAJEM47[[#This Row],[data_wyjazdu]]-WYNAJEM47[[#This Row],[data_przyjazdu]])</f>
        <v>18</v>
      </c>
      <c r="G249" s="9">
        <f xml:space="preserve"> WYNAJEM47[[#This Row],[energia]] + WYNAJEM47[[#This Row],[woda]]</f>
        <v>2.35</v>
      </c>
      <c r="I249" s="9"/>
    </row>
    <row r="250" spans="1:9" x14ac:dyDescent="0.25">
      <c r="A250" s="1">
        <v>41716</v>
      </c>
      <c r="B250" s="1">
        <v>41734</v>
      </c>
      <c r="C250" s="8">
        <v>4.25</v>
      </c>
      <c r="D250" s="8">
        <v>0.11</v>
      </c>
      <c r="E250">
        <v>4</v>
      </c>
      <c r="F250" s="10">
        <f>(WYNAJEM47[[#This Row],[data_wyjazdu]]-WYNAJEM47[[#This Row],[data_przyjazdu]])</f>
        <v>18</v>
      </c>
      <c r="G250" s="9">
        <f xml:space="preserve"> WYNAJEM47[[#This Row],[energia]] + WYNAJEM47[[#This Row],[woda]]</f>
        <v>4.3600000000000003</v>
      </c>
      <c r="I250" s="9"/>
    </row>
    <row r="251" spans="1:9" x14ac:dyDescent="0.25">
      <c r="A251" s="1">
        <v>41719</v>
      </c>
      <c r="B251" s="1">
        <v>41742</v>
      </c>
      <c r="C251" s="8">
        <v>16.55</v>
      </c>
      <c r="D251" s="8">
        <v>0.44</v>
      </c>
      <c r="E251">
        <v>5</v>
      </c>
      <c r="F251" s="10">
        <f>(WYNAJEM47[[#This Row],[data_wyjazdu]]-WYNAJEM47[[#This Row],[data_przyjazdu]])</f>
        <v>23</v>
      </c>
      <c r="G251" s="9">
        <f xml:space="preserve"> WYNAJEM47[[#This Row],[energia]] + WYNAJEM47[[#This Row],[woda]]</f>
        <v>16.990000000000002</v>
      </c>
      <c r="I251" s="9"/>
    </row>
    <row r="252" spans="1:9" x14ac:dyDescent="0.25">
      <c r="A252" s="1">
        <v>41719</v>
      </c>
      <c r="B252" s="1">
        <v>41745</v>
      </c>
      <c r="C252" s="8">
        <v>7.55</v>
      </c>
      <c r="D252" s="8">
        <v>0.2</v>
      </c>
      <c r="E252">
        <v>3</v>
      </c>
      <c r="F252" s="10">
        <f>(WYNAJEM47[[#This Row],[data_wyjazdu]]-WYNAJEM47[[#This Row],[data_przyjazdu]])</f>
        <v>26</v>
      </c>
      <c r="G252" s="9">
        <f xml:space="preserve"> WYNAJEM47[[#This Row],[energia]] + WYNAJEM47[[#This Row],[woda]]</f>
        <v>7.75</v>
      </c>
      <c r="I252" s="9"/>
    </row>
    <row r="253" spans="1:9" x14ac:dyDescent="0.25">
      <c r="A253" s="1">
        <v>41719</v>
      </c>
      <c r="B253" s="1">
        <v>41731</v>
      </c>
      <c r="C253" s="8">
        <v>16.55</v>
      </c>
      <c r="D253" s="8">
        <v>0.44</v>
      </c>
      <c r="E253">
        <v>5</v>
      </c>
      <c r="F253" s="10">
        <f>(WYNAJEM47[[#This Row],[data_wyjazdu]]-WYNAJEM47[[#This Row],[data_przyjazdu]])</f>
        <v>12</v>
      </c>
      <c r="G253" s="9">
        <f xml:space="preserve"> WYNAJEM47[[#This Row],[energia]] + WYNAJEM47[[#This Row],[woda]]</f>
        <v>16.990000000000002</v>
      </c>
      <c r="I253" s="9"/>
    </row>
    <row r="254" spans="1:9" x14ac:dyDescent="0.25">
      <c r="A254" s="1">
        <v>41719</v>
      </c>
      <c r="B254" s="1">
        <v>41739</v>
      </c>
      <c r="C254" s="8">
        <v>3.79</v>
      </c>
      <c r="D254" s="8">
        <v>0.1</v>
      </c>
      <c r="E254">
        <v>3</v>
      </c>
      <c r="F254" s="10">
        <f>(WYNAJEM47[[#This Row],[data_wyjazdu]]-WYNAJEM47[[#This Row],[data_przyjazdu]])</f>
        <v>20</v>
      </c>
      <c r="G254" s="9">
        <f xml:space="preserve"> WYNAJEM47[[#This Row],[energia]] + WYNAJEM47[[#This Row],[woda]]</f>
        <v>3.89</v>
      </c>
      <c r="I254" s="9"/>
    </row>
    <row r="255" spans="1:9" x14ac:dyDescent="0.25">
      <c r="A255" s="1">
        <v>41719</v>
      </c>
      <c r="B255" s="1">
        <v>41725</v>
      </c>
      <c r="C255" s="8">
        <v>8.51</v>
      </c>
      <c r="D255" s="8">
        <v>0.22</v>
      </c>
      <c r="E255">
        <v>6</v>
      </c>
      <c r="F255" s="10">
        <f>(WYNAJEM47[[#This Row],[data_wyjazdu]]-WYNAJEM47[[#This Row],[data_przyjazdu]])</f>
        <v>6</v>
      </c>
      <c r="G255" s="9">
        <f xml:space="preserve"> WYNAJEM47[[#This Row],[energia]] + WYNAJEM47[[#This Row],[woda]]</f>
        <v>8.73</v>
      </c>
      <c r="I255" s="9"/>
    </row>
    <row r="256" spans="1:9" x14ac:dyDescent="0.25">
      <c r="A256" s="1">
        <v>41719</v>
      </c>
      <c r="B256" s="1">
        <v>41724</v>
      </c>
      <c r="C256" s="8">
        <v>7.71</v>
      </c>
      <c r="D256" s="8">
        <v>0.2</v>
      </c>
      <c r="E256">
        <v>2</v>
      </c>
      <c r="F256" s="10">
        <f>(WYNAJEM47[[#This Row],[data_wyjazdu]]-WYNAJEM47[[#This Row],[data_przyjazdu]])</f>
        <v>5</v>
      </c>
      <c r="G256" s="9">
        <f xml:space="preserve"> WYNAJEM47[[#This Row],[energia]] + WYNAJEM47[[#This Row],[woda]]</f>
        <v>7.91</v>
      </c>
      <c r="I256" s="9"/>
    </row>
    <row r="257" spans="1:9" x14ac:dyDescent="0.25">
      <c r="A257" s="1">
        <v>41725</v>
      </c>
      <c r="B257" s="1">
        <v>41742</v>
      </c>
      <c r="C257" s="8">
        <v>3.79</v>
      </c>
      <c r="D257" s="8">
        <v>0.1</v>
      </c>
      <c r="E257">
        <v>2</v>
      </c>
      <c r="F257" s="10">
        <f>(WYNAJEM47[[#This Row],[data_wyjazdu]]-WYNAJEM47[[#This Row],[data_przyjazdu]])</f>
        <v>17</v>
      </c>
      <c r="G257" s="9">
        <f xml:space="preserve"> WYNAJEM47[[#This Row],[energia]] + WYNAJEM47[[#This Row],[woda]]</f>
        <v>3.89</v>
      </c>
      <c r="I257" s="9"/>
    </row>
    <row r="258" spans="1:9" x14ac:dyDescent="0.25">
      <c r="A258" s="1">
        <v>41725</v>
      </c>
      <c r="B258" s="1">
        <v>41747</v>
      </c>
      <c r="C258" s="8">
        <v>16.55</v>
      </c>
      <c r="D258" s="8">
        <v>0.44</v>
      </c>
      <c r="E258">
        <v>4</v>
      </c>
      <c r="F258" s="10">
        <f>(WYNAJEM47[[#This Row],[data_wyjazdu]]-WYNAJEM47[[#This Row],[data_przyjazdu]])</f>
        <v>22</v>
      </c>
      <c r="G258" s="9">
        <f xml:space="preserve"> WYNAJEM47[[#This Row],[energia]] + WYNAJEM47[[#This Row],[woda]]</f>
        <v>16.990000000000002</v>
      </c>
      <c r="I258" s="9"/>
    </row>
    <row r="259" spans="1:9" x14ac:dyDescent="0.25">
      <c r="A259" s="1">
        <v>41725</v>
      </c>
      <c r="B259" s="1">
        <v>41728</v>
      </c>
      <c r="C259" s="8">
        <v>10.19</v>
      </c>
      <c r="D259" s="8">
        <v>0.27</v>
      </c>
      <c r="E259">
        <v>5</v>
      </c>
      <c r="F259" s="10">
        <f>(WYNAJEM47[[#This Row],[data_wyjazdu]]-WYNAJEM47[[#This Row],[data_przyjazdu]])</f>
        <v>3</v>
      </c>
      <c r="G259" s="9">
        <f xml:space="preserve"> WYNAJEM47[[#This Row],[energia]] + WYNAJEM47[[#This Row],[woda]]</f>
        <v>10.459999999999999</v>
      </c>
      <c r="I259" s="9"/>
    </row>
    <row r="260" spans="1:9" x14ac:dyDescent="0.25">
      <c r="A260" s="1">
        <v>41725</v>
      </c>
      <c r="B260" s="1">
        <v>41731</v>
      </c>
      <c r="C260" s="8">
        <v>8.39</v>
      </c>
      <c r="D260" s="8">
        <v>0.22</v>
      </c>
      <c r="E260">
        <v>5</v>
      </c>
      <c r="F260" s="10">
        <f>(WYNAJEM47[[#This Row],[data_wyjazdu]]-WYNAJEM47[[#This Row],[data_przyjazdu]])</f>
        <v>6</v>
      </c>
      <c r="G260" s="9">
        <f xml:space="preserve"> WYNAJEM47[[#This Row],[energia]] + WYNAJEM47[[#This Row],[woda]]</f>
        <v>8.6100000000000012</v>
      </c>
      <c r="I260" s="9"/>
    </row>
    <row r="261" spans="1:9" x14ac:dyDescent="0.25">
      <c r="A261" s="1">
        <v>41725</v>
      </c>
      <c r="B261" s="1">
        <v>41752</v>
      </c>
      <c r="C261" s="8">
        <v>8.89</v>
      </c>
      <c r="D261" s="8">
        <v>0.23</v>
      </c>
      <c r="E261">
        <v>2</v>
      </c>
      <c r="F261" s="10">
        <f>(WYNAJEM47[[#This Row],[data_wyjazdu]]-WYNAJEM47[[#This Row],[data_przyjazdu]])</f>
        <v>27</v>
      </c>
      <c r="G261" s="9">
        <f xml:space="preserve"> WYNAJEM47[[#This Row],[energia]] + WYNAJEM47[[#This Row],[woda]]</f>
        <v>9.120000000000001</v>
      </c>
      <c r="I261" s="9"/>
    </row>
    <row r="262" spans="1:9" x14ac:dyDescent="0.25">
      <c r="A262" s="1">
        <v>41725</v>
      </c>
      <c r="B262" s="1">
        <v>41748</v>
      </c>
      <c r="C262" s="8">
        <v>7.35</v>
      </c>
      <c r="D262" s="8">
        <v>0.19</v>
      </c>
      <c r="E262">
        <v>2</v>
      </c>
      <c r="F262" s="10">
        <f>(WYNAJEM47[[#This Row],[data_wyjazdu]]-WYNAJEM47[[#This Row],[data_przyjazdu]])</f>
        <v>23</v>
      </c>
      <c r="G262" s="9">
        <f xml:space="preserve"> WYNAJEM47[[#This Row],[energia]] + WYNAJEM47[[#This Row],[woda]]</f>
        <v>7.54</v>
      </c>
      <c r="I262" s="9"/>
    </row>
    <row r="263" spans="1:9" x14ac:dyDescent="0.25">
      <c r="A263" s="1">
        <v>41731</v>
      </c>
      <c r="B263" s="1">
        <v>41740</v>
      </c>
      <c r="C263" s="8">
        <v>6.88</v>
      </c>
      <c r="D263" s="8">
        <v>0.18</v>
      </c>
      <c r="E263">
        <v>4</v>
      </c>
      <c r="F263" s="10">
        <f>(WYNAJEM47[[#This Row],[data_wyjazdu]]-WYNAJEM47[[#This Row],[data_przyjazdu]])</f>
        <v>9</v>
      </c>
      <c r="G263" s="9">
        <f xml:space="preserve"> WYNAJEM47[[#This Row],[energia]] + WYNAJEM47[[#This Row],[woda]]</f>
        <v>7.06</v>
      </c>
      <c r="I263" s="9"/>
    </row>
    <row r="264" spans="1:9" x14ac:dyDescent="0.25">
      <c r="A264" s="1">
        <v>41731</v>
      </c>
      <c r="B264" s="1">
        <v>41740</v>
      </c>
      <c r="C264" s="8">
        <v>13.02</v>
      </c>
      <c r="D264" s="8">
        <v>0.34</v>
      </c>
      <c r="E264">
        <v>3</v>
      </c>
      <c r="F264" s="10">
        <f>(WYNAJEM47[[#This Row],[data_wyjazdu]]-WYNAJEM47[[#This Row],[data_przyjazdu]])</f>
        <v>9</v>
      </c>
      <c r="G264" s="9">
        <f xml:space="preserve"> WYNAJEM47[[#This Row],[energia]] + WYNAJEM47[[#This Row],[woda]]</f>
        <v>13.36</v>
      </c>
      <c r="I264" s="9"/>
    </row>
    <row r="265" spans="1:9" x14ac:dyDescent="0.25">
      <c r="A265" s="1">
        <v>41731</v>
      </c>
      <c r="B265" s="1">
        <v>41750</v>
      </c>
      <c r="C265" s="8">
        <v>10.59</v>
      </c>
      <c r="D265" s="8">
        <v>0.28000000000000003</v>
      </c>
      <c r="E265">
        <v>3</v>
      </c>
      <c r="F265" s="10">
        <f>(WYNAJEM47[[#This Row],[data_wyjazdu]]-WYNAJEM47[[#This Row],[data_przyjazdu]])</f>
        <v>19</v>
      </c>
      <c r="G265" s="9">
        <f xml:space="preserve"> WYNAJEM47[[#This Row],[energia]] + WYNAJEM47[[#This Row],[woda]]</f>
        <v>10.87</v>
      </c>
      <c r="I265" s="9"/>
    </row>
    <row r="266" spans="1:9" x14ac:dyDescent="0.25">
      <c r="A266" s="1">
        <v>41731</v>
      </c>
      <c r="B266" s="1">
        <v>41751</v>
      </c>
      <c r="C266" s="8">
        <v>16.940000000000001</v>
      </c>
      <c r="D266" s="8">
        <v>0.45</v>
      </c>
      <c r="E266">
        <v>4</v>
      </c>
      <c r="F266" s="10">
        <f>(WYNAJEM47[[#This Row],[data_wyjazdu]]-WYNAJEM47[[#This Row],[data_przyjazdu]])</f>
        <v>20</v>
      </c>
      <c r="G266" s="9">
        <f xml:space="preserve"> WYNAJEM47[[#This Row],[energia]] + WYNAJEM47[[#This Row],[woda]]</f>
        <v>17.39</v>
      </c>
      <c r="I266" s="9"/>
    </row>
    <row r="267" spans="1:9" x14ac:dyDescent="0.25">
      <c r="A267" s="1">
        <v>41731</v>
      </c>
      <c r="B267" s="1">
        <v>41748</v>
      </c>
      <c r="C267" s="8">
        <v>11.44</v>
      </c>
      <c r="D267" s="8">
        <v>0.3</v>
      </c>
      <c r="E267">
        <v>4</v>
      </c>
      <c r="F267" s="10">
        <f>(WYNAJEM47[[#This Row],[data_wyjazdu]]-WYNAJEM47[[#This Row],[data_przyjazdu]])</f>
        <v>17</v>
      </c>
      <c r="G267" s="9">
        <f xml:space="preserve"> WYNAJEM47[[#This Row],[energia]] + WYNAJEM47[[#This Row],[woda]]</f>
        <v>11.74</v>
      </c>
      <c r="I267" s="9"/>
    </row>
    <row r="268" spans="1:9" x14ac:dyDescent="0.25">
      <c r="A268" s="1">
        <v>41731</v>
      </c>
      <c r="B268" s="1">
        <v>41733</v>
      </c>
      <c r="C268" s="8">
        <v>3.79</v>
      </c>
      <c r="D268" s="8">
        <v>0.1</v>
      </c>
      <c r="E268">
        <v>4</v>
      </c>
      <c r="F268" s="10">
        <f>(WYNAJEM47[[#This Row],[data_wyjazdu]]-WYNAJEM47[[#This Row],[data_przyjazdu]])</f>
        <v>2</v>
      </c>
      <c r="G268" s="9">
        <f xml:space="preserve"> WYNAJEM47[[#This Row],[energia]] + WYNAJEM47[[#This Row],[woda]]</f>
        <v>3.89</v>
      </c>
      <c r="I268" s="9"/>
    </row>
    <row r="269" spans="1:9" x14ac:dyDescent="0.25">
      <c r="A269" s="1">
        <v>41732</v>
      </c>
      <c r="B269" s="1">
        <v>41758</v>
      </c>
      <c r="C269" s="8">
        <v>10.19</v>
      </c>
      <c r="D269" s="8">
        <v>0.27</v>
      </c>
      <c r="E269">
        <v>2</v>
      </c>
      <c r="F269" s="10">
        <f>(WYNAJEM47[[#This Row],[data_wyjazdu]]-WYNAJEM47[[#This Row],[data_przyjazdu]])</f>
        <v>26</v>
      </c>
      <c r="G269" s="9">
        <f xml:space="preserve"> WYNAJEM47[[#This Row],[energia]] + WYNAJEM47[[#This Row],[woda]]</f>
        <v>10.459999999999999</v>
      </c>
      <c r="I269" s="9"/>
    </row>
    <row r="270" spans="1:9" x14ac:dyDescent="0.25">
      <c r="A270" s="1">
        <v>41737</v>
      </c>
      <c r="B270" s="1">
        <v>41747</v>
      </c>
      <c r="C270" s="8">
        <v>7.35</v>
      </c>
      <c r="D270" s="8">
        <v>0.19</v>
      </c>
      <c r="E270">
        <v>5</v>
      </c>
      <c r="F270" s="10">
        <f>(WYNAJEM47[[#This Row],[data_wyjazdu]]-WYNAJEM47[[#This Row],[data_przyjazdu]])</f>
        <v>10</v>
      </c>
      <c r="G270" s="9">
        <f xml:space="preserve"> WYNAJEM47[[#This Row],[energia]] + WYNAJEM47[[#This Row],[woda]]</f>
        <v>7.54</v>
      </c>
      <c r="I270" s="9"/>
    </row>
    <row r="271" spans="1:9" x14ac:dyDescent="0.25">
      <c r="A271" s="1">
        <v>41737</v>
      </c>
      <c r="B271" s="1">
        <v>41752</v>
      </c>
      <c r="C271" s="8">
        <v>9.74</v>
      </c>
      <c r="D271" s="8">
        <v>0.26</v>
      </c>
      <c r="E271">
        <v>6</v>
      </c>
      <c r="F271" s="10">
        <f>(WYNAJEM47[[#This Row],[data_wyjazdu]]-WYNAJEM47[[#This Row],[data_przyjazdu]])</f>
        <v>15</v>
      </c>
      <c r="G271" s="9">
        <f xml:space="preserve"> WYNAJEM47[[#This Row],[energia]] + WYNAJEM47[[#This Row],[woda]]</f>
        <v>10</v>
      </c>
      <c r="I271" s="9"/>
    </row>
    <row r="272" spans="1:9" x14ac:dyDescent="0.25">
      <c r="A272" s="1">
        <v>41737</v>
      </c>
      <c r="B272" s="1">
        <v>41758</v>
      </c>
      <c r="C272" s="8">
        <v>8.65</v>
      </c>
      <c r="D272" s="8">
        <v>0.23</v>
      </c>
      <c r="E272">
        <v>3</v>
      </c>
      <c r="F272" s="10">
        <f>(WYNAJEM47[[#This Row],[data_wyjazdu]]-WYNAJEM47[[#This Row],[data_przyjazdu]])</f>
        <v>21</v>
      </c>
      <c r="G272" s="9">
        <f xml:space="preserve"> WYNAJEM47[[#This Row],[energia]] + WYNAJEM47[[#This Row],[woda]]</f>
        <v>8.8800000000000008</v>
      </c>
      <c r="I272" s="9"/>
    </row>
    <row r="273" spans="1:9" x14ac:dyDescent="0.25">
      <c r="A273" s="1">
        <v>41737</v>
      </c>
      <c r="B273" s="1">
        <v>41759</v>
      </c>
      <c r="C273" s="8">
        <v>7.06</v>
      </c>
      <c r="D273" s="8">
        <v>0.19</v>
      </c>
      <c r="E273">
        <v>2</v>
      </c>
      <c r="F273" s="10">
        <f>(WYNAJEM47[[#This Row],[data_wyjazdu]]-WYNAJEM47[[#This Row],[data_przyjazdu]])</f>
        <v>22</v>
      </c>
      <c r="G273" s="9">
        <f xml:space="preserve"> WYNAJEM47[[#This Row],[energia]] + WYNAJEM47[[#This Row],[woda]]</f>
        <v>7.25</v>
      </c>
      <c r="I273" s="9"/>
    </row>
    <row r="274" spans="1:9" x14ac:dyDescent="0.25">
      <c r="A274" s="1">
        <v>41737</v>
      </c>
      <c r="B274" s="1">
        <v>41762</v>
      </c>
      <c r="C274" s="8">
        <v>14</v>
      </c>
      <c r="D274" s="8">
        <v>0.37</v>
      </c>
      <c r="E274">
        <v>2</v>
      </c>
      <c r="F274" s="10">
        <f>(WYNAJEM47[[#This Row],[data_wyjazdu]]-WYNAJEM47[[#This Row],[data_przyjazdu]])</f>
        <v>25</v>
      </c>
      <c r="G274" s="9">
        <f xml:space="preserve"> WYNAJEM47[[#This Row],[energia]] + WYNAJEM47[[#This Row],[woda]]</f>
        <v>14.37</v>
      </c>
      <c r="I274" s="9"/>
    </row>
    <row r="275" spans="1:9" x14ac:dyDescent="0.25">
      <c r="A275" s="1">
        <v>41737</v>
      </c>
      <c r="B275" s="1">
        <v>41764</v>
      </c>
      <c r="C275" s="8">
        <v>16.940000000000001</v>
      </c>
      <c r="D275" s="8">
        <v>0.45</v>
      </c>
      <c r="E275">
        <v>4</v>
      </c>
      <c r="F275" s="10">
        <f>(WYNAJEM47[[#This Row],[data_wyjazdu]]-WYNAJEM47[[#This Row],[data_przyjazdu]])</f>
        <v>27</v>
      </c>
      <c r="G275" s="9">
        <f xml:space="preserve"> WYNAJEM47[[#This Row],[energia]] + WYNAJEM47[[#This Row],[woda]]</f>
        <v>17.39</v>
      </c>
      <c r="I275" s="9"/>
    </row>
    <row r="276" spans="1:9" x14ac:dyDescent="0.25">
      <c r="A276" s="1">
        <v>41743</v>
      </c>
      <c r="B276" s="1">
        <v>41759</v>
      </c>
      <c r="C276" s="8">
        <v>16.55</v>
      </c>
      <c r="D276" s="8">
        <v>0.44</v>
      </c>
      <c r="E276">
        <v>4</v>
      </c>
      <c r="F276" s="10">
        <f>(WYNAJEM47[[#This Row],[data_wyjazdu]]-WYNAJEM47[[#This Row],[data_przyjazdu]])</f>
        <v>16</v>
      </c>
      <c r="G276" s="9">
        <f xml:space="preserve"> WYNAJEM47[[#This Row],[energia]] + WYNAJEM47[[#This Row],[woda]]</f>
        <v>16.990000000000002</v>
      </c>
      <c r="I276" s="9"/>
    </row>
    <row r="277" spans="1:9" x14ac:dyDescent="0.25">
      <c r="A277" s="1">
        <v>41743</v>
      </c>
      <c r="B277" s="1">
        <v>41766</v>
      </c>
      <c r="C277" s="8">
        <v>14.13</v>
      </c>
      <c r="D277" s="8">
        <v>0.37</v>
      </c>
      <c r="E277">
        <v>6</v>
      </c>
      <c r="F277" s="10">
        <f>(WYNAJEM47[[#This Row],[data_wyjazdu]]-WYNAJEM47[[#This Row],[data_przyjazdu]])</f>
        <v>23</v>
      </c>
      <c r="G277" s="9">
        <f xml:space="preserve"> WYNAJEM47[[#This Row],[energia]] + WYNAJEM47[[#This Row],[woda]]</f>
        <v>14.5</v>
      </c>
      <c r="I277" s="9"/>
    </row>
    <row r="278" spans="1:9" x14ac:dyDescent="0.25">
      <c r="A278" s="1">
        <v>41743</v>
      </c>
      <c r="B278" s="1">
        <v>41761</v>
      </c>
      <c r="C278" s="8">
        <v>11.42</v>
      </c>
      <c r="D278" s="8">
        <v>0.3</v>
      </c>
      <c r="E278">
        <v>5</v>
      </c>
      <c r="F278" s="10">
        <f>(WYNAJEM47[[#This Row],[data_wyjazdu]]-WYNAJEM47[[#This Row],[data_przyjazdu]])</f>
        <v>18</v>
      </c>
      <c r="G278" s="9">
        <f xml:space="preserve"> WYNAJEM47[[#This Row],[energia]] + WYNAJEM47[[#This Row],[woda]]</f>
        <v>11.72</v>
      </c>
      <c r="I278" s="9"/>
    </row>
    <row r="279" spans="1:9" x14ac:dyDescent="0.25">
      <c r="A279" s="1">
        <v>41743</v>
      </c>
      <c r="B279" s="1">
        <v>41762</v>
      </c>
      <c r="C279" s="8">
        <v>16.829999999999998</v>
      </c>
      <c r="D279" s="8">
        <v>0.44</v>
      </c>
      <c r="E279">
        <v>5</v>
      </c>
      <c r="F279" s="10">
        <f>(WYNAJEM47[[#This Row],[data_wyjazdu]]-WYNAJEM47[[#This Row],[data_przyjazdu]])</f>
        <v>19</v>
      </c>
      <c r="G279" s="9">
        <f xml:space="preserve"> WYNAJEM47[[#This Row],[energia]] + WYNAJEM47[[#This Row],[woda]]</f>
        <v>17.27</v>
      </c>
      <c r="I279" s="9"/>
    </row>
    <row r="280" spans="1:9" x14ac:dyDescent="0.25">
      <c r="A280" s="1">
        <v>41743</v>
      </c>
      <c r="B280" s="1">
        <v>41768</v>
      </c>
      <c r="C280" s="8">
        <v>9.06</v>
      </c>
      <c r="D280" s="8">
        <v>0.24</v>
      </c>
      <c r="E280">
        <v>4</v>
      </c>
      <c r="F280" s="10">
        <f>(WYNAJEM47[[#This Row],[data_wyjazdu]]-WYNAJEM47[[#This Row],[data_przyjazdu]])</f>
        <v>25</v>
      </c>
      <c r="G280" s="9">
        <f xml:space="preserve"> WYNAJEM47[[#This Row],[energia]] + WYNAJEM47[[#This Row],[woda]]</f>
        <v>9.3000000000000007</v>
      </c>
      <c r="I280" s="9"/>
    </row>
    <row r="281" spans="1:9" x14ac:dyDescent="0.25">
      <c r="A281" s="1">
        <v>41743</v>
      </c>
      <c r="B281" s="1">
        <v>41755</v>
      </c>
      <c r="C281" s="8">
        <v>11.69</v>
      </c>
      <c r="D281" s="8">
        <v>0.31</v>
      </c>
      <c r="E281">
        <v>5</v>
      </c>
      <c r="F281" s="10">
        <f>(WYNAJEM47[[#This Row],[data_wyjazdu]]-WYNAJEM47[[#This Row],[data_przyjazdu]])</f>
        <v>12</v>
      </c>
      <c r="G281" s="9">
        <f xml:space="preserve"> WYNAJEM47[[#This Row],[energia]] + WYNAJEM47[[#This Row],[woda]]</f>
        <v>12</v>
      </c>
      <c r="I281" s="9"/>
    </row>
    <row r="282" spans="1:9" x14ac:dyDescent="0.25">
      <c r="A282" s="1">
        <v>41747</v>
      </c>
      <c r="B282" s="1">
        <v>41772</v>
      </c>
      <c r="C282" s="8">
        <v>6.58</v>
      </c>
      <c r="D282" s="8">
        <v>0.17</v>
      </c>
      <c r="E282">
        <v>3</v>
      </c>
      <c r="F282" s="10">
        <f>(WYNAJEM47[[#This Row],[data_wyjazdu]]-WYNAJEM47[[#This Row],[data_przyjazdu]])</f>
        <v>25</v>
      </c>
      <c r="G282" s="9">
        <f xml:space="preserve"> WYNAJEM47[[#This Row],[energia]] + WYNAJEM47[[#This Row],[woda]]</f>
        <v>6.75</v>
      </c>
      <c r="I282" s="9"/>
    </row>
    <row r="283" spans="1:9" x14ac:dyDescent="0.25">
      <c r="A283" s="1">
        <v>41749</v>
      </c>
      <c r="B283" s="1">
        <v>41755</v>
      </c>
      <c r="C283" s="8">
        <v>11.44</v>
      </c>
      <c r="D283" s="8">
        <v>0.3</v>
      </c>
      <c r="E283">
        <v>6</v>
      </c>
      <c r="F283" s="10">
        <f>(WYNAJEM47[[#This Row],[data_wyjazdu]]-WYNAJEM47[[#This Row],[data_przyjazdu]])</f>
        <v>6</v>
      </c>
      <c r="G283" s="9">
        <f xml:space="preserve"> WYNAJEM47[[#This Row],[energia]] + WYNAJEM47[[#This Row],[woda]]</f>
        <v>11.74</v>
      </c>
      <c r="I283" s="9"/>
    </row>
    <row r="284" spans="1:9" x14ac:dyDescent="0.25">
      <c r="A284" s="1">
        <v>41749</v>
      </c>
      <c r="B284" s="1">
        <v>41763</v>
      </c>
      <c r="C284" s="8">
        <v>6.75</v>
      </c>
      <c r="D284" s="8">
        <v>0.18</v>
      </c>
      <c r="E284">
        <v>6</v>
      </c>
      <c r="F284" s="10">
        <f>(WYNAJEM47[[#This Row],[data_wyjazdu]]-WYNAJEM47[[#This Row],[data_przyjazdu]])</f>
        <v>14</v>
      </c>
      <c r="G284" s="9">
        <f xml:space="preserve"> WYNAJEM47[[#This Row],[energia]] + WYNAJEM47[[#This Row],[woda]]</f>
        <v>6.93</v>
      </c>
      <c r="I284" s="9"/>
    </row>
    <row r="285" spans="1:9" x14ac:dyDescent="0.25">
      <c r="A285" s="1">
        <v>41752</v>
      </c>
      <c r="B285" s="1">
        <v>41771</v>
      </c>
      <c r="C285" s="8">
        <v>7.71</v>
      </c>
      <c r="D285" s="8">
        <v>0.2</v>
      </c>
      <c r="E285">
        <v>5</v>
      </c>
      <c r="F285" s="10">
        <f>(WYNAJEM47[[#This Row],[data_wyjazdu]]-WYNAJEM47[[#This Row],[data_przyjazdu]])</f>
        <v>19</v>
      </c>
      <c r="G285" s="9">
        <f xml:space="preserve"> WYNAJEM47[[#This Row],[energia]] + WYNAJEM47[[#This Row],[woda]]</f>
        <v>7.91</v>
      </c>
      <c r="I285" s="9"/>
    </row>
    <row r="286" spans="1:9" x14ac:dyDescent="0.25">
      <c r="A286" s="1">
        <v>41752</v>
      </c>
      <c r="B286" s="1">
        <v>41754</v>
      </c>
      <c r="C286" s="8">
        <v>6.75</v>
      </c>
      <c r="D286" s="8">
        <v>0.18</v>
      </c>
      <c r="E286">
        <v>4</v>
      </c>
      <c r="F286" s="10">
        <f>(WYNAJEM47[[#This Row],[data_wyjazdu]]-WYNAJEM47[[#This Row],[data_przyjazdu]])</f>
        <v>2</v>
      </c>
      <c r="G286" s="9">
        <f xml:space="preserve"> WYNAJEM47[[#This Row],[energia]] + WYNAJEM47[[#This Row],[woda]]</f>
        <v>6.93</v>
      </c>
      <c r="I286" s="9"/>
    </row>
    <row r="287" spans="1:9" x14ac:dyDescent="0.25">
      <c r="A287" s="1">
        <v>41753</v>
      </c>
      <c r="B287" s="1">
        <v>41758</v>
      </c>
      <c r="C287" s="8">
        <v>3.57</v>
      </c>
      <c r="D287" s="8">
        <v>0.09</v>
      </c>
      <c r="E287">
        <v>2</v>
      </c>
      <c r="F287" s="10">
        <f>(WYNAJEM47[[#This Row],[data_wyjazdu]]-WYNAJEM47[[#This Row],[data_przyjazdu]])</f>
        <v>5</v>
      </c>
      <c r="G287" s="9">
        <f xml:space="preserve"> WYNAJEM47[[#This Row],[energia]] + WYNAJEM47[[#This Row],[woda]]</f>
        <v>3.6599999999999997</v>
      </c>
      <c r="I287" s="9"/>
    </row>
    <row r="288" spans="1:9" x14ac:dyDescent="0.25">
      <c r="A288" s="1">
        <v>41755</v>
      </c>
      <c r="B288" s="1">
        <v>41782</v>
      </c>
      <c r="C288" s="8">
        <v>10.19</v>
      </c>
      <c r="D288" s="8">
        <v>0.27</v>
      </c>
      <c r="E288">
        <v>3</v>
      </c>
      <c r="F288" s="10">
        <f>(WYNAJEM47[[#This Row],[data_wyjazdu]]-WYNAJEM47[[#This Row],[data_przyjazdu]])</f>
        <v>27</v>
      </c>
      <c r="G288" s="9">
        <f xml:space="preserve"> WYNAJEM47[[#This Row],[energia]] + WYNAJEM47[[#This Row],[woda]]</f>
        <v>10.459999999999999</v>
      </c>
      <c r="I288" s="9"/>
    </row>
    <row r="289" spans="1:9" x14ac:dyDescent="0.25">
      <c r="A289" s="1">
        <v>41755</v>
      </c>
      <c r="B289" s="1">
        <v>41779</v>
      </c>
      <c r="C289" s="8">
        <v>11.78</v>
      </c>
      <c r="D289" s="8">
        <v>0.31</v>
      </c>
      <c r="E289">
        <v>3</v>
      </c>
      <c r="F289" s="10">
        <f>(WYNAJEM47[[#This Row],[data_wyjazdu]]-WYNAJEM47[[#This Row],[data_przyjazdu]])</f>
        <v>24</v>
      </c>
      <c r="G289" s="9">
        <f xml:space="preserve"> WYNAJEM47[[#This Row],[energia]] + WYNAJEM47[[#This Row],[woda]]</f>
        <v>12.09</v>
      </c>
      <c r="I289" s="9"/>
    </row>
    <row r="290" spans="1:9" x14ac:dyDescent="0.25">
      <c r="A290" s="1">
        <v>41755</v>
      </c>
      <c r="B290" s="1">
        <v>41771</v>
      </c>
      <c r="C290" s="8">
        <v>3.79</v>
      </c>
      <c r="D290" s="8">
        <v>0.1</v>
      </c>
      <c r="E290">
        <v>3</v>
      </c>
      <c r="F290" s="10">
        <f>(WYNAJEM47[[#This Row],[data_wyjazdu]]-WYNAJEM47[[#This Row],[data_przyjazdu]])</f>
        <v>16</v>
      </c>
      <c r="G290" s="9">
        <f xml:space="preserve"> WYNAJEM47[[#This Row],[energia]] + WYNAJEM47[[#This Row],[woda]]</f>
        <v>3.89</v>
      </c>
      <c r="I290" s="9"/>
    </row>
    <row r="291" spans="1:9" x14ac:dyDescent="0.25">
      <c r="A291" s="1">
        <v>41755</v>
      </c>
      <c r="B291" s="1">
        <v>41761</v>
      </c>
      <c r="C291" s="8">
        <v>6.75</v>
      </c>
      <c r="D291" s="8">
        <v>0.18</v>
      </c>
      <c r="E291">
        <v>6</v>
      </c>
      <c r="F291" s="10">
        <f>(WYNAJEM47[[#This Row],[data_wyjazdu]]-WYNAJEM47[[#This Row],[data_przyjazdu]])</f>
        <v>6</v>
      </c>
      <c r="G291" s="9">
        <f xml:space="preserve"> WYNAJEM47[[#This Row],[energia]] + WYNAJEM47[[#This Row],[woda]]</f>
        <v>6.93</v>
      </c>
      <c r="I291" s="9"/>
    </row>
    <row r="292" spans="1:9" x14ac:dyDescent="0.25">
      <c r="A292" s="1">
        <v>41755</v>
      </c>
      <c r="B292" s="1">
        <v>41767</v>
      </c>
      <c r="C292" s="8">
        <v>12.01</v>
      </c>
      <c r="D292" s="8">
        <v>0.32</v>
      </c>
      <c r="E292">
        <v>2</v>
      </c>
      <c r="F292" s="10">
        <f>(WYNAJEM47[[#This Row],[data_wyjazdu]]-WYNAJEM47[[#This Row],[data_przyjazdu]])</f>
        <v>12</v>
      </c>
      <c r="G292" s="9">
        <f xml:space="preserve"> WYNAJEM47[[#This Row],[energia]] + WYNAJEM47[[#This Row],[woda]]</f>
        <v>12.33</v>
      </c>
      <c r="I292" s="9"/>
    </row>
    <row r="293" spans="1:9" x14ac:dyDescent="0.25">
      <c r="A293" s="1">
        <v>41755</v>
      </c>
      <c r="B293" s="1">
        <v>41764</v>
      </c>
      <c r="C293" s="8">
        <v>2.0099999999999998</v>
      </c>
      <c r="D293" s="8">
        <v>0.05</v>
      </c>
      <c r="E293">
        <v>2</v>
      </c>
      <c r="F293" s="10">
        <f>(WYNAJEM47[[#This Row],[data_wyjazdu]]-WYNAJEM47[[#This Row],[data_przyjazdu]])</f>
        <v>9</v>
      </c>
      <c r="G293" s="9">
        <f xml:space="preserve"> WYNAJEM47[[#This Row],[energia]] + WYNAJEM47[[#This Row],[woda]]</f>
        <v>2.0599999999999996</v>
      </c>
      <c r="I293" s="9"/>
    </row>
    <row r="294" spans="1:9" x14ac:dyDescent="0.25">
      <c r="A294" s="1">
        <v>41757</v>
      </c>
      <c r="B294" s="1">
        <v>41768</v>
      </c>
      <c r="C294" s="8">
        <v>9.06</v>
      </c>
      <c r="D294" s="8">
        <v>0.24</v>
      </c>
      <c r="E294">
        <v>5</v>
      </c>
      <c r="F294" s="10">
        <f>(WYNAJEM47[[#This Row],[data_wyjazdu]]-WYNAJEM47[[#This Row],[data_przyjazdu]])</f>
        <v>11</v>
      </c>
      <c r="G294" s="9">
        <f xml:space="preserve"> WYNAJEM47[[#This Row],[energia]] + WYNAJEM47[[#This Row],[woda]]</f>
        <v>9.3000000000000007</v>
      </c>
      <c r="I294" s="9"/>
    </row>
    <row r="295" spans="1:9" x14ac:dyDescent="0.25">
      <c r="A295" s="1">
        <v>41761</v>
      </c>
      <c r="B295" s="1">
        <v>41786</v>
      </c>
      <c r="C295" s="8">
        <v>13.81</v>
      </c>
      <c r="D295" s="8">
        <v>0.36</v>
      </c>
      <c r="E295">
        <v>3</v>
      </c>
      <c r="F295" s="10">
        <f>(WYNAJEM47[[#This Row],[data_wyjazdu]]-WYNAJEM47[[#This Row],[data_przyjazdu]])</f>
        <v>25</v>
      </c>
      <c r="G295" s="9">
        <f xml:space="preserve"> WYNAJEM47[[#This Row],[energia]] + WYNAJEM47[[#This Row],[woda]]</f>
        <v>14.17</v>
      </c>
      <c r="I295" s="9"/>
    </row>
    <row r="296" spans="1:9" x14ac:dyDescent="0.25">
      <c r="A296" s="1">
        <v>41761</v>
      </c>
      <c r="B296" s="1">
        <v>41782</v>
      </c>
      <c r="C296" s="8">
        <v>5.47</v>
      </c>
      <c r="D296" s="8">
        <v>0.14000000000000001</v>
      </c>
      <c r="E296">
        <v>3</v>
      </c>
      <c r="F296" s="10">
        <f>(WYNAJEM47[[#This Row],[data_wyjazdu]]-WYNAJEM47[[#This Row],[data_przyjazdu]])</f>
        <v>21</v>
      </c>
      <c r="G296" s="9">
        <f xml:space="preserve"> WYNAJEM47[[#This Row],[energia]] + WYNAJEM47[[#This Row],[woda]]</f>
        <v>5.6099999999999994</v>
      </c>
      <c r="I296" s="9"/>
    </row>
    <row r="297" spans="1:9" x14ac:dyDescent="0.25">
      <c r="A297" s="1">
        <v>41761</v>
      </c>
      <c r="B297" s="1">
        <v>41777</v>
      </c>
      <c r="C297" s="8">
        <v>9.06</v>
      </c>
      <c r="D297" s="8">
        <v>0.24</v>
      </c>
      <c r="E297">
        <v>5</v>
      </c>
      <c r="F297" s="10">
        <f>(WYNAJEM47[[#This Row],[data_wyjazdu]]-WYNAJEM47[[#This Row],[data_przyjazdu]])</f>
        <v>16</v>
      </c>
      <c r="G297" s="9">
        <f xml:space="preserve"> WYNAJEM47[[#This Row],[energia]] + WYNAJEM47[[#This Row],[woda]]</f>
        <v>9.3000000000000007</v>
      </c>
      <c r="I297" s="9"/>
    </row>
    <row r="298" spans="1:9" x14ac:dyDescent="0.25">
      <c r="A298" s="1">
        <v>41764</v>
      </c>
      <c r="B298" s="1">
        <v>41780</v>
      </c>
      <c r="C298" s="8">
        <v>8.39</v>
      </c>
      <c r="D298" s="8">
        <v>0.22</v>
      </c>
      <c r="E298">
        <v>5</v>
      </c>
      <c r="F298" s="10">
        <f>(WYNAJEM47[[#This Row],[data_wyjazdu]]-WYNAJEM47[[#This Row],[data_przyjazdu]])</f>
        <v>16</v>
      </c>
      <c r="G298" s="9">
        <f xml:space="preserve"> WYNAJEM47[[#This Row],[energia]] + WYNAJEM47[[#This Row],[woda]]</f>
        <v>8.6100000000000012</v>
      </c>
      <c r="I298" s="9"/>
    </row>
    <row r="299" spans="1:9" x14ac:dyDescent="0.25">
      <c r="A299" s="1">
        <v>41764</v>
      </c>
      <c r="B299" s="1">
        <v>41776</v>
      </c>
      <c r="C299" s="8">
        <v>3.73</v>
      </c>
      <c r="D299" s="8">
        <v>0.1</v>
      </c>
      <c r="E299">
        <v>5</v>
      </c>
      <c r="F299" s="10">
        <f>(WYNAJEM47[[#This Row],[data_wyjazdu]]-WYNAJEM47[[#This Row],[data_przyjazdu]])</f>
        <v>12</v>
      </c>
      <c r="G299" s="9">
        <f xml:space="preserve"> WYNAJEM47[[#This Row],[energia]] + WYNAJEM47[[#This Row],[woda]]</f>
        <v>3.83</v>
      </c>
      <c r="I299" s="9"/>
    </row>
    <row r="300" spans="1:9" x14ac:dyDescent="0.25">
      <c r="A300" s="1">
        <v>41765</v>
      </c>
      <c r="B300" s="1">
        <v>41773</v>
      </c>
      <c r="C300" s="8">
        <v>7.31</v>
      </c>
      <c r="D300" s="8">
        <v>0.19</v>
      </c>
      <c r="E300">
        <v>4</v>
      </c>
      <c r="F300" s="10">
        <f>(WYNAJEM47[[#This Row],[data_wyjazdu]]-WYNAJEM47[[#This Row],[data_przyjazdu]])</f>
        <v>8</v>
      </c>
      <c r="G300" s="9">
        <f xml:space="preserve"> WYNAJEM47[[#This Row],[energia]] + WYNAJEM47[[#This Row],[woda]]</f>
        <v>7.5</v>
      </c>
      <c r="I300" s="9"/>
    </row>
    <row r="301" spans="1:9" x14ac:dyDescent="0.25">
      <c r="A301" s="1">
        <v>41767</v>
      </c>
      <c r="B301" s="1">
        <v>41780</v>
      </c>
      <c r="C301" s="8">
        <v>14.31</v>
      </c>
      <c r="D301" s="8">
        <v>0.38</v>
      </c>
      <c r="E301">
        <v>6</v>
      </c>
      <c r="F301" s="10">
        <f>(WYNAJEM47[[#This Row],[data_wyjazdu]]-WYNAJEM47[[#This Row],[data_przyjazdu]])</f>
        <v>13</v>
      </c>
      <c r="G301" s="9">
        <f xml:space="preserve"> WYNAJEM47[[#This Row],[energia]] + WYNAJEM47[[#This Row],[woda]]</f>
        <v>14.690000000000001</v>
      </c>
      <c r="I301" s="9"/>
    </row>
    <row r="302" spans="1:9" x14ac:dyDescent="0.25">
      <c r="A302" s="1">
        <v>41767</v>
      </c>
      <c r="B302" s="1">
        <v>41794</v>
      </c>
      <c r="C302" s="8">
        <v>14.13</v>
      </c>
      <c r="D302" s="8">
        <v>0.37</v>
      </c>
      <c r="E302">
        <v>4</v>
      </c>
      <c r="F302" s="10">
        <f>(WYNAJEM47[[#This Row],[data_wyjazdu]]-WYNAJEM47[[#This Row],[data_przyjazdu]])</f>
        <v>27</v>
      </c>
      <c r="G302" s="9">
        <f xml:space="preserve"> WYNAJEM47[[#This Row],[energia]] + WYNAJEM47[[#This Row],[woda]]</f>
        <v>14.5</v>
      </c>
      <c r="I302" s="9"/>
    </row>
    <row r="303" spans="1:9" x14ac:dyDescent="0.25">
      <c r="A303" s="1">
        <v>41767</v>
      </c>
      <c r="B303" s="1">
        <v>41777</v>
      </c>
      <c r="C303" s="8">
        <v>3.88</v>
      </c>
      <c r="D303" s="8">
        <v>0.1</v>
      </c>
      <c r="E303">
        <v>5</v>
      </c>
      <c r="F303" s="10">
        <f>(WYNAJEM47[[#This Row],[data_wyjazdu]]-WYNAJEM47[[#This Row],[data_przyjazdu]])</f>
        <v>10</v>
      </c>
      <c r="G303" s="9">
        <f xml:space="preserve"> WYNAJEM47[[#This Row],[energia]] + WYNAJEM47[[#This Row],[woda]]</f>
        <v>3.98</v>
      </c>
      <c r="I303" s="9"/>
    </row>
    <row r="304" spans="1:9" x14ac:dyDescent="0.25">
      <c r="A304" s="1">
        <v>41767</v>
      </c>
      <c r="B304" s="1">
        <v>41769</v>
      </c>
      <c r="C304" s="8">
        <v>7.35</v>
      </c>
      <c r="D304" s="8">
        <v>0.19</v>
      </c>
      <c r="E304">
        <v>6</v>
      </c>
      <c r="F304" s="10">
        <f>(WYNAJEM47[[#This Row],[data_wyjazdu]]-WYNAJEM47[[#This Row],[data_przyjazdu]])</f>
        <v>2</v>
      </c>
      <c r="G304" s="9">
        <f xml:space="preserve"> WYNAJEM47[[#This Row],[energia]] + WYNAJEM47[[#This Row],[woda]]</f>
        <v>7.54</v>
      </c>
      <c r="I304" s="9"/>
    </row>
    <row r="305" spans="1:9" x14ac:dyDescent="0.25">
      <c r="A305" s="1">
        <v>41767</v>
      </c>
      <c r="B305" s="1">
        <v>41776</v>
      </c>
      <c r="C305" s="8">
        <v>12.01</v>
      </c>
      <c r="D305" s="8">
        <v>0.32</v>
      </c>
      <c r="E305">
        <v>4</v>
      </c>
      <c r="F305" s="10">
        <f>(WYNAJEM47[[#This Row],[data_wyjazdu]]-WYNAJEM47[[#This Row],[data_przyjazdu]])</f>
        <v>9</v>
      </c>
      <c r="G305" s="9">
        <f xml:space="preserve"> WYNAJEM47[[#This Row],[energia]] + WYNAJEM47[[#This Row],[woda]]</f>
        <v>12.33</v>
      </c>
      <c r="I305" s="9"/>
    </row>
    <row r="306" spans="1:9" x14ac:dyDescent="0.25">
      <c r="A306" s="1">
        <v>41767</v>
      </c>
      <c r="B306" s="1">
        <v>41775</v>
      </c>
      <c r="C306" s="8">
        <v>13.07</v>
      </c>
      <c r="D306" s="8">
        <v>0.34</v>
      </c>
      <c r="E306">
        <v>3</v>
      </c>
      <c r="F306" s="10">
        <f>(WYNAJEM47[[#This Row],[data_wyjazdu]]-WYNAJEM47[[#This Row],[data_przyjazdu]])</f>
        <v>8</v>
      </c>
      <c r="G306" s="9">
        <f xml:space="preserve"> WYNAJEM47[[#This Row],[energia]] + WYNAJEM47[[#This Row],[woda]]</f>
        <v>13.41</v>
      </c>
      <c r="I306" s="9"/>
    </row>
    <row r="307" spans="1:9" x14ac:dyDescent="0.25">
      <c r="A307" s="1">
        <v>41773</v>
      </c>
      <c r="B307" s="1">
        <v>41789</v>
      </c>
      <c r="C307" s="8">
        <v>7.35</v>
      </c>
      <c r="D307" s="8">
        <v>0.19</v>
      </c>
      <c r="E307">
        <v>4</v>
      </c>
      <c r="F307" s="10">
        <f>(WYNAJEM47[[#This Row],[data_wyjazdu]]-WYNAJEM47[[#This Row],[data_przyjazdu]])</f>
        <v>16</v>
      </c>
      <c r="G307" s="9">
        <f xml:space="preserve"> WYNAJEM47[[#This Row],[energia]] + WYNAJEM47[[#This Row],[woda]]</f>
        <v>7.54</v>
      </c>
      <c r="I307" s="9"/>
    </row>
    <row r="308" spans="1:9" x14ac:dyDescent="0.25">
      <c r="A308" s="1">
        <v>41773</v>
      </c>
      <c r="B308" s="1">
        <v>41776</v>
      </c>
      <c r="C308" s="8">
        <v>11.37</v>
      </c>
      <c r="D308" s="8">
        <v>0.3</v>
      </c>
      <c r="E308">
        <v>2</v>
      </c>
      <c r="F308" s="10">
        <f>(WYNAJEM47[[#This Row],[data_wyjazdu]]-WYNAJEM47[[#This Row],[data_przyjazdu]])</f>
        <v>3</v>
      </c>
      <c r="G308" s="9">
        <f xml:space="preserve"> WYNAJEM47[[#This Row],[energia]] + WYNAJEM47[[#This Row],[woda]]</f>
        <v>11.67</v>
      </c>
      <c r="I308" s="9"/>
    </row>
    <row r="309" spans="1:9" x14ac:dyDescent="0.25">
      <c r="A309" s="1">
        <v>41773</v>
      </c>
      <c r="B309" s="1">
        <v>41778</v>
      </c>
      <c r="C309" s="8">
        <v>13.81</v>
      </c>
      <c r="D309" s="8">
        <v>0.36</v>
      </c>
      <c r="E309">
        <v>3</v>
      </c>
      <c r="F309" s="10">
        <f>(WYNAJEM47[[#This Row],[data_wyjazdu]]-WYNAJEM47[[#This Row],[data_przyjazdu]])</f>
        <v>5</v>
      </c>
      <c r="G309" s="9">
        <f xml:space="preserve"> WYNAJEM47[[#This Row],[energia]] + WYNAJEM47[[#This Row],[woda]]</f>
        <v>14.17</v>
      </c>
      <c r="I309" s="9"/>
    </row>
    <row r="310" spans="1:9" x14ac:dyDescent="0.25">
      <c r="A310" s="1">
        <v>41773</v>
      </c>
      <c r="B310" s="1">
        <v>41780</v>
      </c>
      <c r="C310" s="8">
        <v>5.64</v>
      </c>
      <c r="D310" s="8">
        <v>0.15</v>
      </c>
      <c r="E310">
        <v>6</v>
      </c>
      <c r="F310" s="10">
        <f>(WYNAJEM47[[#This Row],[data_wyjazdu]]-WYNAJEM47[[#This Row],[data_przyjazdu]])</f>
        <v>7</v>
      </c>
      <c r="G310" s="9">
        <f xml:space="preserve"> WYNAJEM47[[#This Row],[energia]] + WYNAJEM47[[#This Row],[woda]]</f>
        <v>5.79</v>
      </c>
      <c r="I310" s="9"/>
    </row>
    <row r="311" spans="1:9" x14ac:dyDescent="0.25">
      <c r="A311" s="1">
        <v>41773</v>
      </c>
      <c r="B311" s="1">
        <v>41782</v>
      </c>
      <c r="C311" s="8">
        <v>7.55</v>
      </c>
      <c r="D311" s="8">
        <v>0.2</v>
      </c>
      <c r="E311">
        <v>2</v>
      </c>
      <c r="F311" s="10">
        <f>(WYNAJEM47[[#This Row],[data_wyjazdu]]-WYNAJEM47[[#This Row],[data_przyjazdu]])</f>
        <v>9</v>
      </c>
      <c r="G311" s="9">
        <f xml:space="preserve"> WYNAJEM47[[#This Row],[energia]] + WYNAJEM47[[#This Row],[woda]]</f>
        <v>7.75</v>
      </c>
      <c r="I311" s="9"/>
    </row>
    <row r="312" spans="1:9" x14ac:dyDescent="0.25">
      <c r="A312" s="1">
        <v>41773</v>
      </c>
      <c r="B312" s="1">
        <v>41787</v>
      </c>
      <c r="C312" s="8">
        <v>5.23</v>
      </c>
      <c r="D312" s="8">
        <v>0.14000000000000001</v>
      </c>
      <c r="E312">
        <v>3</v>
      </c>
      <c r="F312" s="10">
        <f>(WYNAJEM47[[#This Row],[data_wyjazdu]]-WYNAJEM47[[#This Row],[data_przyjazdu]])</f>
        <v>14</v>
      </c>
      <c r="G312" s="9">
        <f xml:space="preserve"> WYNAJEM47[[#This Row],[energia]] + WYNAJEM47[[#This Row],[woda]]</f>
        <v>5.37</v>
      </c>
      <c r="I312" s="9"/>
    </row>
    <row r="313" spans="1:9" x14ac:dyDescent="0.25">
      <c r="A313" s="1">
        <v>41773</v>
      </c>
      <c r="B313" s="1">
        <v>41791</v>
      </c>
      <c r="C313" s="8">
        <v>7.55</v>
      </c>
      <c r="D313" s="8">
        <v>0.2</v>
      </c>
      <c r="E313">
        <v>2</v>
      </c>
      <c r="F313" s="10">
        <f>(WYNAJEM47[[#This Row],[data_wyjazdu]]-WYNAJEM47[[#This Row],[data_przyjazdu]])</f>
        <v>18</v>
      </c>
      <c r="G313" s="9">
        <f xml:space="preserve"> WYNAJEM47[[#This Row],[energia]] + WYNAJEM47[[#This Row],[woda]]</f>
        <v>7.75</v>
      </c>
      <c r="I313" s="9"/>
    </row>
    <row r="314" spans="1:9" x14ac:dyDescent="0.25">
      <c r="A314" s="1">
        <v>41779</v>
      </c>
      <c r="B314" s="1">
        <v>41792</v>
      </c>
      <c r="C314" s="8">
        <v>8.89</v>
      </c>
      <c r="D314" s="8">
        <v>0.23</v>
      </c>
      <c r="E314">
        <v>3</v>
      </c>
      <c r="F314" s="10">
        <f>(WYNAJEM47[[#This Row],[data_wyjazdu]]-WYNAJEM47[[#This Row],[data_przyjazdu]])</f>
        <v>13</v>
      </c>
      <c r="G314" s="9">
        <f xml:space="preserve"> WYNAJEM47[[#This Row],[energia]] + WYNAJEM47[[#This Row],[woda]]</f>
        <v>9.120000000000001</v>
      </c>
      <c r="I314" s="9"/>
    </row>
    <row r="315" spans="1:9" x14ac:dyDescent="0.25">
      <c r="A315" s="1">
        <v>41779</v>
      </c>
      <c r="B315" s="1">
        <v>41803</v>
      </c>
      <c r="C315" s="8">
        <v>8.65</v>
      </c>
      <c r="D315" s="8">
        <v>0.23</v>
      </c>
      <c r="E315">
        <v>3</v>
      </c>
      <c r="F315" s="10">
        <f>(WYNAJEM47[[#This Row],[data_wyjazdu]]-WYNAJEM47[[#This Row],[data_przyjazdu]])</f>
        <v>24</v>
      </c>
      <c r="G315" s="9">
        <f xml:space="preserve"> WYNAJEM47[[#This Row],[energia]] + WYNAJEM47[[#This Row],[woda]]</f>
        <v>8.8800000000000008</v>
      </c>
      <c r="I315" s="9"/>
    </row>
    <row r="316" spans="1:9" x14ac:dyDescent="0.25">
      <c r="A316" s="1">
        <v>41779</v>
      </c>
      <c r="B316" s="1">
        <v>41788</v>
      </c>
      <c r="C316" s="8">
        <v>7.3</v>
      </c>
      <c r="D316" s="8">
        <v>0.19</v>
      </c>
      <c r="E316">
        <v>6</v>
      </c>
      <c r="F316" s="10">
        <f>(WYNAJEM47[[#This Row],[data_wyjazdu]]-WYNAJEM47[[#This Row],[data_przyjazdu]])</f>
        <v>9</v>
      </c>
      <c r="G316" s="9">
        <f xml:space="preserve"> WYNAJEM47[[#This Row],[energia]] + WYNAJEM47[[#This Row],[woda]]</f>
        <v>7.49</v>
      </c>
      <c r="I316" s="9"/>
    </row>
    <row r="317" spans="1:9" x14ac:dyDescent="0.25">
      <c r="A317" s="1">
        <v>41779</v>
      </c>
      <c r="B317" s="1">
        <v>41801</v>
      </c>
      <c r="C317" s="8">
        <v>10.59</v>
      </c>
      <c r="D317" s="8">
        <v>0.28000000000000003</v>
      </c>
      <c r="E317">
        <v>5</v>
      </c>
      <c r="F317" s="10">
        <f>(WYNAJEM47[[#This Row],[data_wyjazdu]]-WYNAJEM47[[#This Row],[data_przyjazdu]])</f>
        <v>22</v>
      </c>
      <c r="G317" s="9">
        <f xml:space="preserve"> WYNAJEM47[[#This Row],[energia]] + WYNAJEM47[[#This Row],[woda]]</f>
        <v>10.87</v>
      </c>
      <c r="I317" s="9"/>
    </row>
    <row r="318" spans="1:9" x14ac:dyDescent="0.25">
      <c r="A318" s="1">
        <v>41779</v>
      </c>
      <c r="B318" s="1">
        <v>41789</v>
      </c>
      <c r="C318" s="8">
        <v>11.37</v>
      </c>
      <c r="D318" s="8">
        <v>0.3</v>
      </c>
      <c r="E318">
        <v>5</v>
      </c>
      <c r="F318" s="10">
        <f>(WYNAJEM47[[#This Row],[data_wyjazdu]]-WYNAJEM47[[#This Row],[data_przyjazdu]])</f>
        <v>10</v>
      </c>
      <c r="G318" s="9">
        <f xml:space="preserve"> WYNAJEM47[[#This Row],[energia]] + WYNAJEM47[[#This Row],[woda]]</f>
        <v>11.67</v>
      </c>
      <c r="I318" s="9"/>
    </row>
    <row r="319" spans="1:9" x14ac:dyDescent="0.25">
      <c r="A319" s="1">
        <v>41779</v>
      </c>
      <c r="B319" s="1">
        <v>41793</v>
      </c>
      <c r="C319" s="8">
        <v>10.79</v>
      </c>
      <c r="D319" s="8">
        <v>0.28000000000000003</v>
      </c>
      <c r="E319">
        <v>4</v>
      </c>
      <c r="F319" s="10">
        <f>(WYNAJEM47[[#This Row],[data_wyjazdu]]-WYNAJEM47[[#This Row],[data_przyjazdu]])</f>
        <v>14</v>
      </c>
      <c r="G319" s="9">
        <f xml:space="preserve"> WYNAJEM47[[#This Row],[energia]] + WYNAJEM47[[#This Row],[woda]]</f>
        <v>11.069999999999999</v>
      </c>
      <c r="I319" s="9"/>
    </row>
    <row r="320" spans="1:9" x14ac:dyDescent="0.25">
      <c r="A320" s="1">
        <v>41785</v>
      </c>
      <c r="B320" s="1">
        <v>41793</v>
      </c>
      <c r="C320" s="8">
        <v>11.44</v>
      </c>
      <c r="D320" s="8">
        <v>0.3</v>
      </c>
      <c r="E320">
        <v>4</v>
      </c>
      <c r="F320" s="10">
        <f>(WYNAJEM47[[#This Row],[data_wyjazdu]]-WYNAJEM47[[#This Row],[data_przyjazdu]])</f>
        <v>8</v>
      </c>
      <c r="G320" s="9">
        <f xml:space="preserve"> WYNAJEM47[[#This Row],[energia]] + WYNAJEM47[[#This Row],[woda]]</f>
        <v>11.74</v>
      </c>
      <c r="I320" s="9"/>
    </row>
    <row r="321" spans="1:9" x14ac:dyDescent="0.25">
      <c r="A321" s="1">
        <v>41785</v>
      </c>
      <c r="B321" s="1">
        <v>41796</v>
      </c>
      <c r="C321" s="8">
        <v>13.07</v>
      </c>
      <c r="D321" s="8">
        <v>0.34</v>
      </c>
      <c r="E321">
        <v>2</v>
      </c>
      <c r="F321" s="10">
        <f>(WYNAJEM47[[#This Row],[data_wyjazdu]]-WYNAJEM47[[#This Row],[data_przyjazdu]])</f>
        <v>11</v>
      </c>
      <c r="G321" s="9">
        <f xml:space="preserve"> WYNAJEM47[[#This Row],[energia]] + WYNAJEM47[[#This Row],[woda]]</f>
        <v>13.41</v>
      </c>
      <c r="I321" s="9"/>
    </row>
    <row r="322" spans="1:9" x14ac:dyDescent="0.25">
      <c r="A322" s="1">
        <v>41785</v>
      </c>
      <c r="B322" s="1">
        <v>41801</v>
      </c>
      <c r="C322" s="8">
        <v>5.57</v>
      </c>
      <c r="D322" s="8">
        <v>0.15</v>
      </c>
      <c r="E322">
        <v>6</v>
      </c>
      <c r="F322" s="10">
        <f>(WYNAJEM47[[#This Row],[data_wyjazdu]]-WYNAJEM47[[#This Row],[data_przyjazdu]])</f>
        <v>16</v>
      </c>
      <c r="G322" s="9">
        <f xml:space="preserve"> WYNAJEM47[[#This Row],[energia]] + WYNAJEM47[[#This Row],[woda]]</f>
        <v>5.7200000000000006</v>
      </c>
      <c r="I322" s="9"/>
    </row>
    <row r="323" spans="1:9" x14ac:dyDescent="0.25">
      <c r="A323" s="1">
        <v>41785</v>
      </c>
      <c r="B323" s="1">
        <v>41787</v>
      </c>
      <c r="C323" s="8">
        <v>11.78</v>
      </c>
      <c r="D323" s="8">
        <v>0.31</v>
      </c>
      <c r="E323">
        <v>5</v>
      </c>
      <c r="F323" s="10">
        <f>(WYNAJEM47[[#This Row],[data_wyjazdu]]-WYNAJEM47[[#This Row],[data_przyjazdu]])</f>
        <v>2</v>
      </c>
      <c r="G323" s="9">
        <f xml:space="preserve"> WYNAJEM47[[#This Row],[energia]] + WYNAJEM47[[#This Row],[woda]]</f>
        <v>12.09</v>
      </c>
      <c r="I323" s="9"/>
    </row>
    <row r="324" spans="1:9" x14ac:dyDescent="0.25">
      <c r="A324" s="1">
        <v>41785</v>
      </c>
      <c r="B324" s="1">
        <v>41788</v>
      </c>
      <c r="C324" s="8">
        <v>11.78</v>
      </c>
      <c r="D324" s="8">
        <v>0.31</v>
      </c>
      <c r="E324">
        <v>2</v>
      </c>
      <c r="F324" s="10">
        <f>(WYNAJEM47[[#This Row],[data_wyjazdu]]-WYNAJEM47[[#This Row],[data_przyjazdu]])</f>
        <v>3</v>
      </c>
      <c r="G324" s="9">
        <f xml:space="preserve"> WYNAJEM47[[#This Row],[energia]] + WYNAJEM47[[#This Row],[woda]]</f>
        <v>12.09</v>
      </c>
      <c r="I324" s="9"/>
    </row>
    <row r="325" spans="1:9" x14ac:dyDescent="0.25">
      <c r="A325" s="1">
        <v>41785</v>
      </c>
      <c r="B325" s="1">
        <v>41802</v>
      </c>
      <c r="C325" s="8">
        <v>9.74</v>
      </c>
      <c r="D325" s="8">
        <v>0.26</v>
      </c>
      <c r="E325">
        <v>3</v>
      </c>
      <c r="F325" s="10">
        <f>(WYNAJEM47[[#This Row],[data_wyjazdu]]-WYNAJEM47[[#This Row],[data_przyjazdu]])</f>
        <v>17</v>
      </c>
      <c r="G325" s="9">
        <f xml:space="preserve"> WYNAJEM47[[#This Row],[energia]] + WYNAJEM47[[#This Row],[woda]]</f>
        <v>10</v>
      </c>
      <c r="I325" s="9"/>
    </row>
    <row r="326" spans="1:9" x14ac:dyDescent="0.25">
      <c r="A326" s="1">
        <v>41791</v>
      </c>
      <c r="B326" s="1">
        <v>41818</v>
      </c>
      <c r="C326" s="8">
        <v>12.01</v>
      </c>
      <c r="D326" s="8">
        <v>0.32</v>
      </c>
      <c r="E326">
        <v>6</v>
      </c>
      <c r="F326" s="10">
        <f>(WYNAJEM47[[#This Row],[data_wyjazdu]]-WYNAJEM47[[#This Row],[data_przyjazdu]])</f>
        <v>27</v>
      </c>
      <c r="G326" s="9">
        <f xml:space="preserve"> WYNAJEM47[[#This Row],[energia]] + WYNAJEM47[[#This Row],[woda]]</f>
        <v>12.33</v>
      </c>
      <c r="I326" s="9"/>
    </row>
    <row r="327" spans="1:9" x14ac:dyDescent="0.25">
      <c r="A327" s="1">
        <v>41791</v>
      </c>
      <c r="B327" s="1">
        <v>41798</v>
      </c>
      <c r="C327" s="8">
        <v>9.4600000000000009</v>
      </c>
      <c r="D327" s="8">
        <v>0.25</v>
      </c>
      <c r="E327">
        <v>3</v>
      </c>
      <c r="F327" s="10">
        <f>(WYNAJEM47[[#This Row],[data_wyjazdu]]-WYNAJEM47[[#This Row],[data_przyjazdu]])</f>
        <v>7</v>
      </c>
      <c r="G327" s="9">
        <f xml:space="preserve"> WYNAJEM47[[#This Row],[energia]] + WYNAJEM47[[#This Row],[woda]]</f>
        <v>9.7100000000000009</v>
      </c>
      <c r="I327" s="9"/>
    </row>
    <row r="328" spans="1:9" x14ac:dyDescent="0.25">
      <c r="A328" s="1">
        <v>41791</v>
      </c>
      <c r="B328" s="1">
        <v>41795</v>
      </c>
      <c r="C328" s="8">
        <v>11.37</v>
      </c>
      <c r="D328" s="8">
        <v>0.3</v>
      </c>
      <c r="E328">
        <v>6</v>
      </c>
      <c r="F328" s="10">
        <f>(WYNAJEM47[[#This Row],[data_wyjazdu]]-WYNAJEM47[[#This Row],[data_przyjazdu]])</f>
        <v>4</v>
      </c>
      <c r="G328" s="9">
        <f xml:space="preserve"> WYNAJEM47[[#This Row],[energia]] + WYNAJEM47[[#This Row],[woda]]</f>
        <v>11.67</v>
      </c>
      <c r="I328" s="9"/>
    </row>
    <row r="329" spans="1:9" x14ac:dyDescent="0.25">
      <c r="A329" s="1">
        <v>41791</v>
      </c>
      <c r="B329" s="1">
        <v>41807</v>
      </c>
      <c r="C329" s="8">
        <v>5.78</v>
      </c>
      <c r="D329" s="8">
        <v>0.15</v>
      </c>
      <c r="E329">
        <v>3</v>
      </c>
      <c r="F329" s="10">
        <f>(WYNAJEM47[[#This Row],[data_wyjazdu]]-WYNAJEM47[[#This Row],[data_przyjazdu]])</f>
        <v>16</v>
      </c>
      <c r="G329" s="9">
        <f xml:space="preserve"> WYNAJEM47[[#This Row],[energia]] + WYNAJEM47[[#This Row],[woda]]</f>
        <v>5.9300000000000006</v>
      </c>
      <c r="I329" s="9"/>
    </row>
    <row r="330" spans="1:9" x14ac:dyDescent="0.25">
      <c r="A330" s="1">
        <v>41791</v>
      </c>
      <c r="B330" s="1">
        <v>41812</v>
      </c>
      <c r="C330" s="8">
        <v>12.01</v>
      </c>
      <c r="D330" s="8">
        <v>0.32</v>
      </c>
      <c r="E330">
        <v>5</v>
      </c>
      <c r="F330" s="10">
        <f>(WYNAJEM47[[#This Row],[data_wyjazdu]]-WYNAJEM47[[#This Row],[data_przyjazdu]])</f>
        <v>21</v>
      </c>
      <c r="G330" s="9">
        <f xml:space="preserve"> WYNAJEM47[[#This Row],[energia]] + WYNAJEM47[[#This Row],[woda]]</f>
        <v>12.33</v>
      </c>
      <c r="I330" s="9"/>
    </row>
    <row r="331" spans="1:9" x14ac:dyDescent="0.25">
      <c r="A331" s="1">
        <v>41791</v>
      </c>
      <c r="B331" s="1">
        <v>41815</v>
      </c>
      <c r="C331" s="8">
        <v>7.55</v>
      </c>
      <c r="D331" s="8">
        <v>0.2</v>
      </c>
      <c r="E331">
        <v>5</v>
      </c>
      <c r="F331" s="10">
        <f>(WYNAJEM47[[#This Row],[data_wyjazdu]]-WYNAJEM47[[#This Row],[data_przyjazdu]])</f>
        <v>24</v>
      </c>
      <c r="G331" s="9">
        <f xml:space="preserve"> WYNAJEM47[[#This Row],[energia]] + WYNAJEM47[[#This Row],[woda]]</f>
        <v>7.75</v>
      </c>
      <c r="I331" s="9"/>
    </row>
    <row r="332" spans="1:9" x14ac:dyDescent="0.25">
      <c r="A332" s="1">
        <v>41791</v>
      </c>
      <c r="B332" s="1">
        <v>41794</v>
      </c>
      <c r="C332" s="8">
        <v>9.74</v>
      </c>
      <c r="D332" s="8">
        <v>0.26</v>
      </c>
      <c r="E332">
        <v>3</v>
      </c>
      <c r="F332" s="10">
        <f>(WYNAJEM47[[#This Row],[data_wyjazdu]]-WYNAJEM47[[#This Row],[data_przyjazdu]])</f>
        <v>3</v>
      </c>
      <c r="G332" s="9">
        <f xml:space="preserve"> WYNAJEM47[[#This Row],[energia]] + WYNAJEM47[[#This Row],[woda]]</f>
        <v>10</v>
      </c>
      <c r="I332" s="9"/>
    </row>
    <row r="333" spans="1:9" x14ac:dyDescent="0.25">
      <c r="A333" s="1">
        <v>41792</v>
      </c>
      <c r="B333" s="1">
        <v>41802</v>
      </c>
      <c r="C333" s="8">
        <v>2.72</v>
      </c>
      <c r="D333" s="8">
        <v>7.0000000000000007E-2</v>
      </c>
      <c r="E333">
        <v>2</v>
      </c>
      <c r="F333" s="10">
        <f>(WYNAJEM47[[#This Row],[data_wyjazdu]]-WYNAJEM47[[#This Row],[data_przyjazdu]])</f>
        <v>10</v>
      </c>
      <c r="G333" s="9">
        <f xml:space="preserve"> WYNAJEM47[[#This Row],[energia]] + WYNAJEM47[[#This Row],[woda]]</f>
        <v>2.79</v>
      </c>
      <c r="I333" s="9"/>
    </row>
    <row r="334" spans="1:9" x14ac:dyDescent="0.25">
      <c r="A334" s="1">
        <v>41792</v>
      </c>
      <c r="B334" s="1">
        <v>41801</v>
      </c>
      <c r="C334" s="8">
        <v>3.57</v>
      </c>
      <c r="D334" s="8">
        <v>0.09</v>
      </c>
      <c r="E334">
        <v>3</v>
      </c>
      <c r="F334" s="10">
        <f>(WYNAJEM47[[#This Row],[data_wyjazdu]]-WYNAJEM47[[#This Row],[data_przyjazdu]])</f>
        <v>9</v>
      </c>
      <c r="G334" s="9">
        <f xml:space="preserve"> WYNAJEM47[[#This Row],[energia]] + WYNAJEM47[[#This Row],[woda]]</f>
        <v>3.6599999999999997</v>
      </c>
      <c r="I334" s="9"/>
    </row>
    <row r="335" spans="1:9" x14ac:dyDescent="0.25">
      <c r="A335" s="1">
        <v>41792</v>
      </c>
      <c r="B335" s="1">
        <v>41813</v>
      </c>
      <c r="C335" s="8">
        <v>7.55</v>
      </c>
      <c r="D335" s="8">
        <v>0.2</v>
      </c>
      <c r="E335">
        <v>6</v>
      </c>
      <c r="F335" s="10">
        <f>(WYNAJEM47[[#This Row],[data_wyjazdu]]-WYNAJEM47[[#This Row],[data_przyjazdu]])</f>
        <v>21</v>
      </c>
      <c r="G335" s="9">
        <f xml:space="preserve"> WYNAJEM47[[#This Row],[energia]] + WYNAJEM47[[#This Row],[woda]]</f>
        <v>7.75</v>
      </c>
      <c r="I335" s="9"/>
    </row>
    <row r="336" spans="1:9" x14ac:dyDescent="0.25">
      <c r="A336" s="1">
        <v>41792</v>
      </c>
      <c r="B336" s="1">
        <v>41812</v>
      </c>
      <c r="C336" s="8">
        <v>3.57</v>
      </c>
      <c r="D336" s="8">
        <v>0.09</v>
      </c>
      <c r="E336">
        <v>2</v>
      </c>
      <c r="F336" s="10">
        <f>(WYNAJEM47[[#This Row],[data_wyjazdu]]-WYNAJEM47[[#This Row],[data_przyjazdu]])</f>
        <v>20</v>
      </c>
      <c r="G336" s="9">
        <f xml:space="preserve"> WYNAJEM47[[#This Row],[energia]] + WYNAJEM47[[#This Row],[woda]]</f>
        <v>3.6599999999999997</v>
      </c>
      <c r="I336" s="9"/>
    </row>
    <row r="337" spans="1:9" x14ac:dyDescent="0.25">
      <c r="A337" s="1">
        <v>41793</v>
      </c>
      <c r="B337" s="1">
        <v>41803</v>
      </c>
      <c r="C337" s="8">
        <v>2.29</v>
      </c>
      <c r="D337" s="8">
        <v>0.06</v>
      </c>
      <c r="E337">
        <v>5</v>
      </c>
      <c r="F337" s="10">
        <f>(WYNAJEM47[[#This Row],[data_wyjazdu]]-WYNAJEM47[[#This Row],[data_przyjazdu]])</f>
        <v>10</v>
      </c>
      <c r="G337" s="9">
        <f xml:space="preserve"> WYNAJEM47[[#This Row],[energia]] + WYNAJEM47[[#This Row],[woda]]</f>
        <v>2.35</v>
      </c>
      <c r="I337" s="9"/>
    </row>
    <row r="338" spans="1:9" x14ac:dyDescent="0.25">
      <c r="A338" s="1">
        <v>41793</v>
      </c>
      <c r="B338" s="1">
        <v>41817</v>
      </c>
      <c r="C338" s="8">
        <v>9.06</v>
      </c>
      <c r="D338" s="8">
        <v>0.24</v>
      </c>
      <c r="E338">
        <v>4</v>
      </c>
      <c r="F338" s="10">
        <f>(WYNAJEM47[[#This Row],[data_wyjazdu]]-WYNAJEM47[[#This Row],[data_przyjazdu]])</f>
        <v>24</v>
      </c>
      <c r="G338" s="9">
        <f xml:space="preserve"> WYNAJEM47[[#This Row],[energia]] + WYNAJEM47[[#This Row],[woda]]</f>
        <v>9.3000000000000007</v>
      </c>
      <c r="I338" s="9"/>
    </row>
    <row r="339" spans="1:9" x14ac:dyDescent="0.25">
      <c r="A339" s="1">
        <v>41794</v>
      </c>
      <c r="B339" s="1">
        <v>41798</v>
      </c>
      <c r="C339" s="8">
        <v>4.25</v>
      </c>
      <c r="D339" s="8">
        <v>0.11</v>
      </c>
      <c r="E339">
        <v>2</v>
      </c>
      <c r="F339" s="10">
        <f>(WYNAJEM47[[#This Row],[data_wyjazdu]]-WYNAJEM47[[#This Row],[data_przyjazdu]])</f>
        <v>4</v>
      </c>
      <c r="G339" s="9">
        <f xml:space="preserve"> WYNAJEM47[[#This Row],[energia]] + WYNAJEM47[[#This Row],[woda]]</f>
        <v>4.3600000000000003</v>
      </c>
      <c r="I339" s="9"/>
    </row>
    <row r="340" spans="1:9" x14ac:dyDescent="0.25">
      <c r="A340" s="1">
        <v>41794</v>
      </c>
      <c r="B340" s="1">
        <v>41804</v>
      </c>
      <c r="C340" s="8">
        <v>7.31</v>
      </c>
      <c r="D340" s="8">
        <v>0.19</v>
      </c>
      <c r="E340">
        <v>6</v>
      </c>
      <c r="F340" s="10">
        <f>(WYNAJEM47[[#This Row],[data_wyjazdu]]-WYNAJEM47[[#This Row],[data_przyjazdu]])</f>
        <v>10</v>
      </c>
      <c r="G340" s="9">
        <f xml:space="preserve"> WYNAJEM47[[#This Row],[energia]] + WYNAJEM47[[#This Row],[woda]]</f>
        <v>7.5</v>
      </c>
      <c r="I340" s="9"/>
    </row>
    <row r="341" spans="1:9" x14ac:dyDescent="0.25">
      <c r="A341" s="1">
        <v>41794</v>
      </c>
      <c r="B341" s="1">
        <v>41800</v>
      </c>
      <c r="C341" s="8">
        <v>9.06</v>
      </c>
      <c r="D341" s="8">
        <v>0.24</v>
      </c>
      <c r="E341">
        <v>2</v>
      </c>
      <c r="F341" s="10">
        <f>(WYNAJEM47[[#This Row],[data_wyjazdu]]-WYNAJEM47[[#This Row],[data_przyjazdu]])</f>
        <v>6</v>
      </c>
      <c r="G341" s="9">
        <f xml:space="preserve"> WYNAJEM47[[#This Row],[energia]] + WYNAJEM47[[#This Row],[woda]]</f>
        <v>9.3000000000000007</v>
      </c>
      <c r="I341" s="9"/>
    </row>
    <row r="342" spans="1:9" x14ac:dyDescent="0.25">
      <c r="A342" s="1">
        <v>41795</v>
      </c>
      <c r="B342" s="1">
        <v>41799</v>
      </c>
      <c r="C342" s="8">
        <v>6.43</v>
      </c>
      <c r="D342" s="8">
        <v>0.17</v>
      </c>
      <c r="E342">
        <v>3</v>
      </c>
      <c r="F342" s="10">
        <f>(WYNAJEM47[[#This Row],[data_wyjazdu]]-WYNAJEM47[[#This Row],[data_przyjazdu]])</f>
        <v>4</v>
      </c>
      <c r="G342" s="9">
        <f xml:space="preserve"> WYNAJEM47[[#This Row],[energia]] + WYNAJEM47[[#This Row],[woda]]</f>
        <v>6.6</v>
      </c>
      <c r="I342" s="9"/>
    </row>
    <row r="343" spans="1:9" x14ac:dyDescent="0.25">
      <c r="A343" s="1">
        <v>41797</v>
      </c>
      <c r="B343" s="1">
        <v>41808</v>
      </c>
      <c r="C343" s="8">
        <v>2.0099999999999998</v>
      </c>
      <c r="D343" s="8">
        <v>0.05</v>
      </c>
      <c r="E343">
        <v>3</v>
      </c>
      <c r="F343" s="10">
        <f>(WYNAJEM47[[#This Row],[data_wyjazdu]]-WYNAJEM47[[#This Row],[data_przyjazdu]])</f>
        <v>11</v>
      </c>
      <c r="G343" s="9">
        <f xml:space="preserve"> WYNAJEM47[[#This Row],[energia]] + WYNAJEM47[[#This Row],[woda]]</f>
        <v>2.0599999999999996</v>
      </c>
      <c r="I343" s="9"/>
    </row>
    <row r="344" spans="1:9" x14ac:dyDescent="0.25">
      <c r="A344" s="1">
        <v>41797</v>
      </c>
      <c r="B344" s="1">
        <v>41802</v>
      </c>
      <c r="C344" s="8">
        <v>8.51</v>
      </c>
      <c r="D344" s="8">
        <v>0.22</v>
      </c>
      <c r="E344">
        <v>3</v>
      </c>
      <c r="F344" s="10">
        <f>(WYNAJEM47[[#This Row],[data_wyjazdu]]-WYNAJEM47[[#This Row],[data_przyjazdu]])</f>
        <v>5</v>
      </c>
      <c r="G344" s="9">
        <f xml:space="preserve"> WYNAJEM47[[#This Row],[energia]] + WYNAJEM47[[#This Row],[woda]]</f>
        <v>8.73</v>
      </c>
      <c r="I344" s="9"/>
    </row>
    <row r="345" spans="1:9" x14ac:dyDescent="0.25">
      <c r="A345" s="1">
        <v>41797</v>
      </c>
      <c r="B345" s="1">
        <v>41817</v>
      </c>
      <c r="C345" s="8">
        <v>16.55</v>
      </c>
      <c r="D345" s="8">
        <v>0.44</v>
      </c>
      <c r="E345">
        <v>4</v>
      </c>
      <c r="F345" s="10">
        <f>(WYNAJEM47[[#This Row],[data_wyjazdu]]-WYNAJEM47[[#This Row],[data_przyjazdu]])</f>
        <v>20</v>
      </c>
      <c r="G345" s="9">
        <f xml:space="preserve"> WYNAJEM47[[#This Row],[energia]] + WYNAJEM47[[#This Row],[woda]]</f>
        <v>16.990000000000002</v>
      </c>
      <c r="I345" s="9"/>
    </row>
    <row r="346" spans="1:9" x14ac:dyDescent="0.25">
      <c r="A346" s="1">
        <v>41797</v>
      </c>
      <c r="B346" s="1">
        <v>41804</v>
      </c>
      <c r="C346" s="8">
        <v>9.1300000000000008</v>
      </c>
      <c r="D346" s="8">
        <v>0.24</v>
      </c>
      <c r="E346">
        <v>3</v>
      </c>
      <c r="F346" s="10">
        <f>(WYNAJEM47[[#This Row],[data_wyjazdu]]-WYNAJEM47[[#This Row],[data_przyjazdu]])</f>
        <v>7</v>
      </c>
      <c r="G346" s="9">
        <f xml:space="preserve"> WYNAJEM47[[#This Row],[energia]] + WYNAJEM47[[#This Row],[woda]]</f>
        <v>9.370000000000001</v>
      </c>
      <c r="I346" s="9"/>
    </row>
    <row r="347" spans="1:9" x14ac:dyDescent="0.25">
      <c r="A347" s="1">
        <v>41797</v>
      </c>
      <c r="B347" s="1">
        <v>41816</v>
      </c>
      <c r="C347" s="8">
        <v>10.199999999999999</v>
      </c>
      <c r="D347" s="8">
        <v>0.27</v>
      </c>
      <c r="E347">
        <v>5</v>
      </c>
      <c r="F347" s="10">
        <f>(WYNAJEM47[[#This Row],[data_wyjazdu]]-WYNAJEM47[[#This Row],[data_przyjazdu]])</f>
        <v>19</v>
      </c>
      <c r="G347" s="9">
        <f xml:space="preserve"> WYNAJEM47[[#This Row],[energia]] + WYNAJEM47[[#This Row],[woda]]</f>
        <v>10.469999999999999</v>
      </c>
      <c r="I347" s="9"/>
    </row>
    <row r="348" spans="1:9" x14ac:dyDescent="0.25">
      <c r="A348" s="1">
        <v>41799</v>
      </c>
      <c r="B348" s="1">
        <v>41823</v>
      </c>
      <c r="C348" s="8">
        <v>6.23</v>
      </c>
      <c r="D348" s="8">
        <v>0.16</v>
      </c>
      <c r="E348">
        <v>2</v>
      </c>
      <c r="F348" s="10">
        <f>(WYNAJEM47[[#This Row],[data_wyjazdu]]-WYNAJEM47[[#This Row],[data_przyjazdu]])</f>
        <v>24</v>
      </c>
      <c r="G348" s="9">
        <f xml:space="preserve"> WYNAJEM47[[#This Row],[energia]] + WYNAJEM47[[#This Row],[woda]]</f>
        <v>6.3900000000000006</v>
      </c>
      <c r="I348" s="9"/>
    </row>
    <row r="349" spans="1:9" x14ac:dyDescent="0.25">
      <c r="A349" s="1">
        <v>41803</v>
      </c>
      <c r="B349" s="1">
        <v>41827</v>
      </c>
      <c r="C349" s="8">
        <v>8.51</v>
      </c>
      <c r="D349" s="8">
        <v>0.22</v>
      </c>
      <c r="E349">
        <v>3</v>
      </c>
      <c r="F349" s="10">
        <f>(WYNAJEM47[[#This Row],[data_wyjazdu]]-WYNAJEM47[[#This Row],[data_przyjazdu]])</f>
        <v>24</v>
      </c>
      <c r="G349" s="9">
        <f xml:space="preserve"> WYNAJEM47[[#This Row],[energia]] + WYNAJEM47[[#This Row],[woda]]</f>
        <v>8.73</v>
      </c>
      <c r="I349" s="9"/>
    </row>
    <row r="350" spans="1:9" x14ac:dyDescent="0.25">
      <c r="A350" s="1">
        <v>41803</v>
      </c>
      <c r="B350" s="1">
        <v>41811</v>
      </c>
      <c r="C350" s="8">
        <v>13.82</v>
      </c>
      <c r="D350" s="8">
        <v>0.36</v>
      </c>
      <c r="E350">
        <v>4</v>
      </c>
      <c r="F350" s="10">
        <f>(WYNAJEM47[[#This Row],[data_wyjazdu]]-WYNAJEM47[[#This Row],[data_przyjazdu]])</f>
        <v>8</v>
      </c>
      <c r="G350" s="9">
        <f xml:space="preserve"> WYNAJEM47[[#This Row],[energia]] + WYNAJEM47[[#This Row],[woda]]</f>
        <v>14.18</v>
      </c>
      <c r="I350" s="9"/>
    </row>
    <row r="351" spans="1:9" x14ac:dyDescent="0.25">
      <c r="A351" s="1">
        <v>41803</v>
      </c>
      <c r="B351" s="1">
        <v>41825</v>
      </c>
      <c r="C351" s="8">
        <v>6.34</v>
      </c>
      <c r="D351" s="8">
        <v>0.17</v>
      </c>
      <c r="E351">
        <v>6</v>
      </c>
      <c r="F351" s="10">
        <f>(WYNAJEM47[[#This Row],[data_wyjazdu]]-WYNAJEM47[[#This Row],[data_przyjazdu]])</f>
        <v>22</v>
      </c>
      <c r="G351" s="9">
        <f xml:space="preserve"> WYNAJEM47[[#This Row],[energia]] + WYNAJEM47[[#This Row],[woda]]</f>
        <v>6.51</v>
      </c>
      <c r="I351" s="9"/>
    </row>
    <row r="352" spans="1:9" x14ac:dyDescent="0.25">
      <c r="A352" s="1">
        <v>41803</v>
      </c>
      <c r="B352" s="1">
        <v>41829</v>
      </c>
      <c r="C352" s="8">
        <v>10.19</v>
      </c>
      <c r="D352" s="8">
        <v>0.27</v>
      </c>
      <c r="E352">
        <v>6</v>
      </c>
      <c r="F352" s="10">
        <f>(WYNAJEM47[[#This Row],[data_wyjazdu]]-WYNAJEM47[[#This Row],[data_przyjazdu]])</f>
        <v>26</v>
      </c>
      <c r="G352" s="9">
        <f xml:space="preserve"> WYNAJEM47[[#This Row],[energia]] + WYNAJEM47[[#This Row],[woda]]</f>
        <v>10.459999999999999</v>
      </c>
      <c r="I352" s="9"/>
    </row>
    <row r="353" spans="1:9" x14ac:dyDescent="0.25">
      <c r="A353" s="1">
        <v>41803</v>
      </c>
      <c r="B353" s="1">
        <v>41805</v>
      </c>
      <c r="C353" s="8">
        <v>14</v>
      </c>
      <c r="D353" s="8">
        <v>0.37</v>
      </c>
      <c r="E353">
        <v>3</v>
      </c>
      <c r="F353" s="10">
        <f>(WYNAJEM47[[#This Row],[data_wyjazdu]]-WYNAJEM47[[#This Row],[data_przyjazdu]])</f>
        <v>2</v>
      </c>
      <c r="G353" s="9">
        <f xml:space="preserve"> WYNAJEM47[[#This Row],[energia]] + WYNAJEM47[[#This Row],[woda]]</f>
        <v>14.37</v>
      </c>
      <c r="I353" s="9"/>
    </row>
    <row r="354" spans="1:9" x14ac:dyDescent="0.25">
      <c r="A354" s="1">
        <v>41803</v>
      </c>
      <c r="B354" s="1">
        <v>41814</v>
      </c>
      <c r="C354" s="8">
        <v>14</v>
      </c>
      <c r="D354" s="8">
        <v>0.37</v>
      </c>
      <c r="E354">
        <v>4</v>
      </c>
      <c r="F354" s="10">
        <f>(WYNAJEM47[[#This Row],[data_wyjazdu]]-WYNAJEM47[[#This Row],[data_przyjazdu]])</f>
        <v>11</v>
      </c>
      <c r="G354" s="9">
        <f xml:space="preserve"> WYNAJEM47[[#This Row],[energia]] + WYNAJEM47[[#This Row],[woda]]</f>
        <v>14.37</v>
      </c>
      <c r="I354" s="9"/>
    </row>
    <row r="355" spans="1:9" x14ac:dyDescent="0.25">
      <c r="A355" s="1">
        <v>41803</v>
      </c>
      <c r="B355" s="1">
        <v>41816</v>
      </c>
      <c r="C355" s="8">
        <v>10.19</v>
      </c>
      <c r="D355" s="8">
        <v>0.27</v>
      </c>
      <c r="E355">
        <v>2</v>
      </c>
      <c r="F355" s="10">
        <f>(WYNAJEM47[[#This Row],[data_wyjazdu]]-WYNAJEM47[[#This Row],[data_przyjazdu]])</f>
        <v>13</v>
      </c>
      <c r="G355" s="9">
        <f xml:space="preserve"> WYNAJEM47[[#This Row],[energia]] + WYNAJEM47[[#This Row],[woda]]</f>
        <v>10.459999999999999</v>
      </c>
      <c r="I355" s="9"/>
    </row>
    <row r="356" spans="1:9" x14ac:dyDescent="0.25">
      <c r="A356" s="1">
        <v>41803</v>
      </c>
      <c r="B356" s="1">
        <v>41818</v>
      </c>
      <c r="C356" s="8">
        <v>8.89</v>
      </c>
      <c r="D356" s="8">
        <v>0.23</v>
      </c>
      <c r="E356">
        <v>5</v>
      </c>
      <c r="F356" s="10">
        <f>(WYNAJEM47[[#This Row],[data_wyjazdu]]-WYNAJEM47[[#This Row],[data_przyjazdu]])</f>
        <v>15</v>
      </c>
      <c r="G356" s="9">
        <f xml:space="preserve"> WYNAJEM47[[#This Row],[energia]] + WYNAJEM47[[#This Row],[woda]]</f>
        <v>9.120000000000001</v>
      </c>
      <c r="I356" s="9"/>
    </row>
    <row r="357" spans="1:9" x14ac:dyDescent="0.25">
      <c r="A357" s="1">
        <v>41803</v>
      </c>
      <c r="B357" s="1">
        <v>41814</v>
      </c>
      <c r="C357" s="8">
        <v>11.44</v>
      </c>
      <c r="D357" s="8">
        <v>0.3</v>
      </c>
      <c r="E357">
        <v>6</v>
      </c>
      <c r="F357" s="10">
        <f>(WYNAJEM47[[#This Row],[data_wyjazdu]]-WYNAJEM47[[#This Row],[data_przyjazdu]])</f>
        <v>11</v>
      </c>
      <c r="G357" s="9">
        <f xml:space="preserve"> WYNAJEM47[[#This Row],[energia]] + WYNAJEM47[[#This Row],[woda]]</f>
        <v>11.74</v>
      </c>
      <c r="I357" s="9"/>
    </row>
    <row r="358" spans="1:9" x14ac:dyDescent="0.25">
      <c r="A358" s="1">
        <v>41803</v>
      </c>
      <c r="B358" s="1">
        <v>41827</v>
      </c>
      <c r="C358" s="8">
        <v>10.93</v>
      </c>
      <c r="D358" s="8">
        <v>0.28999999999999998</v>
      </c>
      <c r="E358">
        <v>2</v>
      </c>
      <c r="F358" s="10">
        <f>(WYNAJEM47[[#This Row],[data_wyjazdu]]-WYNAJEM47[[#This Row],[data_przyjazdu]])</f>
        <v>24</v>
      </c>
      <c r="G358" s="9">
        <f xml:space="preserve"> WYNAJEM47[[#This Row],[energia]] + WYNAJEM47[[#This Row],[woda]]</f>
        <v>11.219999999999999</v>
      </c>
      <c r="I358" s="9"/>
    </row>
    <row r="359" spans="1:9" x14ac:dyDescent="0.25">
      <c r="A359" s="1">
        <v>41803</v>
      </c>
      <c r="B359" s="1">
        <v>41822</v>
      </c>
      <c r="C359" s="8">
        <v>6.34</v>
      </c>
      <c r="D359" s="8">
        <v>0.17</v>
      </c>
      <c r="E359">
        <v>4</v>
      </c>
      <c r="F359" s="10">
        <f>(WYNAJEM47[[#This Row],[data_wyjazdu]]-WYNAJEM47[[#This Row],[data_przyjazdu]])</f>
        <v>19</v>
      </c>
      <c r="G359" s="9">
        <f xml:space="preserve"> WYNAJEM47[[#This Row],[energia]] + WYNAJEM47[[#This Row],[woda]]</f>
        <v>6.51</v>
      </c>
      <c r="I359" s="9"/>
    </row>
    <row r="360" spans="1:9" x14ac:dyDescent="0.25">
      <c r="A360" s="1">
        <v>41803</v>
      </c>
      <c r="B360" s="1">
        <v>41813</v>
      </c>
      <c r="C360" s="8">
        <v>5.67</v>
      </c>
      <c r="D360" s="8">
        <v>0.15</v>
      </c>
      <c r="E360">
        <v>5</v>
      </c>
      <c r="F360" s="10">
        <f>(WYNAJEM47[[#This Row],[data_wyjazdu]]-WYNAJEM47[[#This Row],[data_przyjazdu]])</f>
        <v>10</v>
      </c>
      <c r="G360" s="9">
        <f xml:space="preserve"> WYNAJEM47[[#This Row],[energia]] + WYNAJEM47[[#This Row],[woda]]</f>
        <v>5.82</v>
      </c>
      <c r="I360" s="9"/>
    </row>
    <row r="361" spans="1:9" x14ac:dyDescent="0.25">
      <c r="A361" s="1">
        <v>41803</v>
      </c>
      <c r="B361" s="1">
        <v>41821</v>
      </c>
      <c r="C361" s="8">
        <v>8.51</v>
      </c>
      <c r="D361" s="8">
        <v>0.22</v>
      </c>
      <c r="E361">
        <v>6</v>
      </c>
      <c r="F361" s="10">
        <f>(WYNAJEM47[[#This Row],[data_wyjazdu]]-WYNAJEM47[[#This Row],[data_przyjazdu]])</f>
        <v>18</v>
      </c>
      <c r="G361" s="9">
        <f xml:space="preserve"> WYNAJEM47[[#This Row],[energia]] + WYNAJEM47[[#This Row],[woda]]</f>
        <v>8.73</v>
      </c>
      <c r="I361" s="9"/>
    </row>
    <row r="362" spans="1:9" x14ac:dyDescent="0.25">
      <c r="A362" s="1">
        <v>41803</v>
      </c>
      <c r="B362" s="1">
        <v>41817</v>
      </c>
      <c r="C362" s="8">
        <v>16.829999999999998</v>
      </c>
      <c r="D362" s="8">
        <v>0.44</v>
      </c>
      <c r="E362">
        <v>5</v>
      </c>
      <c r="F362" s="10">
        <f>(WYNAJEM47[[#This Row],[data_wyjazdu]]-WYNAJEM47[[#This Row],[data_przyjazdu]])</f>
        <v>14</v>
      </c>
      <c r="G362" s="9">
        <f xml:space="preserve"> WYNAJEM47[[#This Row],[energia]] + WYNAJEM47[[#This Row],[woda]]</f>
        <v>17.27</v>
      </c>
      <c r="I362" s="9"/>
    </row>
    <row r="363" spans="1:9" x14ac:dyDescent="0.25">
      <c r="A363" s="1">
        <v>41803</v>
      </c>
      <c r="B363" s="1">
        <v>41814</v>
      </c>
      <c r="C363" s="8">
        <v>11.69</v>
      </c>
      <c r="D363" s="8">
        <v>0.31</v>
      </c>
      <c r="E363">
        <v>5</v>
      </c>
      <c r="F363" s="10">
        <f>(WYNAJEM47[[#This Row],[data_wyjazdu]]-WYNAJEM47[[#This Row],[data_przyjazdu]])</f>
        <v>11</v>
      </c>
      <c r="G363" s="9">
        <f xml:space="preserve"> WYNAJEM47[[#This Row],[energia]] + WYNAJEM47[[#This Row],[woda]]</f>
        <v>12</v>
      </c>
      <c r="I363" s="9"/>
    </row>
    <row r="364" spans="1:9" x14ac:dyDescent="0.25">
      <c r="A364" s="1">
        <v>41806</v>
      </c>
      <c r="B364" s="1">
        <v>41808</v>
      </c>
      <c r="C364" s="8">
        <v>7.71</v>
      </c>
      <c r="D364" s="8">
        <v>0.2</v>
      </c>
      <c r="E364">
        <v>3</v>
      </c>
      <c r="F364" s="10">
        <f>(WYNAJEM47[[#This Row],[data_wyjazdu]]-WYNAJEM47[[#This Row],[data_przyjazdu]])</f>
        <v>2</v>
      </c>
      <c r="G364" s="9">
        <f xml:space="preserve"> WYNAJEM47[[#This Row],[energia]] + WYNAJEM47[[#This Row],[woda]]</f>
        <v>7.91</v>
      </c>
      <c r="I364" s="9"/>
    </row>
    <row r="365" spans="1:9" x14ac:dyDescent="0.25">
      <c r="A365" s="1">
        <v>41806</v>
      </c>
      <c r="B365" s="1">
        <v>41834</v>
      </c>
      <c r="C365" s="8">
        <v>5.67</v>
      </c>
      <c r="D365" s="8">
        <v>0.15</v>
      </c>
      <c r="E365">
        <v>5</v>
      </c>
      <c r="F365" s="10">
        <f>(WYNAJEM47[[#This Row],[data_wyjazdu]]-WYNAJEM47[[#This Row],[data_przyjazdu]])</f>
        <v>28</v>
      </c>
      <c r="G365" s="9">
        <f xml:space="preserve"> WYNAJEM47[[#This Row],[energia]] + WYNAJEM47[[#This Row],[woda]]</f>
        <v>5.82</v>
      </c>
      <c r="I365" s="9"/>
    </row>
    <row r="366" spans="1:9" x14ac:dyDescent="0.25">
      <c r="A366" s="1">
        <v>41809</v>
      </c>
      <c r="B366" s="1">
        <v>41837</v>
      </c>
      <c r="C366" s="8">
        <v>7.3</v>
      </c>
      <c r="D366" s="8">
        <v>0.19</v>
      </c>
      <c r="E366">
        <v>6</v>
      </c>
      <c r="F366" s="10">
        <f>(WYNAJEM47[[#This Row],[data_wyjazdu]]-WYNAJEM47[[#This Row],[data_przyjazdu]])</f>
        <v>28</v>
      </c>
      <c r="G366" s="9">
        <f xml:space="preserve"> WYNAJEM47[[#This Row],[energia]] + WYNAJEM47[[#This Row],[woda]]</f>
        <v>7.49</v>
      </c>
      <c r="I366" s="9"/>
    </row>
    <row r="367" spans="1:9" x14ac:dyDescent="0.25">
      <c r="A367" s="1">
        <v>41809</v>
      </c>
      <c r="B367" s="1">
        <v>41813</v>
      </c>
      <c r="C367" s="8">
        <v>5.64</v>
      </c>
      <c r="D367" s="8">
        <v>0.15</v>
      </c>
      <c r="E367">
        <v>5</v>
      </c>
      <c r="F367" s="10">
        <f>(WYNAJEM47[[#This Row],[data_wyjazdu]]-WYNAJEM47[[#This Row],[data_przyjazdu]])</f>
        <v>4</v>
      </c>
      <c r="G367" s="9">
        <f xml:space="preserve"> WYNAJEM47[[#This Row],[energia]] + WYNAJEM47[[#This Row],[woda]]</f>
        <v>5.79</v>
      </c>
      <c r="I367" s="9"/>
    </row>
    <row r="368" spans="1:9" x14ac:dyDescent="0.25">
      <c r="A368" s="1">
        <v>41809</v>
      </c>
      <c r="B368" s="1">
        <v>41815</v>
      </c>
      <c r="C368" s="8">
        <v>10.79</v>
      </c>
      <c r="D368" s="8">
        <v>0.28000000000000003</v>
      </c>
      <c r="E368">
        <v>5</v>
      </c>
      <c r="F368" s="10">
        <f>(WYNAJEM47[[#This Row],[data_wyjazdu]]-WYNAJEM47[[#This Row],[data_przyjazdu]])</f>
        <v>6</v>
      </c>
      <c r="G368" s="9">
        <f xml:space="preserve"> WYNAJEM47[[#This Row],[energia]] + WYNAJEM47[[#This Row],[woda]]</f>
        <v>11.069999999999999</v>
      </c>
      <c r="I368" s="9"/>
    </row>
    <row r="369" spans="1:9" x14ac:dyDescent="0.25">
      <c r="A369" s="1">
        <v>41809</v>
      </c>
      <c r="B369" s="1">
        <v>41830</v>
      </c>
      <c r="C369" s="8">
        <v>10.199999999999999</v>
      </c>
      <c r="D369" s="8">
        <v>0.27</v>
      </c>
      <c r="E369">
        <v>6</v>
      </c>
      <c r="F369" s="10">
        <f>(WYNAJEM47[[#This Row],[data_wyjazdu]]-WYNAJEM47[[#This Row],[data_przyjazdu]])</f>
        <v>21</v>
      </c>
      <c r="G369" s="9">
        <f xml:space="preserve"> WYNAJEM47[[#This Row],[energia]] + WYNAJEM47[[#This Row],[woda]]</f>
        <v>10.469999999999999</v>
      </c>
      <c r="I369" s="9"/>
    </row>
    <row r="370" spans="1:9" x14ac:dyDescent="0.25">
      <c r="A370" s="1">
        <v>41809</v>
      </c>
      <c r="B370" s="1">
        <v>41821</v>
      </c>
      <c r="C370" s="8">
        <v>16.55</v>
      </c>
      <c r="D370" s="8">
        <v>0.44</v>
      </c>
      <c r="E370">
        <v>3</v>
      </c>
      <c r="F370" s="10">
        <f>(WYNAJEM47[[#This Row],[data_wyjazdu]]-WYNAJEM47[[#This Row],[data_przyjazdu]])</f>
        <v>12</v>
      </c>
      <c r="G370" s="9">
        <f xml:space="preserve"> WYNAJEM47[[#This Row],[energia]] + WYNAJEM47[[#This Row],[woda]]</f>
        <v>16.990000000000002</v>
      </c>
      <c r="I370" s="9"/>
    </row>
    <row r="371" spans="1:9" x14ac:dyDescent="0.25">
      <c r="A371" s="1">
        <v>41809</v>
      </c>
      <c r="B371" s="1">
        <v>41829</v>
      </c>
      <c r="C371" s="8">
        <v>8.9499999999999993</v>
      </c>
      <c r="D371" s="8">
        <v>0.24</v>
      </c>
      <c r="E371">
        <v>6</v>
      </c>
      <c r="F371" s="10">
        <f>(WYNAJEM47[[#This Row],[data_wyjazdu]]-WYNAJEM47[[#This Row],[data_przyjazdu]])</f>
        <v>20</v>
      </c>
      <c r="G371" s="9">
        <f xml:space="preserve"> WYNAJEM47[[#This Row],[energia]] + WYNAJEM47[[#This Row],[woda]]</f>
        <v>9.19</v>
      </c>
      <c r="I371" s="9"/>
    </row>
    <row r="372" spans="1:9" x14ac:dyDescent="0.25">
      <c r="A372" s="1">
        <v>41815</v>
      </c>
      <c r="B372" s="1">
        <v>41825</v>
      </c>
      <c r="C372" s="8">
        <v>5.64</v>
      </c>
      <c r="D372" s="8">
        <v>0.15</v>
      </c>
      <c r="E372">
        <v>4</v>
      </c>
      <c r="F372" s="10">
        <f>(WYNAJEM47[[#This Row],[data_wyjazdu]]-WYNAJEM47[[#This Row],[data_przyjazdu]])</f>
        <v>10</v>
      </c>
      <c r="G372" s="9">
        <f xml:space="preserve"> WYNAJEM47[[#This Row],[energia]] + WYNAJEM47[[#This Row],[woda]]</f>
        <v>5.79</v>
      </c>
      <c r="I372" s="9"/>
    </row>
    <row r="373" spans="1:9" x14ac:dyDescent="0.25">
      <c r="A373" s="1">
        <v>41815</v>
      </c>
      <c r="B373" s="1">
        <v>41840</v>
      </c>
      <c r="C373" s="8">
        <v>6.34</v>
      </c>
      <c r="D373" s="8">
        <v>0.17</v>
      </c>
      <c r="E373">
        <v>3</v>
      </c>
      <c r="F373" s="10">
        <f>(WYNAJEM47[[#This Row],[data_wyjazdu]]-WYNAJEM47[[#This Row],[data_przyjazdu]])</f>
        <v>25</v>
      </c>
      <c r="G373" s="9">
        <f xml:space="preserve"> WYNAJEM47[[#This Row],[energia]] + WYNAJEM47[[#This Row],[woda]]</f>
        <v>6.51</v>
      </c>
      <c r="I373" s="9"/>
    </row>
    <row r="374" spans="1:9" x14ac:dyDescent="0.25">
      <c r="A374" s="1">
        <v>41815</v>
      </c>
      <c r="B374" s="1">
        <v>41832</v>
      </c>
      <c r="C374" s="8">
        <v>11.69</v>
      </c>
      <c r="D374" s="8">
        <v>0.31</v>
      </c>
      <c r="E374">
        <v>6</v>
      </c>
      <c r="F374" s="10">
        <f>(WYNAJEM47[[#This Row],[data_wyjazdu]]-WYNAJEM47[[#This Row],[data_przyjazdu]])</f>
        <v>17</v>
      </c>
      <c r="G374" s="9">
        <f xml:space="preserve"> WYNAJEM47[[#This Row],[energia]] + WYNAJEM47[[#This Row],[woda]]</f>
        <v>12</v>
      </c>
      <c r="I374" s="9"/>
    </row>
    <row r="375" spans="1:9" x14ac:dyDescent="0.25">
      <c r="A375" s="1">
        <v>41815</v>
      </c>
      <c r="B375" s="1">
        <v>41839</v>
      </c>
      <c r="C375" s="8">
        <v>11.42</v>
      </c>
      <c r="D375" s="8">
        <v>0.3</v>
      </c>
      <c r="E375">
        <v>5</v>
      </c>
      <c r="F375" s="10">
        <f>(WYNAJEM47[[#This Row],[data_wyjazdu]]-WYNAJEM47[[#This Row],[data_przyjazdu]])</f>
        <v>24</v>
      </c>
      <c r="G375" s="9">
        <f xml:space="preserve"> WYNAJEM47[[#This Row],[energia]] + WYNAJEM47[[#This Row],[woda]]</f>
        <v>11.72</v>
      </c>
      <c r="I375" s="9"/>
    </row>
    <row r="376" spans="1:9" x14ac:dyDescent="0.25">
      <c r="A376" s="1">
        <v>41815</v>
      </c>
      <c r="B376" s="1">
        <v>41822</v>
      </c>
      <c r="C376" s="8">
        <v>8.5399999999999991</v>
      </c>
      <c r="D376" s="8">
        <v>0.22</v>
      </c>
      <c r="E376">
        <v>6</v>
      </c>
      <c r="F376" s="10">
        <f>(WYNAJEM47[[#This Row],[data_wyjazdu]]-WYNAJEM47[[#This Row],[data_przyjazdu]])</f>
        <v>7</v>
      </c>
      <c r="G376" s="9">
        <f xml:space="preserve"> WYNAJEM47[[#This Row],[energia]] + WYNAJEM47[[#This Row],[woda]]</f>
        <v>8.76</v>
      </c>
      <c r="I376" s="9"/>
    </row>
    <row r="377" spans="1:9" x14ac:dyDescent="0.25">
      <c r="A377" s="1">
        <v>41815</v>
      </c>
      <c r="B377" s="1">
        <v>41831</v>
      </c>
      <c r="C377" s="8">
        <v>10.199999999999999</v>
      </c>
      <c r="D377" s="8">
        <v>0.27</v>
      </c>
      <c r="E377">
        <v>3</v>
      </c>
      <c r="F377" s="10">
        <f>(WYNAJEM47[[#This Row],[data_wyjazdu]]-WYNAJEM47[[#This Row],[data_przyjazdu]])</f>
        <v>16</v>
      </c>
      <c r="G377" s="9">
        <f xml:space="preserve"> WYNAJEM47[[#This Row],[energia]] + WYNAJEM47[[#This Row],[woda]]</f>
        <v>10.469999999999999</v>
      </c>
      <c r="I377" s="9"/>
    </row>
    <row r="378" spans="1:9" x14ac:dyDescent="0.25">
      <c r="A378" s="1">
        <v>41815</v>
      </c>
      <c r="B378" s="1">
        <v>41833</v>
      </c>
      <c r="C378" s="8">
        <v>8.39</v>
      </c>
      <c r="D378" s="8">
        <v>0.22</v>
      </c>
      <c r="E378">
        <v>6</v>
      </c>
      <c r="F378" s="10">
        <f>(WYNAJEM47[[#This Row],[data_wyjazdu]]-WYNAJEM47[[#This Row],[data_przyjazdu]])</f>
        <v>18</v>
      </c>
      <c r="G378" s="9">
        <f xml:space="preserve"> WYNAJEM47[[#This Row],[energia]] + WYNAJEM47[[#This Row],[woda]]</f>
        <v>8.6100000000000012</v>
      </c>
      <c r="I378" s="9"/>
    </row>
    <row r="379" spans="1:9" x14ac:dyDescent="0.25">
      <c r="A379" s="1">
        <v>41815</v>
      </c>
      <c r="B379" s="1">
        <v>41826</v>
      </c>
      <c r="C379" s="8">
        <v>9.4600000000000009</v>
      </c>
      <c r="D379" s="8">
        <v>0.25</v>
      </c>
      <c r="E379">
        <v>4</v>
      </c>
      <c r="F379" s="10">
        <f>(WYNAJEM47[[#This Row],[data_wyjazdu]]-WYNAJEM47[[#This Row],[data_przyjazdu]])</f>
        <v>11</v>
      </c>
      <c r="G379" s="9">
        <f xml:space="preserve"> WYNAJEM47[[#This Row],[energia]] + WYNAJEM47[[#This Row],[woda]]</f>
        <v>9.7100000000000009</v>
      </c>
      <c r="I379" s="9"/>
    </row>
    <row r="380" spans="1:9" x14ac:dyDescent="0.25">
      <c r="A380" s="1">
        <v>41815</v>
      </c>
      <c r="B380" s="1">
        <v>41843</v>
      </c>
      <c r="C380" s="8">
        <v>11.37</v>
      </c>
      <c r="D380" s="8">
        <v>0.3</v>
      </c>
      <c r="E380">
        <v>5</v>
      </c>
      <c r="F380" s="10">
        <f>(WYNAJEM47[[#This Row],[data_wyjazdu]]-WYNAJEM47[[#This Row],[data_przyjazdu]])</f>
        <v>28</v>
      </c>
      <c r="G380" s="9">
        <f xml:space="preserve"> WYNAJEM47[[#This Row],[energia]] + WYNAJEM47[[#This Row],[woda]]</f>
        <v>11.67</v>
      </c>
      <c r="I380" s="9"/>
    </row>
    <row r="381" spans="1:9" x14ac:dyDescent="0.25">
      <c r="A381" s="1">
        <v>41815</v>
      </c>
      <c r="B381" s="1">
        <v>41841</v>
      </c>
      <c r="C381" s="8">
        <v>3.79</v>
      </c>
      <c r="D381" s="8">
        <v>0.1</v>
      </c>
      <c r="E381">
        <v>5</v>
      </c>
      <c r="F381" s="10">
        <f>(WYNAJEM47[[#This Row],[data_wyjazdu]]-WYNAJEM47[[#This Row],[data_przyjazdu]])</f>
        <v>26</v>
      </c>
      <c r="G381" s="9">
        <f xml:space="preserve"> WYNAJEM47[[#This Row],[energia]] + WYNAJEM47[[#This Row],[woda]]</f>
        <v>3.89</v>
      </c>
      <c r="I381" s="9"/>
    </row>
    <row r="382" spans="1:9" x14ac:dyDescent="0.25">
      <c r="A382" s="1">
        <v>41815</v>
      </c>
      <c r="B382" s="1">
        <v>41835</v>
      </c>
      <c r="C382" s="8">
        <v>8.84</v>
      </c>
      <c r="D382" s="8">
        <v>0.23</v>
      </c>
      <c r="E382">
        <v>2</v>
      </c>
      <c r="F382" s="10">
        <f>(WYNAJEM47[[#This Row],[data_wyjazdu]]-WYNAJEM47[[#This Row],[data_przyjazdu]])</f>
        <v>20</v>
      </c>
      <c r="G382" s="9">
        <f xml:space="preserve"> WYNAJEM47[[#This Row],[energia]] + WYNAJEM47[[#This Row],[woda]]</f>
        <v>9.07</v>
      </c>
      <c r="I382" s="9"/>
    </row>
    <row r="383" spans="1:9" x14ac:dyDescent="0.25">
      <c r="A383" s="1">
        <v>41815</v>
      </c>
      <c r="B383" s="1">
        <v>41825</v>
      </c>
      <c r="C383" s="8">
        <v>19.54</v>
      </c>
      <c r="D383" s="8">
        <v>0.51</v>
      </c>
      <c r="E383">
        <v>4</v>
      </c>
      <c r="F383" s="10">
        <f>(WYNAJEM47[[#This Row],[data_wyjazdu]]-WYNAJEM47[[#This Row],[data_przyjazdu]])</f>
        <v>10</v>
      </c>
      <c r="G383" s="9">
        <f xml:space="preserve"> WYNAJEM47[[#This Row],[energia]] + WYNAJEM47[[#This Row],[woda]]</f>
        <v>20.05</v>
      </c>
      <c r="I383" s="9"/>
    </row>
    <row r="384" spans="1:9" x14ac:dyDescent="0.25">
      <c r="A384" s="1">
        <v>41815</v>
      </c>
      <c r="B384" s="1">
        <v>41821</v>
      </c>
      <c r="C384" s="8">
        <v>3.79</v>
      </c>
      <c r="D384" s="8">
        <v>0.1</v>
      </c>
      <c r="E384">
        <v>5</v>
      </c>
      <c r="F384" s="10">
        <f>(WYNAJEM47[[#This Row],[data_wyjazdu]]-WYNAJEM47[[#This Row],[data_przyjazdu]])</f>
        <v>6</v>
      </c>
      <c r="G384" s="9">
        <f xml:space="preserve"> WYNAJEM47[[#This Row],[energia]] + WYNAJEM47[[#This Row],[woda]]</f>
        <v>3.89</v>
      </c>
      <c r="I384" s="9"/>
    </row>
    <row r="385" spans="1:9" x14ac:dyDescent="0.25">
      <c r="A385" s="1">
        <v>41815</v>
      </c>
      <c r="B385" s="1">
        <v>41828</v>
      </c>
      <c r="C385" s="8">
        <v>9.74</v>
      </c>
      <c r="D385" s="8">
        <v>0.26</v>
      </c>
      <c r="E385">
        <v>6</v>
      </c>
      <c r="F385" s="10">
        <f>(WYNAJEM47[[#This Row],[data_wyjazdu]]-WYNAJEM47[[#This Row],[data_przyjazdu]])</f>
        <v>13</v>
      </c>
      <c r="G385" s="9">
        <f xml:space="preserve"> WYNAJEM47[[#This Row],[energia]] + WYNAJEM47[[#This Row],[woda]]</f>
        <v>10</v>
      </c>
      <c r="I385" s="9"/>
    </row>
    <row r="386" spans="1:9" x14ac:dyDescent="0.25">
      <c r="A386" s="1">
        <v>41815</v>
      </c>
      <c r="B386" s="1">
        <v>41837</v>
      </c>
      <c r="C386" s="8">
        <v>10.199999999999999</v>
      </c>
      <c r="D386" s="8">
        <v>0.27</v>
      </c>
      <c r="E386">
        <v>2</v>
      </c>
      <c r="F386" s="10">
        <f>(WYNAJEM47[[#This Row],[data_wyjazdu]]-WYNAJEM47[[#This Row],[data_przyjazdu]])</f>
        <v>22</v>
      </c>
      <c r="G386" s="9">
        <f xml:space="preserve"> WYNAJEM47[[#This Row],[energia]] + WYNAJEM47[[#This Row],[woda]]</f>
        <v>10.469999999999999</v>
      </c>
      <c r="I386" s="9"/>
    </row>
    <row r="387" spans="1:9" x14ac:dyDescent="0.25">
      <c r="A387" s="1">
        <v>41815</v>
      </c>
      <c r="B387" s="1">
        <v>41836</v>
      </c>
      <c r="C387" s="8">
        <v>3.88</v>
      </c>
      <c r="D387" s="8">
        <v>0.1</v>
      </c>
      <c r="E387">
        <v>4</v>
      </c>
      <c r="F387" s="10">
        <f>(WYNAJEM47[[#This Row],[data_wyjazdu]]-WYNAJEM47[[#This Row],[data_przyjazdu]])</f>
        <v>21</v>
      </c>
      <c r="G387" s="9">
        <f xml:space="preserve"> WYNAJEM47[[#This Row],[energia]] + WYNAJEM47[[#This Row],[woda]]</f>
        <v>3.98</v>
      </c>
      <c r="I387" s="9"/>
    </row>
    <row r="388" spans="1:9" x14ac:dyDescent="0.25">
      <c r="A388" s="1">
        <v>41818</v>
      </c>
      <c r="B388" s="1">
        <v>41835</v>
      </c>
      <c r="C388" s="8">
        <v>4.66</v>
      </c>
      <c r="D388" s="8">
        <v>0.12</v>
      </c>
      <c r="E388">
        <v>4</v>
      </c>
      <c r="F388" s="10">
        <f>(WYNAJEM47[[#This Row],[data_wyjazdu]]-WYNAJEM47[[#This Row],[data_przyjazdu]])</f>
        <v>17</v>
      </c>
      <c r="G388" s="9">
        <f xml:space="preserve"> WYNAJEM47[[#This Row],[energia]] + WYNAJEM47[[#This Row],[woda]]</f>
        <v>4.78</v>
      </c>
      <c r="I388" s="9"/>
    </row>
    <row r="389" spans="1:9" x14ac:dyDescent="0.25">
      <c r="A389" s="1">
        <v>41821</v>
      </c>
      <c r="B389" s="1">
        <v>41840</v>
      </c>
      <c r="C389" s="8">
        <v>16.55</v>
      </c>
      <c r="D389" s="8">
        <v>0.44</v>
      </c>
      <c r="E389">
        <v>6</v>
      </c>
      <c r="F389" s="10">
        <f>(WYNAJEM47[[#This Row],[data_wyjazdu]]-WYNAJEM47[[#This Row],[data_przyjazdu]])</f>
        <v>19</v>
      </c>
      <c r="G389" s="9">
        <f xml:space="preserve"> WYNAJEM47[[#This Row],[energia]] + WYNAJEM47[[#This Row],[woda]]</f>
        <v>16.990000000000002</v>
      </c>
      <c r="I389" s="9"/>
    </row>
    <row r="390" spans="1:9" x14ac:dyDescent="0.25">
      <c r="A390" s="1">
        <v>41821</v>
      </c>
      <c r="B390" s="1">
        <v>41835</v>
      </c>
      <c r="C390" s="8">
        <v>13.81</v>
      </c>
      <c r="D390" s="8">
        <v>0.36</v>
      </c>
      <c r="E390">
        <v>3</v>
      </c>
      <c r="F390" s="10">
        <f>(WYNAJEM47[[#This Row],[data_wyjazdu]]-WYNAJEM47[[#This Row],[data_przyjazdu]])</f>
        <v>14</v>
      </c>
      <c r="G390" s="9">
        <f xml:space="preserve"> WYNAJEM47[[#This Row],[energia]] + WYNAJEM47[[#This Row],[woda]]</f>
        <v>14.17</v>
      </c>
      <c r="I390" s="9"/>
    </row>
    <row r="391" spans="1:9" x14ac:dyDescent="0.25">
      <c r="A391" s="1">
        <v>41821</v>
      </c>
      <c r="B391" s="1">
        <v>41837</v>
      </c>
      <c r="C391" s="8">
        <v>8.51</v>
      </c>
      <c r="D391" s="8">
        <v>0.22</v>
      </c>
      <c r="E391">
        <v>5</v>
      </c>
      <c r="F391" s="10">
        <f>(WYNAJEM47[[#This Row],[data_wyjazdu]]-WYNAJEM47[[#This Row],[data_przyjazdu]])</f>
        <v>16</v>
      </c>
      <c r="G391" s="9">
        <f xml:space="preserve"> WYNAJEM47[[#This Row],[energia]] + WYNAJEM47[[#This Row],[woda]]</f>
        <v>8.73</v>
      </c>
      <c r="I391" s="9"/>
    </row>
    <row r="392" spans="1:9" x14ac:dyDescent="0.25">
      <c r="A392" s="1">
        <v>41821</v>
      </c>
      <c r="B392" s="1">
        <v>41827</v>
      </c>
      <c r="C392" s="8">
        <v>8.65</v>
      </c>
      <c r="D392" s="8">
        <v>0.23</v>
      </c>
      <c r="E392">
        <v>2</v>
      </c>
      <c r="F392" s="10">
        <f>(WYNAJEM47[[#This Row],[data_wyjazdu]]-WYNAJEM47[[#This Row],[data_przyjazdu]])</f>
        <v>6</v>
      </c>
      <c r="G392" s="9">
        <f xml:space="preserve"> WYNAJEM47[[#This Row],[energia]] + WYNAJEM47[[#This Row],[woda]]</f>
        <v>8.8800000000000008</v>
      </c>
      <c r="I392" s="9"/>
    </row>
    <row r="393" spans="1:9" x14ac:dyDescent="0.25">
      <c r="A393" s="1">
        <v>41821</v>
      </c>
      <c r="B393" s="1">
        <v>41832</v>
      </c>
      <c r="C393" s="8">
        <v>11.69</v>
      </c>
      <c r="D393" s="8">
        <v>0.31</v>
      </c>
      <c r="E393">
        <v>4</v>
      </c>
      <c r="F393" s="10">
        <f>(WYNAJEM47[[#This Row],[data_wyjazdu]]-WYNAJEM47[[#This Row],[data_przyjazdu]])</f>
        <v>11</v>
      </c>
      <c r="G393" s="9">
        <f xml:space="preserve"> WYNAJEM47[[#This Row],[energia]] + WYNAJEM47[[#This Row],[woda]]</f>
        <v>12</v>
      </c>
      <c r="I393" s="9"/>
    </row>
    <row r="394" spans="1:9" x14ac:dyDescent="0.25">
      <c r="A394" s="1">
        <v>41821</v>
      </c>
      <c r="B394" s="1">
        <v>41828</v>
      </c>
      <c r="C394" s="8">
        <v>7.06</v>
      </c>
      <c r="D394" s="8">
        <v>0.19</v>
      </c>
      <c r="E394">
        <v>3</v>
      </c>
      <c r="F394" s="10">
        <f>(WYNAJEM47[[#This Row],[data_wyjazdu]]-WYNAJEM47[[#This Row],[data_przyjazdu]])</f>
        <v>7</v>
      </c>
      <c r="G394" s="9">
        <f xml:space="preserve"> WYNAJEM47[[#This Row],[energia]] + WYNAJEM47[[#This Row],[woda]]</f>
        <v>7.25</v>
      </c>
      <c r="I394" s="9"/>
    </row>
    <row r="395" spans="1:9" x14ac:dyDescent="0.25">
      <c r="A395" s="1">
        <v>41827</v>
      </c>
      <c r="B395" s="1">
        <v>41837</v>
      </c>
      <c r="C395" s="8">
        <v>11.44</v>
      </c>
      <c r="D395" s="8">
        <v>0.3</v>
      </c>
      <c r="E395">
        <v>5</v>
      </c>
      <c r="F395" s="10">
        <f>(WYNAJEM47[[#This Row],[data_wyjazdu]]-WYNAJEM47[[#This Row],[data_przyjazdu]])</f>
        <v>10</v>
      </c>
      <c r="G395" s="9">
        <f xml:space="preserve"> WYNAJEM47[[#This Row],[energia]] + WYNAJEM47[[#This Row],[woda]]</f>
        <v>11.74</v>
      </c>
      <c r="I395" s="9"/>
    </row>
    <row r="396" spans="1:9" x14ac:dyDescent="0.25">
      <c r="A396" s="1">
        <v>41827</v>
      </c>
      <c r="B396" s="1">
        <v>41831</v>
      </c>
      <c r="C396" s="8">
        <v>8.9499999999999993</v>
      </c>
      <c r="D396" s="8">
        <v>0.24</v>
      </c>
      <c r="E396">
        <v>4</v>
      </c>
      <c r="F396" s="10">
        <f>(WYNAJEM47[[#This Row],[data_wyjazdu]]-WYNAJEM47[[#This Row],[data_przyjazdu]])</f>
        <v>4</v>
      </c>
      <c r="G396" s="9">
        <f xml:space="preserve"> WYNAJEM47[[#This Row],[energia]] + WYNAJEM47[[#This Row],[woda]]</f>
        <v>9.19</v>
      </c>
      <c r="I396" s="9"/>
    </row>
    <row r="397" spans="1:9" x14ac:dyDescent="0.25">
      <c r="A397" s="1">
        <v>41827</v>
      </c>
      <c r="B397" s="1">
        <v>41847</v>
      </c>
      <c r="C397" s="8">
        <v>9.4600000000000009</v>
      </c>
      <c r="D397" s="8">
        <v>0.25</v>
      </c>
      <c r="E397">
        <v>6</v>
      </c>
      <c r="F397" s="10">
        <f>(WYNAJEM47[[#This Row],[data_wyjazdu]]-WYNAJEM47[[#This Row],[data_przyjazdu]])</f>
        <v>20</v>
      </c>
      <c r="G397" s="9">
        <f xml:space="preserve"> WYNAJEM47[[#This Row],[energia]] + WYNAJEM47[[#This Row],[woda]]</f>
        <v>9.7100000000000009</v>
      </c>
      <c r="I397" s="9"/>
    </row>
    <row r="398" spans="1:9" x14ac:dyDescent="0.25">
      <c r="A398" s="1">
        <v>41827</v>
      </c>
      <c r="B398" s="1">
        <v>41841</v>
      </c>
      <c r="C398" s="8">
        <v>5.23</v>
      </c>
      <c r="D398" s="8">
        <v>0.14000000000000001</v>
      </c>
      <c r="E398">
        <v>3</v>
      </c>
      <c r="F398" s="10">
        <f>(WYNAJEM47[[#This Row],[data_wyjazdu]]-WYNAJEM47[[#This Row],[data_przyjazdu]])</f>
        <v>14</v>
      </c>
      <c r="G398" s="9">
        <f xml:space="preserve"> WYNAJEM47[[#This Row],[energia]] + WYNAJEM47[[#This Row],[woda]]</f>
        <v>5.37</v>
      </c>
      <c r="I398" s="9"/>
    </row>
    <row r="399" spans="1:9" x14ac:dyDescent="0.25">
      <c r="A399" s="1">
        <v>41827</v>
      </c>
      <c r="B399" s="1">
        <v>41847</v>
      </c>
      <c r="C399" s="8">
        <v>11.78</v>
      </c>
      <c r="D399" s="8">
        <v>0.31</v>
      </c>
      <c r="E399">
        <v>4</v>
      </c>
      <c r="F399" s="10">
        <f>(WYNAJEM47[[#This Row],[data_wyjazdu]]-WYNAJEM47[[#This Row],[data_przyjazdu]])</f>
        <v>20</v>
      </c>
      <c r="G399" s="9">
        <f xml:space="preserve"> WYNAJEM47[[#This Row],[energia]] + WYNAJEM47[[#This Row],[woda]]</f>
        <v>12.09</v>
      </c>
      <c r="I399" s="9"/>
    </row>
    <row r="400" spans="1:9" x14ac:dyDescent="0.25">
      <c r="A400" s="1">
        <v>41827</v>
      </c>
      <c r="B400" s="1">
        <v>41836</v>
      </c>
      <c r="C400" s="8">
        <v>5.64</v>
      </c>
      <c r="D400" s="8">
        <v>0.15</v>
      </c>
      <c r="E400">
        <v>3</v>
      </c>
      <c r="F400" s="10">
        <f>(WYNAJEM47[[#This Row],[data_wyjazdu]]-WYNAJEM47[[#This Row],[data_przyjazdu]])</f>
        <v>9</v>
      </c>
      <c r="G400" s="9">
        <f xml:space="preserve"> WYNAJEM47[[#This Row],[energia]] + WYNAJEM47[[#This Row],[woda]]</f>
        <v>5.79</v>
      </c>
      <c r="I400" s="9"/>
    </row>
    <row r="401" spans="1:9" x14ac:dyDescent="0.25">
      <c r="A401" s="1">
        <v>41827</v>
      </c>
      <c r="B401" s="1">
        <v>41839</v>
      </c>
      <c r="C401" s="8">
        <v>10.199999999999999</v>
      </c>
      <c r="D401" s="8">
        <v>0.27</v>
      </c>
      <c r="E401">
        <v>2</v>
      </c>
      <c r="F401" s="10">
        <f>(WYNAJEM47[[#This Row],[data_wyjazdu]]-WYNAJEM47[[#This Row],[data_przyjazdu]])</f>
        <v>12</v>
      </c>
      <c r="G401" s="9">
        <f xml:space="preserve"> WYNAJEM47[[#This Row],[energia]] + WYNAJEM47[[#This Row],[woda]]</f>
        <v>10.469999999999999</v>
      </c>
      <c r="I401" s="9"/>
    </row>
    <row r="402" spans="1:9" x14ac:dyDescent="0.25">
      <c r="A402" s="1">
        <v>41827</v>
      </c>
      <c r="B402" s="1">
        <v>41852</v>
      </c>
      <c r="C402" s="8">
        <v>3.88</v>
      </c>
      <c r="D402" s="8">
        <v>0.1</v>
      </c>
      <c r="E402">
        <v>5</v>
      </c>
      <c r="F402" s="10">
        <f>(WYNAJEM47[[#This Row],[data_wyjazdu]]-WYNAJEM47[[#This Row],[data_przyjazdu]])</f>
        <v>25</v>
      </c>
      <c r="G402" s="9">
        <f xml:space="preserve"> WYNAJEM47[[#This Row],[energia]] + WYNAJEM47[[#This Row],[woda]]</f>
        <v>3.98</v>
      </c>
      <c r="I402" s="9"/>
    </row>
    <row r="403" spans="1:9" x14ac:dyDescent="0.25">
      <c r="A403" s="1">
        <v>41827</v>
      </c>
      <c r="B403" s="1">
        <v>41835</v>
      </c>
      <c r="C403" s="8">
        <v>4.66</v>
      </c>
      <c r="D403" s="8">
        <v>0.12</v>
      </c>
      <c r="E403">
        <v>4</v>
      </c>
      <c r="F403" s="10">
        <f>(WYNAJEM47[[#This Row],[data_wyjazdu]]-WYNAJEM47[[#This Row],[data_przyjazdu]])</f>
        <v>8</v>
      </c>
      <c r="G403" s="9">
        <f xml:space="preserve"> WYNAJEM47[[#This Row],[energia]] + WYNAJEM47[[#This Row],[woda]]</f>
        <v>4.78</v>
      </c>
      <c r="I403" s="9"/>
    </row>
    <row r="404" spans="1:9" x14ac:dyDescent="0.25">
      <c r="A404" s="1">
        <v>41827</v>
      </c>
      <c r="B404" s="1">
        <v>41838</v>
      </c>
      <c r="C404" s="8">
        <v>10.19</v>
      </c>
      <c r="D404" s="8">
        <v>0.27</v>
      </c>
      <c r="E404">
        <v>6</v>
      </c>
      <c r="F404" s="10">
        <f>(WYNAJEM47[[#This Row],[data_wyjazdu]]-WYNAJEM47[[#This Row],[data_przyjazdu]])</f>
        <v>11</v>
      </c>
      <c r="G404" s="9">
        <f xml:space="preserve"> WYNAJEM47[[#This Row],[energia]] + WYNAJEM47[[#This Row],[woda]]</f>
        <v>10.459999999999999</v>
      </c>
      <c r="I404" s="9"/>
    </row>
    <row r="405" spans="1:9" x14ac:dyDescent="0.25">
      <c r="A405" s="1">
        <v>41827</v>
      </c>
      <c r="B405" s="1">
        <v>41844</v>
      </c>
      <c r="C405" s="8">
        <v>10.19</v>
      </c>
      <c r="D405" s="8">
        <v>0.27</v>
      </c>
      <c r="E405">
        <v>6</v>
      </c>
      <c r="F405" s="10">
        <f>(WYNAJEM47[[#This Row],[data_wyjazdu]]-WYNAJEM47[[#This Row],[data_przyjazdu]])</f>
        <v>17</v>
      </c>
      <c r="G405" s="9">
        <f xml:space="preserve"> WYNAJEM47[[#This Row],[energia]] + WYNAJEM47[[#This Row],[woda]]</f>
        <v>10.459999999999999</v>
      </c>
      <c r="I405" s="9"/>
    </row>
    <row r="406" spans="1:9" x14ac:dyDescent="0.25">
      <c r="A406" s="1">
        <v>41827</v>
      </c>
      <c r="B406" s="1">
        <v>41848</v>
      </c>
      <c r="C406" s="8">
        <v>3.79</v>
      </c>
      <c r="D406" s="8">
        <v>0.1</v>
      </c>
      <c r="E406">
        <v>6</v>
      </c>
      <c r="F406" s="10">
        <f>(WYNAJEM47[[#This Row],[data_wyjazdu]]-WYNAJEM47[[#This Row],[data_przyjazdu]])</f>
        <v>21</v>
      </c>
      <c r="G406" s="9">
        <f xml:space="preserve"> WYNAJEM47[[#This Row],[energia]] + WYNAJEM47[[#This Row],[woda]]</f>
        <v>3.89</v>
      </c>
      <c r="I406" s="9"/>
    </row>
    <row r="407" spans="1:9" x14ac:dyDescent="0.25">
      <c r="A407" s="1">
        <v>41827</v>
      </c>
      <c r="B407" s="1">
        <v>41847</v>
      </c>
      <c r="C407" s="8">
        <v>9.06</v>
      </c>
      <c r="D407" s="8">
        <v>0.24</v>
      </c>
      <c r="E407">
        <v>2</v>
      </c>
      <c r="F407" s="10">
        <f>(WYNAJEM47[[#This Row],[data_wyjazdu]]-WYNAJEM47[[#This Row],[data_przyjazdu]])</f>
        <v>20</v>
      </c>
      <c r="G407" s="9">
        <f xml:space="preserve"> WYNAJEM47[[#This Row],[energia]] + WYNAJEM47[[#This Row],[woda]]</f>
        <v>9.3000000000000007</v>
      </c>
      <c r="I407" s="9"/>
    </row>
    <row r="408" spans="1:9" x14ac:dyDescent="0.25">
      <c r="A408" s="1">
        <v>41827</v>
      </c>
      <c r="B408" s="1">
        <v>41831</v>
      </c>
      <c r="C408" s="8">
        <v>6.23</v>
      </c>
      <c r="D408" s="8">
        <v>0.16</v>
      </c>
      <c r="E408">
        <v>3</v>
      </c>
      <c r="F408" s="10">
        <f>(WYNAJEM47[[#This Row],[data_wyjazdu]]-WYNAJEM47[[#This Row],[data_przyjazdu]])</f>
        <v>4</v>
      </c>
      <c r="G408" s="9">
        <f xml:space="preserve"> WYNAJEM47[[#This Row],[energia]] + WYNAJEM47[[#This Row],[woda]]</f>
        <v>6.3900000000000006</v>
      </c>
      <c r="I408" s="9"/>
    </row>
    <row r="409" spans="1:9" x14ac:dyDescent="0.25">
      <c r="A409" s="1">
        <v>41827</v>
      </c>
      <c r="B409" s="1">
        <v>41852</v>
      </c>
      <c r="C409" s="8">
        <v>10.79</v>
      </c>
      <c r="D409" s="8">
        <v>0.28000000000000003</v>
      </c>
      <c r="E409">
        <v>3</v>
      </c>
      <c r="F409" s="10">
        <f>(WYNAJEM47[[#This Row],[data_wyjazdu]]-WYNAJEM47[[#This Row],[data_przyjazdu]])</f>
        <v>25</v>
      </c>
      <c r="G409" s="9">
        <f xml:space="preserve"> WYNAJEM47[[#This Row],[energia]] + WYNAJEM47[[#This Row],[woda]]</f>
        <v>11.069999999999999</v>
      </c>
      <c r="I409" s="9"/>
    </row>
    <row r="410" spans="1:9" x14ac:dyDescent="0.25">
      <c r="A410" s="1">
        <v>41830</v>
      </c>
      <c r="B410" s="1">
        <v>41847</v>
      </c>
      <c r="C410" s="8">
        <v>5.67</v>
      </c>
      <c r="D410" s="8">
        <v>0.15</v>
      </c>
      <c r="E410">
        <v>5</v>
      </c>
      <c r="F410" s="10">
        <f>(WYNAJEM47[[#This Row],[data_wyjazdu]]-WYNAJEM47[[#This Row],[data_przyjazdu]])</f>
        <v>17</v>
      </c>
      <c r="G410" s="9">
        <f xml:space="preserve"> WYNAJEM47[[#This Row],[energia]] + WYNAJEM47[[#This Row],[woda]]</f>
        <v>5.82</v>
      </c>
      <c r="I410" s="9"/>
    </row>
    <row r="411" spans="1:9" x14ac:dyDescent="0.25">
      <c r="A411" s="1">
        <v>41831</v>
      </c>
      <c r="B411" s="1">
        <v>41855</v>
      </c>
      <c r="C411" s="8">
        <v>2.29</v>
      </c>
      <c r="D411" s="8">
        <v>0.06</v>
      </c>
      <c r="E411">
        <v>3</v>
      </c>
      <c r="F411" s="10">
        <f>(WYNAJEM47[[#This Row],[data_wyjazdu]]-WYNAJEM47[[#This Row],[data_przyjazdu]])</f>
        <v>24</v>
      </c>
      <c r="G411" s="9">
        <f xml:space="preserve"> WYNAJEM47[[#This Row],[energia]] + WYNAJEM47[[#This Row],[woda]]</f>
        <v>2.35</v>
      </c>
      <c r="I411" s="9"/>
    </row>
    <row r="412" spans="1:9" x14ac:dyDescent="0.25">
      <c r="A412" s="1">
        <v>41833</v>
      </c>
      <c r="B412" s="1">
        <v>41853</v>
      </c>
      <c r="C412" s="8">
        <v>10.93</v>
      </c>
      <c r="D412" s="8">
        <v>0.28999999999999998</v>
      </c>
      <c r="E412">
        <v>2</v>
      </c>
      <c r="F412" s="10">
        <f>(WYNAJEM47[[#This Row],[data_wyjazdu]]-WYNAJEM47[[#This Row],[data_przyjazdu]])</f>
        <v>20</v>
      </c>
      <c r="G412" s="9">
        <f xml:space="preserve"> WYNAJEM47[[#This Row],[energia]] + WYNAJEM47[[#This Row],[woda]]</f>
        <v>11.219999999999999</v>
      </c>
      <c r="I412" s="9"/>
    </row>
    <row r="413" spans="1:9" x14ac:dyDescent="0.25">
      <c r="A413" s="1">
        <v>41833</v>
      </c>
      <c r="B413" s="1">
        <v>41841</v>
      </c>
      <c r="C413" s="8">
        <v>16.55</v>
      </c>
      <c r="D413" s="8">
        <v>0.44</v>
      </c>
      <c r="E413">
        <v>4</v>
      </c>
      <c r="F413" s="10">
        <f>(WYNAJEM47[[#This Row],[data_wyjazdu]]-WYNAJEM47[[#This Row],[data_przyjazdu]])</f>
        <v>8</v>
      </c>
      <c r="G413" s="9">
        <f xml:space="preserve"> WYNAJEM47[[#This Row],[energia]] + WYNAJEM47[[#This Row],[woda]]</f>
        <v>16.990000000000002</v>
      </c>
      <c r="I413" s="9"/>
    </row>
    <row r="414" spans="1:9" x14ac:dyDescent="0.25">
      <c r="A414" s="1">
        <v>41834</v>
      </c>
      <c r="B414" s="1">
        <v>41836</v>
      </c>
      <c r="C414" s="8">
        <v>6.43</v>
      </c>
      <c r="D414" s="8">
        <v>0.17</v>
      </c>
      <c r="E414">
        <v>6</v>
      </c>
      <c r="F414" s="10">
        <f>(WYNAJEM47[[#This Row],[data_wyjazdu]]-WYNAJEM47[[#This Row],[data_przyjazdu]])</f>
        <v>2</v>
      </c>
      <c r="G414" s="9">
        <f xml:space="preserve"> WYNAJEM47[[#This Row],[energia]] + WYNAJEM47[[#This Row],[woda]]</f>
        <v>6.6</v>
      </c>
      <c r="I414" s="9"/>
    </row>
    <row r="415" spans="1:9" x14ac:dyDescent="0.25">
      <c r="A415" s="1">
        <v>41835</v>
      </c>
      <c r="B415" s="1">
        <v>41863</v>
      </c>
      <c r="C415" s="8">
        <v>3.94</v>
      </c>
      <c r="D415" s="8">
        <v>0.1</v>
      </c>
      <c r="E415">
        <v>6</v>
      </c>
      <c r="F415" s="10">
        <f>(WYNAJEM47[[#This Row],[data_wyjazdu]]-WYNAJEM47[[#This Row],[data_przyjazdu]])</f>
        <v>28</v>
      </c>
      <c r="G415" s="9">
        <f xml:space="preserve"> WYNAJEM47[[#This Row],[energia]] + WYNAJEM47[[#This Row],[woda]]</f>
        <v>4.04</v>
      </c>
      <c r="I415" s="9"/>
    </row>
    <row r="416" spans="1:9" x14ac:dyDescent="0.25">
      <c r="A416" s="1">
        <v>41835</v>
      </c>
      <c r="B416" s="1">
        <v>41847</v>
      </c>
      <c r="C416" s="8">
        <v>3.79</v>
      </c>
      <c r="D416" s="8">
        <v>0.1</v>
      </c>
      <c r="E416">
        <v>3</v>
      </c>
      <c r="F416" s="10">
        <f>(WYNAJEM47[[#This Row],[data_wyjazdu]]-WYNAJEM47[[#This Row],[data_przyjazdu]])</f>
        <v>12</v>
      </c>
      <c r="G416" s="9">
        <f xml:space="preserve"> WYNAJEM47[[#This Row],[energia]] + WYNAJEM47[[#This Row],[woda]]</f>
        <v>3.89</v>
      </c>
      <c r="I416" s="9"/>
    </row>
    <row r="417" spans="1:9" x14ac:dyDescent="0.25">
      <c r="A417" s="1">
        <v>41835</v>
      </c>
      <c r="B417" s="1">
        <v>41856</v>
      </c>
      <c r="C417" s="8">
        <v>6.58</v>
      </c>
      <c r="D417" s="8">
        <v>0.17</v>
      </c>
      <c r="E417">
        <v>3</v>
      </c>
      <c r="F417" s="10">
        <f>(WYNAJEM47[[#This Row],[data_wyjazdu]]-WYNAJEM47[[#This Row],[data_przyjazdu]])</f>
        <v>21</v>
      </c>
      <c r="G417" s="9">
        <f xml:space="preserve"> WYNAJEM47[[#This Row],[energia]] + WYNAJEM47[[#This Row],[woda]]</f>
        <v>6.75</v>
      </c>
      <c r="I417" s="9"/>
    </row>
    <row r="418" spans="1:9" x14ac:dyDescent="0.25">
      <c r="A418" s="1">
        <v>41837</v>
      </c>
      <c r="B418" s="1">
        <v>41853</v>
      </c>
      <c r="C418" s="8">
        <v>5.67</v>
      </c>
      <c r="D418" s="8">
        <v>0.15</v>
      </c>
      <c r="E418">
        <v>2</v>
      </c>
      <c r="F418" s="10">
        <f>(WYNAJEM47[[#This Row],[data_wyjazdu]]-WYNAJEM47[[#This Row],[data_przyjazdu]])</f>
        <v>16</v>
      </c>
      <c r="G418" s="9">
        <f xml:space="preserve"> WYNAJEM47[[#This Row],[energia]] + WYNAJEM47[[#This Row],[woda]]</f>
        <v>5.82</v>
      </c>
      <c r="I418" s="9"/>
    </row>
    <row r="419" spans="1:9" x14ac:dyDescent="0.25">
      <c r="A419" s="1">
        <v>41839</v>
      </c>
      <c r="B419" s="1">
        <v>41857</v>
      </c>
      <c r="C419" s="8">
        <v>10.19</v>
      </c>
      <c r="D419" s="8">
        <v>0.27</v>
      </c>
      <c r="E419">
        <v>6</v>
      </c>
      <c r="F419" s="10">
        <f>(WYNAJEM47[[#This Row],[data_wyjazdu]]-WYNAJEM47[[#This Row],[data_przyjazdu]])</f>
        <v>18</v>
      </c>
      <c r="G419" s="9">
        <f xml:space="preserve"> WYNAJEM47[[#This Row],[energia]] + WYNAJEM47[[#This Row],[woda]]</f>
        <v>10.459999999999999</v>
      </c>
      <c r="I419" s="9"/>
    </row>
    <row r="420" spans="1:9" x14ac:dyDescent="0.25">
      <c r="A420" s="1">
        <v>41839</v>
      </c>
      <c r="B420" s="1">
        <v>41848</v>
      </c>
      <c r="C420" s="8">
        <v>7.06</v>
      </c>
      <c r="D420" s="8">
        <v>0.19</v>
      </c>
      <c r="E420">
        <v>2</v>
      </c>
      <c r="F420" s="10">
        <f>(WYNAJEM47[[#This Row],[data_wyjazdu]]-WYNAJEM47[[#This Row],[data_przyjazdu]])</f>
        <v>9</v>
      </c>
      <c r="G420" s="9">
        <f xml:space="preserve"> WYNAJEM47[[#This Row],[energia]] + WYNAJEM47[[#This Row],[woda]]</f>
        <v>7.25</v>
      </c>
      <c r="I420" s="9"/>
    </row>
    <row r="421" spans="1:9" x14ac:dyDescent="0.25">
      <c r="A421" s="1">
        <v>41839</v>
      </c>
      <c r="B421" s="1">
        <v>41860</v>
      </c>
      <c r="C421" s="8">
        <v>6.75</v>
      </c>
      <c r="D421" s="8">
        <v>0.18</v>
      </c>
      <c r="E421">
        <v>5</v>
      </c>
      <c r="F421" s="10">
        <f>(WYNAJEM47[[#This Row],[data_wyjazdu]]-WYNAJEM47[[#This Row],[data_przyjazdu]])</f>
        <v>21</v>
      </c>
      <c r="G421" s="9">
        <f xml:space="preserve"> WYNAJEM47[[#This Row],[energia]] + WYNAJEM47[[#This Row],[woda]]</f>
        <v>6.93</v>
      </c>
      <c r="I421" s="9"/>
    </row>
    <row r="422" spans="1:9" x14ac:dyDescent="0.25">
      <c r="A422" s="1">
        <v>41839</v>
      </c>
      <c r="B422" s="1">
        <v>41861</v>
      </c>
      <c r="C422" s="8">
        <v>8.83</v>
      </c>
      <c r="D422" s="8">
        <v>0.23</v>
      </c>
      <c r="E422">
        <v>6</v>
      </c>
      <c r="F422" s="10">
        <f>(WYNAJEM47[[#This Row],[data_wyjazdu]]-WYNAJEM47[[#This Row],[data_przyjazdu]])</f>
        <v>22</v>
      </c>
      <c r="G422" s="9">
        <f xml:space="preserve"> WYNAJEM47[[#This Row],[energia]] + WYNAJEM47[[#This Row],[woda]]</f>
        <v>9.06</v>
      </c>
      <c r="I422" s="9"/>
    </row>
    <row r="423" spans="1:9" x14ac:dyDescent="0.25">
      <c r="A423" s="1">
        <v>41839</v>
      </c>
      <c r="B423" s="1">
        <v>41860</v>
      </c>
      <c r="C423" s="8">
        <v>8.39</v>
      </c>
      <c r="D423" s="8">
        <v>0.22</v>
      </c>
      <c r="E423">
        <v>2</v>
      </c>
      <c r="F423" s="10">
        <f>(WYNAJEM47[[#This Row],[data_wyjazdu]]-WYNAJEM47[[#This Row],[data_przyjazdu]])</f>
        <v>21</v>
      </c>
      <c r="G423" s="9">
        <f xml:space="preserve"> WYNAJEM47[[#This Row],[energia]] + WYNAJEM47[[#This Row],[woda]]</f>
        <v>8.6100000000000012</v>
      </c>
      <c r="I423" s="9"/>
    </row>
    <row r="424" spans="1:9" x14ac:dyDescent="0.25">
      <c r="A424" s="1">
        <v>41839</v>
      </c>
      <c r="B424" s="1">
        <v>41853</v>
      </c>
      <c r="C424" s="8">
        <v>6.23</v>
      </c>
      <c r="D424" s="8">
        <v>0.16</v>
      </c>
      <c r="E424">
        <v>3</v>
      </c>
      <c r="F424" s="10">
        <f>(WYNAJEM47[[#This Row],[data_wyjazdu]]-WYNAJEM47[[#This Row],[data_przyjazdu]])</f>
        <v>14</v>
      </c>
      <c r="G424" s="9">
        <f xml:space="preserve"> WYNAJEM47[[#This Row],[energia]] + WYNAJEM47[[#This Row],[woda]]</f>
        <v>6.3900000000000006</v>
      </c>
      <c r="I424" s="9"/>
    </row>
    <row r="425" spans="1:9" x14ac:dyDescent="0.25">
      <c r="A425" s="1">
        <v>41839</v>
      </c>
      <c r="B425" s="1">
        <v>41859</v>
      </c>
      <c r="C425" s="8">
        <v>3.79</v>
      </c>
      <c r="D425" s="8">
        <v>0.1</v>
      </c>
      <c r="E425">
        <v>4</v>
      </c>
      <c r="F425" s="10">
        <f>(WYNAJEM47[[#This Row],[data_wyjazdu]]-WYNAJEM47[[#This Row],[data_przyjazdu]])</f>
        <v>20</v>
      </c>
      <c r="G425" s="9">
        <f xml:space="preserve"> WYNAJEM47[[#This Row],[energia]] + WYNAJEM47[[#This Row],[woda]]</f>
        <v>3.89</v>
      </c>
      <c r="I425" s="9"/>
    </row>
    <row r="426" spans="1:9" x14ac:dyDescent="0.25">
      <c r="A426" s="1">
        <v>41839</v>
      </c>
      <c r="B426" s="1">
        <v>41866</v>
      </c>
      <c r="C426" s="8">
        <v>11.37</v>
      </c>
      <c r="D426" s="8">
        <v>0.3</v>
      </c>
      <c r="E426">
        <v>5</v>
      </c>
      <c r="F426" s="10">
        <f>(WYNAJEM47[[#This Row],[data_wyjazdu]]-WYNAJEM47[[#This Row],[data_przyjazdu]])</f>
        <v>27</v>
      </c>
      <c r="G426" s="9">
        <f xml:space="preserve"> WYNAJEM47[[#This Row],[energia]] + WYNAJEM47[[#This Row],[woda]]</f>
        <v>11.67</v>
      </c>
      <c r="I426" s="9"/>
    </row>
    <row r="427" spans="1:9" x14ac:dyDescent="0.25">
      <c r="A427" s="1">
        <v>41839</v>
      </c>
      <c r="B427" s="1">
        <v>41847</v>
      </c>
      <c r="C427" s="8">
        <v>5.64</v>
      </c>
      <c r="D427" s="8">
        <v>0.15</v>
      </c>
      <c r="E427">
        <v>5</v>
      </c>
      <c r="F427" s="10">
        <f>(WYNAJEM47[[#This Row],[data_wyjazdu]]-WYNAJEM47[[#This Row],[data_przyjazdu]])</f>
        <v>8</v>
      </c>
      <c r="G427" s="9">
        <f xml:space="preserve"> WYNAJEM47[[#This Row],[energia]] + WYNAJEM47[[#This Row],[woda]]</f>
        <v>5.79</v>
      </c>
      <c r="I427" s="9"/>
    </row>
    <row r="428" spans="1:9" x14ac:dyDescent="0.25">
      <c r="A428" s="1">
        <v>41839</v>
      </c>
      <c r="B428" s="1">
        <v>41858</v>
      </c>
      <c r="C428" s="8">
        <v>7.55</v>
      </c>
      <c r="D428" s="8">
        <v>0.2</v>
      </c>
      <c r="E428">
        <v>2</v>
      </c>
      <c r="F428" s="10">
        <f>(WYNAJEM47[[#This Row],[data_wyjazdu]]-WYNAJEM47[[#This Row],[data_przyjazdu]])</f>
        <v>19</v>
      </c>
      <c r="G428" s="9">
        <f xml:space="preserve"> WYNAJEM47[[#This Row],[energia]] + WYNAJEM47[[#This Row],[woda]]</f>
        <v>7.75</v>
      </c>
      <c r="I428" s="9"/>
    </row>
    <row r="429" spans="1:9" x14ac:dyDescent="0.25">
      <c r="A429" s="1">
        <v>41839</v>
      </c>
      <c r="B429" s="1">
        <v>41853</v>
      </c>
      <c r="C429" s="8">
        <v>10.199999999999999</v>
      </c>
      <c r="D429" s="8">
        <v>0.27</v>
      </c>
      <c r="E429">
        <v>4</v>
      </c>
      <c r="F429" s="10">
        <f>(WYNAJEM47[[#This Row],[data_wyjazdu]]-WYNAJEM47[[#This Row],[data_przyjazdu]])</f>
        <v>14</v>
      </c>
      <c r="G429" s="9">
        <f xml:space="preserve"> WYNAJEM47[[#This Row],[energia]] + WYNAJEM47[[#This Row],[woda]]</f>
        <v>10.469999999999999</v>
      </c>
      <c r="I429" s="9"/>
    </row>
    <row r="430" spans="1:9" x14ac:dyDescent="0.25">
      <c r="A430" s="1">
        <v>41839</v>
      </c>
      <c r="B430" s="1">
        <v>41862</v>
      </c>
      <c r="C430" s="8">
        <v>2.0099999999999998</v>
      </c>
      <c r="D430" s="8">
        <v>0.05</v>
      </c>
      <c r="E430">
        <v>6</v>
      </c>
      <c r="F430" s="10">
        <f>(WYNAJEM47[[#This Row],[data_wyjazdu]]-WYNAJEM47[[#This Row],[data_przyjazdu]])</f>
        <v>23</v>
      </c>
      <c r="G430" s="9">
        <f xml:space="preserve"> WYNAJEM47[[#This Row],[energia]] + WYNAJEM47[[#This Row],[woda]]</f>
        <v>2.0599999999999996</v>
      </c>
      <c r="I430" s="9"/>
    </row>
    <row r="431" spans="1:9" x14ac:dyDescent="0.25">
      <c r="A431" s="1">
        <v>41839</v>
      </c>
      <c r="B431" s="1">
        <v>41862</v>
      </c>
      <c r="C431" s="8">
        <v>13.81</v>
      </c>
      <c r="D431" s="8">
        <v>0.36</v>
      </c>
      <c r="E431">
        <v>3</v>
      </c>
      <c r="F431" s="10">
        <f>(WYNAJEM47[[#This Row],[data_wyjazdu]]-WYNAJEM47[[#This Row],[data_przyjazdu]])</f>
        <v>23</v>
      </c>
      <c r="G431" s="9">
        <f xml:space="preserve"> WYNAJEM47[[#This Row],[energia]] + WYNAJEM47[[#This Row],[woda]]</f>
        <v>14.17</v>
      </c>
      <c r="I431" s="9"/>
    </row>
    <row r="432" spans="1:9" x14ac:dyDescent="0.25">
      <c r="A432" s="1">
        <v>41841</v>
      </c>
      <c r="B432" s="1">
        <v>41868</v>
      </c>
      <c r="C432" s="8">
        <v>8.7200000000000006</v>
      </c>
      <c r="D432" s="8">
        <v>0.23</v>
      </c>
      <c r="E432">
        <v>2</v>
      </c>
      <c r="F432" s="10">
        <f>(WYNAJEM47[[#This Row],[data_wyjazdu]]-WYNAJEM47[[#This Row],[data_przyjazdu]])</f>
        <v>27</v>
      </c>
      <c r="G432" s="9">
        <f xml:space="preserve"> WYNAJEM47[[#This Row],[energia]] + WYNAJEM47[[#This Row],[woda]]</f>
        <v>8.9500000000000011</v>
      </c>
      <c r="I432" s="9"/>
    </row>
    <row r="433" spans="1:9" x14ac:dyDescent="0.25">
      <c r="A433" s="1">
        <v>41841</v>
      </c>
      <c r="B433" s="1">
        <v>41859</v>
      </c>
      <c r="C433" s="8">
        <v>11.44</v>
      </c>
      <c r="D433" s="8">
        <v>0.3</v>
      </c>
      <c r="E433">
        <v>3</v>
      </c>
      <c r="F433" s="10">
        <f>(WYNAJEM47[[#This Row],[data_wyjazdu]]-WYNAJEM47[[#This Row],[data_przyjazdu]])</f>
        <v>18</v>
      </c>
      <c r="G433" s="9">
        <f xml:space="preserve"> WYNAJEM47[[#This Row],[energia]] + WYNAJEM47[[#This Row],[woda]]</f>
        <v>11.74</v>
      </c>
      <c r="I433" s="9"/>
    </row>
    <row r="434" spans="1:9" x14ac:dyDescent="0.25">
      <c r="A434" s="1">
        <v>41841</v>
      </c>
      <c r="B434" s="1">
        <v>41854</v>
      </c>
      <c r="C434" s="8">
        <v>3.94</v>
      </c>
      <c r="D434" s="8">
        <v>0.1</v>
      </c>
      <c r="E434">
        <v>2</v>
      </c>
      <c r="F434" s="10">
        <f>(WYNAJEM47[[#This Row],[data_wyjazdu]]-WYNAJEM47[[#This Row],[data_przyjazdu]])</f>
        <v>13</v>
      </c>
      <c r="G434" s="9">
        <f xml:space="preserve"> WYNAJEM47[[#This Row],[energia]] + WYNAJEM47[[#This Row],[woda]]</f>
        <v>4.04</v>
      </c>
      <c r="I434" s="9"/>
    </row>
    <row r="435" spans="1:9" x14ac:dyDescent="0.25">
      <c r="A435" s="1">
        <v>41845</v>
      </c>
      <c r="B435" s="1">
        <v>41871</v>
      </c>
      <c r="C435" s="8">
        <v>9.4600000000000009</v>
      </c>
      <c r="D435" s="8">
        <v>0.25</v>
      </c>
      <c r="E435">
        <v>3</v>
      </c>
      <c r="F435" s="10">
        <f>(WYNAJEM47[[#This Row],[data_wyjazdu]]-WYNAJEM47[[#This Row],[data_przyjazdu]])</f>
        <v>26</v>
      </c>
      <c r="G435" s="9">
        <f xml:space="preserve"> WYNAJEM47[[#This Row],[energia]] + WYNAJEM47[[#This Row],[woda]]</f>
        <v>9.7100000000000009</v>
      </c>
      <c r="I435" s="9"/>
    </row>
    <row r="436" spans="1:9" x14ac:dyDescent="0.25">
      <c r="A436" s="1">
        <v>41845</v>
      </c>
      <c r="B436" s="1">
        <v>41853</v>
      </c>
      <c r="C436" s="8">
        <v>11.69</v>
      </c>
      <c r="D436" s="8">
        <v>0.31</v>
      </c>
      <c r="E436">
        <v>4</v>
      </c>
      <c r="F436" s="10">
        <f>(WYNAJEM47[[#This Row],[data_wyjazdu]]-WYNAJEM47[[#This Row],[data_przyjazdu]])</f>
        <v>8</v>
      </c>
      <c r="G436" s="9">
        <f xml:space="preserve"> WYNAJEM47[[#This Row],[energia]] + WYNAJEM47[[#This Row],[woda]]</f>
        <v>12</v>
      </c>
      <c r="I436" s="9"/>
    </row>
    <row r="437" spans="1:9" x14ac:dyDescent="0.25">
      <c r="A437" s="1">
        <v>41845</v>
      </c>
      <c r="B437" s="1">
        <v>41870</v>
      </c>
      <c r="C437" s="8">
        <v>8.83</v>
      </c>
      <c r="D437" s="8">
        <v>0.23</v>
      </c>
      <c r="E437">
        <v>2</v>
      </c>
      <c r="F437" s="10">
        <f>(WYNAJEM47[[#This Row],[data_wyjazdu]]-WYNAJEM47[[#This Row],[data_przyjazdu]])</f>
        <v>25</v>
      </c>
      <c r="G437" s="9">
        <f xml:space="preserve"> WYNAJEM47[[#This Row],[energia]] + WYNAJEM47[[#This Row],[woda]]</f>
        <v>9.06</v>
      </c>
      <c r="I437" s="9"/>
    </row>
    <row r="438" spans="1:9" x14ac:dyDescent="0.25">
      <c r="A438" s="1">
        <v>41845</v>
      </c>
      <c r="B438" s="1">
        <v>41866</v>
      </c>
      <c r="C438" s="8">
        <v>8.83</v>
      </c>
      <c r="D438" s="8">
        <v>0.23</v>
      </c>
      <c r="E438">
        <v>6</v>
      </c>
      <c r="F438" s="10">
        <f>(WYNAJEM47[[#This Row],[data_wyjazdu]]-WYNAJEM47[[#This Row],[data_przyjazdu]])</f>
        <v>21</v>
      </c>
      <c r="G438" s="9">
        <f xml:space="preserve"> WYNAJEM47[[#This Row],[energia]] + WYNAJEM47[[#This Row],[woda]]</f>
        <v>9.06</v>
      </c>
      <c r="I438" s="9"/>
    </row>
    <row r="439" spans="1:9" x14ac:dyDescent="0.25">
      <c r="A439" s="1">
        <v>41845</v>
      </c>
      <c r="B439" s="1">
        <v>41866</v>
      </c>
      <c r="C439" s="8">
        <v>9.1300000000000008</v>
      </c>
      <c r="D439" s="8">
        <v>0.24</v>
      </c>
      <c r="E439">
        <v>4</v>
      </c>
      <c r="F439" s="10">
        <f>(WYNAJEM47[[#This Row],[data_wyjazdu]]-WYNAJEM47[[#This Row],[data_przyjazdu]])</f>
        <v>21</v>
      </c>
      <c r="G439" s="9">
        <f xml:space="preserve"> WYNAJEM47[[#This Row],[energia]] + WYNAJEM47[[#This Row],[woda]]</f>
        <v>9.370000000000001</v>
      </c>
      <c r="I439" s="9"/>
    </row>
    <row r="440" spans="1:9" x14ac:dyDescent="0.25">
      <c r="A440" s="1">
        <v>41845</v>
      </c>
      <c r="B440" s="1">
        <v>41873</v>
      </c>
      <c r="C440" s="8">
        <v>9.06</v>
      </c>
      <c r="D440" s="8">
        <v>0.24</v>
      </c>
      <c r="E440">
        <v>5</v>
      </c>
      <c r="F440" s="10">
        <f>(WYNAJEM47[[#This Row],[data_wyjazdu]]-WYNAJEM47[[#This Row],[data_przyjazdu]])</f>
        <v>28</v>
      </c>
      <c r="G440" s="9">
        <f xml:space="preserve"> WYNAJEM47[[#This Row],[energia]] + WYNAJEM47[[#This Row],[woda]]</f>
        <v>9.3000000000000007</v>
      </c>
      <c r="I440" s="9"/>
    </row>
    <row r="441" spans="1:9" x14ac:dyDescent="0.25">
      <c r="A441" s="1">
        <v>41851</v>
      </c>
      <c r="B441" s="1">
        <v>41873</v>
      </c>
      <c r="C441" s="8">
        <v>10.19</v>
      </c>
      <c r="D441" s="8">
        <v>0.27</v>
      </c>
      <c r="E441">
        <v>5</v>
      </c>
      <c r="F441" s="10">
        <f>(WYNAJEM47[[#This Row],[data_wyjazdu]]-WYNAJEM47[[#This Row],[data_przyjazdu]])</f>
        <v>22</v>
      </c>
      <c r="G441" s="9">
        <f xml:space="preserve"> WYNAJEM47[[#This Row],[energia]] + WYNAJEM47[[#This Row],[woda]]</f>
        <v>10.459999999999999</v>
      </c>
      <c r="I441" s="9"/>
    </row>
    <row r="442" spans="1:9" x14ac:dyDescent="0.25">
      <c r="A442" s="1">
        <v>41851</v>
      </c>
      <c r="B442" s="1">
        <v>41872</v>
      </c>
      <c r="C442" s="8">
        <v>14</v>
      </c>
      <c r="D442" s="8">
        <v>0.37</v>
      </c>
      <c r="E442">
        <v>4</v>
      </c>
      <c r="F442" s="10">
        <f>(WYNAJEM47[[#This Row],[data_wyjazdu]]-WYNAJEM47[[#This Row],[data_przyjazdu]])</f>
        <v>21</v>
      </c>
      <c r="G442" s="9">
        <f xml:space="preserve"> WYNAJEM47[[#This Row],[energia]] + WYNAJEM47[[#This Row],[woda]]</f>
        <v>14.37</v>
      </c>
      <c r="I442" s="9"/>
    </row>
    <row r="443" spans="1:9" x14ac:dyDescent="0.25">
      <c r="A443" s="1">
        <v>41851</v>
      </c>
      <c r="B443" s="1">
        <v>41858</v>
      </c>
      <c r="C443" s="8">
        <v>11.44</v>
      </c>
      <c r="D443" s="8">
        <v>0.3</v>
      </c>
      <c r="E443">
        <v>5</v>
      </c>
      <c r="F443" s="10">
        <f>(WYNAJEM47[[#This Row],[data_wyjazdu]]-WYNAJEM47[[#This Row],[data_przyjazdu]])</f>
        <v>7</v>
      </c>
      <c r="G443" s="9">
        <f xml:space="preserve"> WYNAJEM47[[#This Row],[energia]] + WYNAJEM47[[#This Row],[woda]]</f>
        <v>11.74</v>
      </c>
      <c r="I443" s="9"/>
    </row>
    <row r="444" spans="1:9" x14ac:dyDescent="0.25">
      <c r="A444" s="1">
        <v>41851</v>
      </c>
      <c r="B444" s="1">
        <v>41871</v>
      </c>
      <c r="C444" s="8">
        <v>7.31</v>
      </c>
      <c r="D444" s="8">
        <v>0.19</v>
      </c>
      <c r="E444">
        <v>2</v>
      </c>
      <c r="F444" s="10">
        <f>(WYNAJEM47[[#This Row],[data_wyjazdu]]-WYNAJEM47[[#This Row],[data_przyjazdu]])</f>
        <v>20</v>
      </c>
      <c r="G444" s="9">
        <f xml:space="preserve"> WYNAJEM47[[#This Row],[energia]] + WYNAJEM47[[#This Row],[woda]]</f>
        <v>7.5</v>
      </c>
      <c r="I444" s="9"/>
    </row>
    <row r="445" spans="1:9" x14ac:dyDescent="0.25">
      <c r="A445" s="1">
        <v>41851</v>
      </c>
      <c r="B445" s="1">
        <v>41863</v>
      </c>
      <c r="C445" s="8">
        <v>9.4600000000000009</v>
      </c>
      <c r="D445" s="8">
        <v>0.25</v>
      </c>
      <c r="E445">
        <v>2</v>
      </c>
      <c r="F445" s="10">
        <f>(WYNAJEM47[[#This Row],[data_wyjazdu]]-WYNAJEM47[[#This Row],[data_przyjazdu]])</f>
        <v>12</v>
      </c>
      <c r="G445" s="9">
        <f xml:space="preserve"> WYNAJEM47[[#This Row],[energia]] + WYNAJEM47[[#This Row],[woda]]</f>
        <v>9.7100000000000009</v>
      </c>
      <c r="I445" s="9"/>
    </row>
    <row r="446" spans="1:9" x14ac:dyDescent="0.25">
      <c r="A446" s="1">
        <v>41851</v>
      </c>
      <c r="B446" s="1">
        <v>41856</v>
      </c>
      <c r="C446" s="8">
        <v>8.83</v>
      </c>
      <c r="D446" s="8">
        <v>0.23</v>
      </c>
      <c r="E446">
        <v>3</v>
      </c>
      <c r="F446" s="10">
        <f>(WYNAJEM47[[#This Row],[data_wyjazdu]]-WYNAJEM47[[#This Row],[data_przyjazdu]])</f>
        <v>5</v>
      </c>
      <c r="G446" s="9">
        <f xml:space="preserve"> WYNAJEM47[[#This Row],[energia]] + WYNAJEM47[[#This Row],[woda]]</f>
        <v>9.06</v>
      </c>
      <c r="I446" s="9"/>
    </row>
    <row r="447" spans="1:9" x14ac:dyDescent="0.25">
      <c r="A447" s="1">
        <v>41851</v>
      </c>
      <c r="B447" s="1">
        <v>41855</v>
      </c>
      <c r="C447" s="8">
        <v>6.88</v>
      </c>
      <c r="D447" s="8">
        <v>0.18</v>
      </c>
      <c r="E447">
        <v>2</v>
      </c>
      <c r="F447" s="10">
        <f>(WYNAJEM47[[#This Row],[data_wyjazdu]]-WYNAJEM47[[#This Row],[data_przyjazdu]])</f>
        <v>4</v>
      </c>
      <c r="G447" s="9">
        <f xml:space="preserve"> WYNAJEM47[[#This Row],[energia]] + WYNAJEM47[[#This Row],[woda]]</f>
        <v>7.06</v>
      </c>
      <c r="I447" s="9"/>
    </row>
    <row r="448" spans="1:9" x14ac:dyDescent="0.25">
      <c r="A448" s="1">
        <v>41851</v>
      </c>
      <c r="B448" s="1">
        <v>41853</v>
      </c>
      <c r="C448" s="8">
        <v>6.75</v>
      </c>
      <c r="D448" s="8">
        <v>0.18</v>
      </c>
      <c r="E448">
        <v>3</v>
      </c>
      <c r="F448" s="10">
        <f>(WYNAJEM47[[#This Row],[data_wyjazdu]]-WYNAJEM47[[#This Row],[data_przyjazdu]])</f>
        <v>2</v>
      </c>
      <c r="G448" s="9">
        <f xml:space="preserve"> WYNAJEM47[[#This Row],[energia]] + WYNAJEM47[[#This Row],[woda]]</f>
        <v>6.93</v>
      </c>
      <c r="I448" s="9"/>
    </row>
    <row r="449" spans="1:9" x14ac:dyDescent="0.25">
      <c r="A449" s="1">
        <v>41851</v>
      </c>
      <c r="B449" s="1">
        <v>41869</v>
      </c>
      <c r="C449" s="8">
        <v>19.54</v>
      </c>
      <c r="D449" s="8">
        <v>0.51</v>
      </c>
      <c r="E449">
        <v>3</v>
      </c>
      <c r="F449" s="10">
        <f>(WYNAJEM47[[#This Row],[data_wyjazdu]]-WYNAJEM47[[#This Row],[data_przyjazdu]])</f>
        <v>18</v>
      </c>
      <c r="G449" s="9">
        <f xml:space="preserve"> WYNAJEM47[[#This Row],[energia]] + WYNAJEM47[[#This Row],[woda]]</f>
        <v>20.05</v>
      </c>
      <c r="I449" s="9"/>
    </row>
    <row r="450" spans="1:9" x14ac:dyDescent="0.25">
      <c r="A450" s="1">
        <v>41851</v>
      </c>
      <c r="B450" s="1">
        <v>41856</v>
      </c>
      <c r="C450" s="8">
        <v>14.31</v>
      </c>
      <c r="D450" s="8">
        <v>0.38</v>
      </c>
      <c r="E450">
        <v>6</v>
      </c>
      <c r="F450" s="10">
        <f>(WYNAJEM47[[#This Row],[data_wyjazdu]]-WYNAJEM47[[#This Row],[data_przyjazdu]])</f>
        <v>5</v>
      </c>
      <c r="G450" s="9">
        <f xml:space="preserve"> WYNAJEM47[[#This Row],[energia]] + WYNAJEM47[[#This Row],[woda]]</f>
        <v>14.690000000000001</v>
      </c>
      <c r="I450" s="9"/>
    </row>
    <row r="451" spans="1:9" x14ac:dyDescent="0.25">
      <c r="A451" s="1">
        <v>41851</v>
      </c>
      <c r="B451" s="1">
        <v>41870</v>
      </c>
      <c r="C451" s="8">
        <v>3.79</v>
      </c>
      <c r="D451" s="8">
        <v>0.1</v>
      </c>
      <c r="E451">
        <v>2</v>
      </c>
      <c r="F451" s="10">
        <f>(WYNAJEM47[[#This Row],[data_wyjazdu]]-WYNAJEM47[[#This Row],[data_przyjazdu]])</f>
        <v>19</v>
      </c>
      <c r="G451" s="9">
        <f xml:space="preserve"> WYNAJEM47[[#This Row],[energia]] + WYNAJEM47[[#This Row],[woda]]</f>
        <v>3.89</v>
      </c>
      <c r="I451" s="9"/>
    </row>
    <row r="452" spans="1:9" x14ac:dyDescent="0.25">
      <c r="A452" s="1">
        <v>41851</v>
      </c>
      <c r="B452" s="1">
        <v>41868</v>
      </c>
      <c r="C452" s="8">
        <v>8.89</v>
      </c>
      <c r="D452" s="8">
        <v>0.23</v>
      </c>
      <c r="E452">
        <v>5</v>
      </c>
      <c r="F452" s="10">
        <f>(WYNAJEM47[[#This Row],[data_wyjazdu]]-WYNAJEM47[[#This Row],[data_przyjazdu]])</f>
        <v>17</v>
      </c>
      <c r="G452" s="9">
        <f xml:space="preserve"> WYNAJEM47[[#This Row],[energia]] + WYNAJEM47[[#This Row],[woda]]</f>
        <v>9.120000000000001</v>
      </c>
      <c r="I452" s="9"/>
    </row>
    <row r="453" spans="1:9" x14ac:dyDescent="0.25">
      <c r="A453" s="1">
        <v>41851</v>
      </c>
      <c r="B453" s="1">
        <v>41867</v>
      </c>
      <c r="C453" s="8">
        <v>7.71</v>
      </c>
      <c r="D453" s="8">
        <v>0.2</v>
      </c>
      <c r="E453">
        <v>5</v>
      </c>
      <c r="F453" s="10">
        <f>(WYNAJEM47[[#This Row],[data_wyjazdu]]-WYNAJEM47[[#This Row],[data_przyjazdu]])</f>
        <v>16</v>
      </c>
      <c r="G453" s="9">
        <f xml:space="preserve"> WYNAJEM47[[#This Row],[energia]] + WYNAJEM47[[#This Row],[woda]]</f>
        <v>7.91</v>
      </c>
      <c r="I453" s="9"/>
    </row>
    <row r="454" spans="1:9" x14ac:dyDescent="0.25">
      <c r="A454" s="1">
        <v>41851</v>
      </c>
      <c r="B454" s="1">
        <v>41864</v>
      </c>
      <c r="C454" s="8">
        <v>16.829999999999998</v>
      </c>
      <c r="D454" s="8">
        <v>0.44</v>
      </c>
      <c r="E454">
        <v>6</v>
      </c>
      <c r="F454" s="10">
        <f>(WYNAJEM47[[#This Row],[data_wyjazdu]]-WYNAJEM47[[#This Row],[data_przyjazdu]])</f>
        <v>13</v>
      </c>
      <c r="G454" s="9">
        <f xml:space="preserve"> WYNAJEM47[[#This Row],[energia]] + WYNAJEM47[[#This Row],[woda]]</f>
        <v>17.27</v>
      </c>
      <c r="I454" s="9"/>
    </row>
    <row r="455" spans="1:9" x14ac:dyDescent="0.25">
      <c r="A455" s="1">
        <v>41851</v>
      </c>
      <c r="B455" s="1">
        <v>41857</v>
      </c>
      <c r="C455" s="8">
        <v>5.23</v>
      </c>
      <c r="D455" s="8">
        <v>0.14000000000000001</v>
      </c>
      <c r="E455">
        <v>6</v>
      </c>
      <c r="F455" s="10">
        <f>(WYNAJEM47[[#This Row],[data_wyjazdu]]-WYNAJEM47[[#This Row],[data_przyjazdu]])</f>
        <v>6</v>
      </c>
      <c r="G455" s="9">
        <f xml:space="preserve"> WYNAJEM47[[#This Row],[energia]] + WYNAJEM47[[#This Row],[woda]]</f>
        <v>5.37</v>
      </c>
      <c r="I455" s="9"/>
    </row>
    <row r="456" spans="1:9" x14ac:dyDescent="0.25">
      <c r="A456" s="1">
        <v>41851</v>
      </c>
      <c r="B456" s="1">
        <v>41853</v>
      </c>
      <c r="C456" s="8">
        <v>10.79</v>
      </c>
      <c r="D456" s="8">
        <v>0.28000000000000003</v>
      </c>
      <c r="E456">
        <v>5</v>
      </c>
      <c r="F456" s="10">
        <f>(WYNAJEM47[[#This Row],[data_wyjazdu]]-WYNAJEM47[[#This Row],[data_przyjazdu]])</f>
        <v>2</v>
      </c>
      <c r="G456" s="9">
        <f xml:space="preserve"> WYNAJEM47[[#This Row],[energia]] + WYNAJEM47[[#This Row],[woda]]</f>
        <v>11.069999999999999</v>
      </c>
      <c r="I456" s="9"/>
    </row>
    <row r="457" spans="1:9" x14ac:dyDescent="0.25">
      <c r="A457" s="1">
        <v>41851</v>
      </c>
      <c r="B457" s="1">
        <v>41868</v>
      </c>
      <c r="C457" s="8">
        <v>12.23</v>
      </c>
      <c r="D457" s="8">
        <v>0.32</v>
      </c>
      <c r="E457">
        <v>2</v>
      </c>
      <c r="F457" s="10">
        <f>(WYNAJEM47[[#This Row],[data_wyjazdu]]-WYNAJEM47[[#This Row],[data_przyjazdu]])</f>
        <v>17</v>
      </c>
      <c r="G457" s="9">
        <f xml:space="preserve"> WYNAJEM47[[#This Row],[energia]] + WYNAJEM47[[#This Row],[woda]]</f>
        <v>12.55</v>
      </c>
      <c r="I457" s="9"/>
    </row>
    <row r="458" spans="1:9" x14ac:dyDescent="0.25">
      <c r="A458" s="1">
        <v>41851</v>
      </c>
      <c r="B458" s="1">
        <v>41870</v>
      </c>
      <c r="C458" s="8">
        <v>5.78</v>
      </c>
      <c r="D458" s="8">
        <v>0.15</v>
      </c>
      <c r="E458">
        <v>6</v>
      </c>
      <c r="F458" s="10">
        <f>(WYNAJEM47[[#This Row],[data_wyjazdu]]-WYNAJEM47[[#This Row],[data_przyjazdu]])</f>
        <v>19</v>
      </c>
      <c r="G458" s="9">
        <f xml:space="preserve"> WYNAJEM47[[#This Row],[energia]] + WYNAJEM47[[#This Row],[woda]]</f>
        <v>5.9300000000000006</v>
      </c>
      <c r="I458" s="9"/>
    </row>
    <row r="459" spans="1:9" x14ac:dyDescent="0.25">
      <c r="A459" s="1">
        <v>41857</v>
      </c>
      <c r="B459" s="1">
        <v>41865</v>
      </c>
      <c r="C459" s="8">
        <v>5.23</v>
      </c>
      <c r="D459" s="8">
        <v>0.14000000000000001</v>
      </c>
      <c r="E459">
        <v>3</v>
      </c>
      <c r="F459" s="10">
        <f>(WYNAJEM47[[#This Row],[data_wyjazdu]]-WYNAJEM47[[#This Row],[data_przyjazdu]])</f>
        <v>8</v>
      </c>
      <c r="G459" s="9">
        <f xml:space="preserve"> WYNAJEM47[[#This Row],[energia]] + WYNAJEM47[[#This Row],[woda]]</f>
        <v>5.37</v>
      </c>
      <c r="I459" s="9"/>
    </row>
    <row r="460" spans="1:9" x14ac:dyDescent="0.25">
      <c r="A460" s="1">
        <v>41857</v>
      </c>
      <c r="B460" s="1">
        <v>41868</v>
      </c>
      <c r="C460" s="8">
        <v>9.06</v>
      </c>
      <c r="D460" s="8">
        <v>0.24</v>
      </c>
      <c r="E460">
        <v>2</v>
      </c>
      <c r="F460" s="10">
        <f>(WYNAJEM47[[#This Row],[data_wyjazdu]]-WYNAJEM47[[#This Row],[data_przyjazdu]])</f>
        <v>11</v>
      </c>
      <c r="G460" s="9">
        <f xml:space="preserve"> WYNAJEM47[[#This Row],[energia]] + WYNAJEM47[[#This Row],[woda]]</f>
        <v>9.3000000000000007</v>
      </c>
      <c r="I460" s="9"/>
    </row>
    <row r="461" spans="1:9" x14ac:dyDescent="0.25">
      <c r="A461" s="1">
        <v>41857</v>
      </c>
      <c r="B461" s="1">
        <v>41885</v>
      </c>
      <c r="C461" s="8">
        <v>12.23</v>
      </c>
      <c r="D461" s="8">
        <v>0.32</v>
      </c>
      <c r="E461">
        <v>4</v>
      </c>
      <c r="F461" s="10">
        <f>(WYNAJEM47[[#This Row],[data_wyjazdu]]-WYNAJEM47[[#This Row],[data_przyjazdu]])</f>
        <v>28</v>
      </c>
      <c r="G461" s="9">
        <f xml:space="preserve"> WYNAJEM47[[#This Row],[energia]] + WYNAJEM47[[#This Row],[woda]]</f>
        <v>12.55</v>
      </c>
      <c r="I461" s="9"/>
    </row>
    <row r="462" spans="1:9" x14ac:dyDescent="0.25">
      <c r="A462" s="1">
        <v>41857</v>
      </c>
      <c r="B462" s="1">
        <v>41881</v>
      </c>
      <c r="C462" s="8">
        <v>8.83</v>
      </c>
      <c r="D462" s="8">
        <v>0.23</v>
      </c>
      <c r="E462">
        <v>4</v>
      </c>
      <c r="F462" s="10">
        <f>(WYNAJEM47[[#This Row],[data_wyjazdu]]-WYNAJEM47[[#This Row],[data_przyjazdu]])</f>
        <v>24</v>
      </c>
      <c r="G462" s="9">
        <f xml:space="preserve"> WYNAJEM47[[#This Row],[energia]] + WYNAJEM47[[#This Row],[woda]]</f>
        <v>9.06</v>
      </c>
      <c r="I462" s="9"/>
    </row>
    <row r="463" spans="1:9" x14ac:dyDescent="0.25">
      <c r="A463" s="1">
        <v>41857</v>
      </c>
      <c r="B463" s="1">
        <v>41876</v>
      </c>
      <c r="C463" s="8">
        <v>10.93</v>
      </c>
      <c r="D463" s="8">
        <v>0.28999999999999998</v>
      </c>
      <c r="E463">
        <v>5</v>
      </c>
      <c r="F463" s="10">
        <f>(WYNAJEM47[[#This Row],[data_wyjazdu]]-WYNAJEM47[[#This Row],[data_przyjazdu]])</f>
        <v>19</v>
      </c>
      <c r="G463" s="9">
        <f xml:space="preserve"> WYNAJEM47[[#This Row],[energia]] + WYNAJEM47[[#This Row],[woda]]</f>
        <v>11.219999999999999</v>
      </c>
      <c r="I463" s="9"/>
    </row>
    <row r="464" spans="1:9" x14ac:dyDescent="0.25">
      <c r="A464" s="1">
        <v>41860</v>
      </c>
      <c r="B464" s="1">
        <v>41874</v>
      </c>
      <c r="C464" s="8">
        <v>3.94</v>
      </c>
      <c r="D464" s="8">
        <v>0.1</v>
      </c>
      <c r="E464">
        <v>2</v>
      </c>
      <c r="F464" s="10">
        <f>(WYNAJEM47[[#This Row],[data_wyjazdu]]-WYNAJEM47[[#This Row],[data_przyjazdu]])</f>
        <v>14</v>
      </c>
      <c r="G464" s="9">
        <f xml:space="preserve"> WYNAJEM47[[#This Row],[energia]] + WYNAJEM47[[#This Row],[woda]]</f>
        <v>4.04</v>
      </c>
      <c r="I464" s="9"/>
    </row>
    <row r="465" spans="1:9" x14ac:dyDescent="0.25">
      <c r="A465" s="1">
        <v>41863</v>
      </c>
      <c r="B465" s="1">
        <v>41885</v>
      </c>
      <c r="C465" s="8">
        <v>19.54</v>
      </c>
      <c r="D465" s="8">
        <v>0.51</v>
      </c>
      <c r="E465">
        <v>6</v>
      </c>
      <c r="F465" s="10">
        <f>(WYNAJEM47[[#This Row],[data_wyjazdu]]-WYNAJEM47[[#This Row],[data_przyjazdu]])</f>
        <v>22</v>
      </c>
      <c r="G465" s="9">
        <f xml:space="preserve"> WYNAJEM47[[#This Row],[energia]] + WYNAJEM47[[#This Row],[woda]]</f>
        <v>20.05</v>
      </c>
      <c r="I465" s="9"/>
    </row>
    <row r="466" spans="1:9" x14ac:dyDescent="0.25">
      <c r="A466" s="1">
        <v>41863</v>
      </c>
      <c r="B466" s="1">
        <v>41872</v>
      </c>
      <c r="C466" s="8">
        <v>6.75</v>
      </c>
      <c r="D466" s="8">
        <v>0.18</v>
      </c>
      <c r="E466">
        <v>2</v>
      </c>
      <c r="F466" s="10">
        <f>(WYNAJEM47[[#This Row],[data_wyjazdu]]-WYNAJEM47[[#This Row],[data_przyjazdu]])</f>
        <v>9</v>
      </c>
      <c r="G466" s="9">
        <f xml:space="preserve"> WYNAJEM47[[#This Row],[energia]] + WYNAJEM47[[#This Row],[woda]]</f>
        <v>6.93</v>
      </c>
      <c r="I466" s="9"/>
    </row>
    <row r="467" spans="1:9" x14ac:dyDescent="0.25">
      <c r="A467" s="1">
        <v>41863</v>
      </c>
      <c r="B467" s="1">
        <v>41888</v>
      </c>
      <c r="C467" s="8">
        <v>7.55</v>
      </c>
      <c r="D467" s="8">
        <v>0.2</v>
      </c>
      <c r="E467">
        <v>5</v>
      </c>
      <c r="F467" s="10">
        <f>(WYNAJEM47[[#This Row],[data_wyjazdu]]-WYNAJEM47[[#This Row],[data_przyjazdu]])</f>
        <v>25</v>
      </c>
      <c r="G467" s="9">
        <f xml:space="preserve"> WYNAJEM47[[#This Row],[energia]] + WYNAJEM47[[#This Row],[woda]]</f>
        <v>7.75</v>
      </c>
      <c r="I467" s="9"/>
    </row>
    <row r="468" spans="1:9" x14ac:dyDescent="0.25">
      <c r="A468" s="1">
        <v>41863</v>
      </c>
      <c r="B468" s="1">
        <v>41886</v>
      </c>
      <c r="C468" s="8">
        <v>3.73</v>
      </c>
      <c r="D468" s="8">
        <v>0.1</v>
      </c>
      <c r="E468">
        <v>5</v>
      </c>
      <c r="F468" s="10">
        <f>(WYNAJEM47[[#This Row],[data_wyjazdu]]-WYNAJEM47[[#This Row],[data_przyjazdu]])</f>
        <v>23</v>
      </c>
      <c r="G468" s="9">
        <f xml:space="preserve"> WYNAJEM47[[#This Row],[energia]] + WYNAJEM47[[#This Row],[woda]]</f>
        <v>3.83</v>
      </c>
      <c r="I468" s="9"/>
    </row>
    <row r="469" spans="1:9" x14ac:dyDescent="0.25">
      <c r="A469" s="1">
        <v>41863</v>
      </c>
      <c r="B469" s="1">
        <v>41874</v>
      </c>
      <c r="C469" s="8">
        <v>8.51</v>
      </c>
      <c r="D469" s="8">
        <v>0.22</v>
      </c>
      <c r="E469">
        <v>2</v>
      </c>
      <c r="F469" s="10">
        <f>(WYNAJEM47[[#This Row],[data_wyjazdu]]-WYNAJEM47[[#This Row],[data_przyjazdu]])</f>
        <v>11</v>
      </c>
      <c r="G469" s="9">
        <f xml:space="preserve"> WYNAJEM47[[#This Row],[energia]] + WYNAJEM47[[#This Row],[woda]]</f>
        <v>8.73</v>
      </c>
      <c r="I469" s="9"/>
    </row>
    <row r="470" spans="1:9" x14ac:dyDescent="0.25">
      <c r="A470" s="1">
        <v>41863</v>
      </c>
      <c r="B470" s="1">
        <v>41878</v>
      </c>
      <c r="C470" s="8">
        <v>6.88</v>
      </c>
      <c r="D470" s="8">
        <v>0.18</v>
      </c>
      <c r="E470">
        <v>3</v>
      </c>
      <c r="F470" s="10">
        <f>(WYNAJEM47[[#This Row],[data_wyjazdu]]-WYNAJEM47[[#This Row],[data_przyjazdu]])</f>
        <v>15</v>
      </c>
      <c r="G470" s="9">
        <f xml:space="preserve"> WYNAJEM47[[#This Row],[energia]] + WYNAJEM47[[#This Row],[woda]]</f>
        <v>7.06</v>
      </c>
      <c r="I470" s="9"/>
    </row>
    <row r="471" spans="1:9" x14ac:dyDescent="0.25">
      <c r="A471" s="1">
        <v>41863</v>
      </c>
      <c r="B471" s="1">
        <v>41874</v>
      </c>
      <c r="C471" s="8">
        <v>6.75</v>
      </c>
      <c r="D471" s="8">
        <v>0.18</v>
      </c>
      <c r="E471">
        <v>4</v>
      </c>
      <c r="F471" s="10">
        <f>(WYNAJEM47[[#This Row],[data_wyjazdu]]-WYNAJEM47[[#This Row],[data_przyjazdu]])</f>
        <v>11</v>
      </c>
      <c r="G471" s="9">
        <f xml:space="preserve"> WYNAJEM47[[#This Row],[energia]] + WYNAJEM47[[#This Row],[woda]]</f>
        <v>6.93</v>
      </c>
      <c r="I471" s="9"/>
    </row>
    <row r="472" spans="1:9" x14ac:dyDescent="0.25">
      <c r="A472" s="1">
        <v>41863</v>
      </c>
      <c r="B472" s="1">
        <v>41875</v>
      </c>
      <c r="C472" s="8">
        <v>11.42</v>
      </c>
      <c r="D472" s="8">
        <v>0.3</v>
      </c>
      <c r="E472">
        <v>5</v>
      </c>
      <c r="F472" s="10">
        <f>(WYNAJEM47[[#This Row],[data_wyjazdu]]-WYNAJEM47[[#This Row],[data_przyjazdu]])</f>
        <v>12</v>
      </c>
      <c r="G472" s="9">
        <f xml:space="preserve"> WYNAJEM47[[#This Row],[energia]] + WYNAJEM47[[#This Row],[woda]]</f>
        <v>11.72</v>
      </c>
      <c r="I472" s="9"/>
    </row>
    <row r="473" spans="1:9" x14ac:dyDescent="0.25">
      <c r="A473" s="1">
        <v>41863</v>
      </c>
      <c r="B473" s="1">
        <v>41866</v>
      </c>
      <c r="C473" s="8">
        <v>16.940000000000001</v>
      </c>
      <c r="D473" s="8">
        <v>0.45</v>
      </c>
      <c r="E473">
        <v>3</v>
      </c>
      <c r="F473" s="10">
        <f>(WYNAJEM47[[#This Row],[data_wyjazdu]]-WYNAJEM47[[#This Row],[data_przyjazdu]])</f>
        <v>3</v>
      </c>
      <c r="G473" s="9">
        <f xml:space="preserve"> WYNAJEM47[[#This Row],[energia]] + WYNAJEM47[[#This Row],[woda]]</f>
        <v>17.39</v>
      </c>
      <c r="I473" s="9"/>
    </row>
    <row r="474" spans="1:9" x14ac:dyDescent="0.25">
      <c r="A474" s="1">
        <v>41863</v>
      </c>
      <c r="B474" s="1">
        <v>41867</v>
      </c>
      <c r="C474" s="8">
        <v>6.34</v>
      </c>
      <c r="D474" s="8">
        <v>0.17</v>
      </c>
      <c r="E474">
        <v>6</v>
      </c>
      <c r="F474" s="10">
        <f>(WYNAJEM47[[#This Row],[data_wyjazdu]]-WYNAJEM47[[#This Row],[data_przyjazdu]])</f>
        <v>4</v>
      </c>
      <c r="G474" s="9">
        <f xml:space="preserve"> WYNAJEM47[[#This Row],[energia]] + WYNAJEM47[[#This Row],[woda]]</f>
        <v>6.51</v>
      </c>
      <c r="I474" s="9"/>
    </row>
    <row r="475" spans="1:9" x14ac:dyDescent="0.25">
      <c r="A475" s="1">
        <v>41863</v>
      </c>
      <c r="B475" s="1">
        <v>41870</v>
      </c>
      <c r="C475" s="8">
        <v>8.83</v>
      </c>
      <c r="D475" s="8">
        <v>0.23</v>
      </c>
      <c r="E475">
        <v>4</v>
      </c>
      <c r="F475" s="10">
        <f>(WYNAJEM47[[#This Row],[data_wyjazdu]]-WYNAJEM47[[#This Row],[data_przyjazdu]])</f>
        <v>7</v>
      </c>
      <c r="G475" s="9">
        <f xml:space="preserve"> WYNAJEM47[[#This Row],[energia]] + WYNAJEM47[[#This Row],[woda]]</f>
        <v>9.06</v>
      </c>
      <c r="I475" s="9"/>
    </row>
    <row r="476" spans="1:9" x14ac:dyDescent="0.25">
      <c r="A476" s="1">
        <v>41863</v>
      </c>
      <c r="B476" s="1">
        <v>41876</v>
      </c>
      <c r="C476" s="8">
        <v>6.34</v>
      </c>
      <c r="D476" s="8">
        <v>0.17</v>
      </c>
      <c r="E476">
        <v>3</v>
      </c>
      <c r="F476" s="10">
        <f>(WYNAJEM47[[#This Row],[data_wyjazdu]]-WYNAJEM47[[#This Row],[data_przyjazdu]])</f>
        <v>13</v>
      </c>
      <c r="G476" s="9">
        <f xml:space="preserve"> WYNAJEM47[[#This Row],[energia]] + WYNAJEM47[[#This Row],[woda]]</f>
        <v>6.51</v>
      </c>
      <c r="I476" s="9"/>
    </row>
    <row r="477" spans="1:9" x14ac:dyDescent="0.25">
      <c r="A477" s="1">
        <v>41863</v>
      </c>
      <c r="B477" s="1">
        <v>41880</v>
      </c>
      <c r="C477" s="8">
        <v>8.84</v>
      </c>
      <c r="D477" s="8">
        <v>0.23</v>
      </c>
      <c r="E477">
        <v>3</v>
      </c>
      <c r="F477" s="10">
        <f>(WYNAJEM47[[#This Row],[data_wyjazdu]]-WYNAJEM47[[#This Row],[data_przyjazdu]])</f>
        <v>17</v>
      </c>
      <c r="G477" s="9">
        <f xml:space="preserve"> WYNAJEM47[[#This Row],[energia]] + WYNAJEM47[[#This Row],[woda]]</f>
        <v>9.07</v>
      </c>
      <c r="I477" s="9"/>
    </row>
    <row r="478" spans="1:9" x14ac:dyDescent="0.25">
      <c r="A478" s="1">
        <v>41863</v>
      </c>
      <c r="B478" s="1">
        <v>41869</v>
      </c>
      <c r="C478" s="8">
        <v>8.65</v>
      </c>
      <c r="D478" s="8">
        <v>0.23</v>
      </c>
      <c r="E478">
        <v>2</v>
      </c>
      <c r="F478" s="10">
        <f>(WYNAJEM47[[#This Row],[data_wyjazdu]]-WYNAJEM47[[#This Row],[data_przyjazdu]])</f>
        <v>6</v>
      </c>
      <c r="G478" s="9">
        <f xml:space="preserve"> WYNAJEM47[[#This Row],[energia]] + WYNAJEM47[[#This Row],[woda]]</f>
        <v>8.8800000000000008</v>
      </c>
      <c r="I478" s="9"/>
    </row>
    <row r="479" spans="1:9" x14ac:dyDescent="0.25">
      <c r="A479" s="1">
        <v>41863</v>
      </c>
      <c r="B479" s="1">
        <v>41887</v>
      </c>
      <c r="C479" s="8">
        <v>8.51</v>
      </c>
      <c r="D479" s="8">
        <v>0.22</v>
      </c>
      <c r="E479">
        <v>4</v>
      </c>
      <c r="F479" s="10">
        <f>(WYNAJEM47[[#This Row],[data_wyjazdu]]-WYNAJEM47[[#This Row],[data_przyjazdu]])</f>
        <v>24</v>
      </c>
      <c r="G479" s="9">
        <f xml:space="preserve"> WYNAJEM47[[#This Row],[energia]] + WYNAJEM47[[#This Row],[woda]]</f>
        <v>8.73</v>
      </c>
      <c r="I479" s="9"/>
    </row>
    <row r="480" spans="1:9" x14ac:dyDescent="0.25">
      <c r="A480" s="1">
        <v>41863</v>
      </c>
      <c r="B480" s="1">
        <v>41890</v>
      </c>
      <c r="C480" s="8">
        <v>9.74</v>
      </c>
      <c r="D480" s="8">
        <v>0.26</v>
      </c>
      <c r="E480">
        <v>5</v>
      </c>
      <c r="F480" s="10">
        <f>(WYNAJEM47[[#This Row],[data_wyjazdu]]-WYNAJEM47[[#This Row],[data_przyjazdu]])</f>
        <v>27</v>
      </c>
      <c r="G480" s="9">
        <f xml:space="preserve"> WYNAJEM47[[#This Row],[energia]] + WYNAJEM47[[#This Row],[woda]]</f>
        <v>10</v>
      </c>
      <c r="I480" s="9"/>
    </row>
    <row r="481" spans="1:9" x14ac:dyDescent="0.25">
      <c r="A481" s="1">
        <v>41863</v>
      </c>
      <c r="B481" s="1">
        <v>41887</v>
      </c>
      <c r="C481" s="8">
        <v>13.02</v>
      </c>
      <c r="D481" s="8">
        <v>0.34</v>
      </c>
      <c r="E481">
        <v>2</v>
      </c>
      <c r="F481" s="10">
        <f>(WYNAJEM47[[#This Row],[data_wyjazdu]]-WYNAJEM47[[#This Row],[data_przyjazdu]])</f>
        <v>24</v>
      </c>
      <c r="G481" s="9">
        <f xml:space="preserve"> WYNAJEM47[[#This Row],[energia]] + WYNAJEM47[[#This Row],[woda]]</f>
        <v>13.36</v>
      </c>
      <c r="I481" s="9"/>
    </row>
    <row r="482" spans="1:9" x14ac:dyDescent="0.25">
      <c r="A482" s="1">
        <v>41865</v>
      </c>
      <c r="B482" s="1">
        <v>41869</v>
      </c>
      <c r="C482" s="8">
        <v>4.66</v>
      </c>
      <c r="D482" s="8">
        <v>0.12</v>
      </c>
      <c r="E482">
        <v>3</v>
      </c>
      <c r="F482" s="10">
        <f>(WYNAJEM47[[#This Row],[data_wyjazdu]]-WYNAJEM47[[#This Row],[data_przyjazdu]])</f>
        <v>4</v>
      </c>
      <c r="G482" s="9">
        <f xml:space="preserve"> WYNAJEM47[[#This Row],[energia]] + WYNAJEM47[[#This Row],[woda]]</f>
        <v>4.78</v>
      </c>
      <c r="I482" s="9"/>
    </row>
    <row r="483" spans="1:9" x14ac:dyDescent="0.25">
      <c r="A483" s="1">
        <v>41869</v>
      </c>
      <c r="B483" s="1">
        <v>41884</v>
      </c>
      <c r="C483" s="8">
        <v>14.13</v>
      </c>
      <c r="D483" s="8">
        <v>0.37</v>
      </c>
      <c r="E483">
        <v>4</v>
      </c>
      <c r="F483" s="10">
        <f>(WYNAJEM47[[#This Row],[data_wyjazdu]]-WYNAJEM47[[#This Row],[data_przyjazdu]])</f>
        <v>15</v>
      </c>
      <c r="G483" s="9">
        <f xml:space="preserve"> WYNAJEM47[[#This Row],[energia]] + WYNAJEM47[[#This Row],[woda]]</f>
        <v>14.5</v>
      </c>
      <c r="I483" s="9"/>
    </row>
    <row r="484" spans="1:9" x14ac:dyDescent="0.25">
      <c r="A484" s="1">
        <v>41869</v>
      </c>
      <c r="B484" s="1">
        <v>41892</v>
      </c>
      <c r="C484" s="8">
        <v>11.37</v>
      </c>
      <c r="D484" s="8">
        <v>0.3</v>
      </c>
      <c r="E484">
        <v>2</v>
      </c>
      <c r="F484" s="10">
        <f>(WYNAJEM47[[#This Row],[data_wyjazdu]]-WYNAJEM47[[#This Row],[data_przyjazdu]])</f>
        <v>23</v>
      </c>
      <c r="G484" s="9">
        <f xml:space="preserve"> WYNAJEM47[[#This Row],[energia]] + WYNAJEM47[[#This Row],[woda]]</f>
        <v>11.67</v>
      </c>
      <c r="I484" s="9"/>
    </row>
    <row r="485" spans="1:9" x14ac:dyDescent="0.25">
      <c r="A485" s="1">
        <v>41869</v>
      </c>
      <c r="B485" s="1">
        <v>41890</v>
      </c>
      <c r="C485" s="8">
        <v>3.79</v>
      </c>
      <c r="D485" s="8">
        <v>0.1</v>
      </c>
      <c r="E485">
        <v>3</v>
      </c>
      <c r="F485" s="10">
        <f>(WYNAJEM47[[#This Row],[data_wyjazdu]]-WYNAJEM47[[#This Row],[data_przyjazdu]])</f>
        <v>21</v>
      </c>
      <c r="G485" s="9">
        <f xml:space="preserve"> WYNAJEM47[[#This Row],[energia]] + WYNAJEM47[[#This Row],[woda]]</f>
        <v>3.89</v>
      </c>
      <c r="I485" s="9"/>
    </row>
    <row r="486" spans="1:9" x14ac:dyDescent="0.25">
      <c r="A486" s="1">
        <v>41869</v>
      </c>
      <c r="B486" s="1">
        <v>41875</v>
      </c>
      <c r="C486" s="8">
        <v>11.42</v>
      </c>
      <c r="D486" s="8">
        <v>0.3</v>
      </c>
      <c r="E486">
        <v>6</v>
      </c>
      <c r="F486" s="10">
        <f>(WYNAJEM47[[#This Row],[data_wyjazdu]]-WYNAJEM47[[#This Row],[data_przyjazdu]])</f>
        <v>6</v>
      </c>
      <c r="G486" s="9">
        <f xml:space="preserve"> WYNAJEM47[[#This Row],[energia]] + WYNAJEM47[[#This Row],[woda]]</f>
        <v>11.72</v>
      </c>
      <c r="I486" s="9"/>
    </row>
    <row r="487" spans="1:9" x14ac:dyDescent="0.25">
      <c r="A487" s="1">
        <v>41869</v>
      </c>
      <c r="B487" s="1">
        <v>41892</v>
      </c>
      <c r="C487" s="8">
        <v>8.84</v>
      </c>
      <c r="D487" s="8">
        <v>0.23</v>
      </c>
      <c r="E487">
        <v>3</v>
      </c>
      <c r="F487" s="10">
        <f>(WYNAJEM47[[#This Row],[data_wyjazdu]]-WYNAJEM47[[#This Row],[data_przyjazdu]])</f>
        <v>23</v>
      </c>
      <c r="G487" s="9">
        <f xml:space="preserve"> WYNAJEM47[[#This Row],[energia]] + WYNAJEM47[[#This Row],[woda]]</f>
        <v>9.07</v>
      </c>
      <c r="I487" s="9"/>
    </row>
    <row r="488" spans="1:9" x14ac:dyDescent="0.25">
      <c r="A488" s="1">
        <v>41869</v>
      </c>
      <c r="B488" s="1">
        <v>41875</v>
      </c>
      <c r="C488" s="8">
        <v>11.69</v>
      </c>
      <c r="D488" s="8">
        <v>0.31</v>
      </c>
      <c r="E488">
        <v>6</v>
      </c>
      <c r="F488" s="10">
        <f>(WYNAJEM47[[#This Row],[data_wyjazdu]]-WYNAJEM47[[#This Row],[data_przyjazdu]])</f>
        <v>6</v>
      </c>
      <c r="G488" s="9">
        <f xml:space="preserve"> WYNAJEM47[[#This Row],[energia]] + WYNAJEM47[[#This Row],[woda]]</f>
        <v>12</v>
      </c>
      <c r="I488" s="9"/>
    </row>
    <row r="489" spans="1:9" x14ac:dyDescent="0.25">
      <c r="A489" s="1">
        <v>41875</v>
      </c>
      <c r="B489" s="1">
        <v>41879</v>
      </c>
      <c r="C489" s="8">
        <v>5.78</v>
      </c>
      <c r="D489" s="8">
        <v>0.15</v>
      </c>
      <c r="E489">
        <v>4</v>
      </c>
      <c r="F489" s="10">
        <f>(WYNAJEM47[[#This Row],[data_wyjazdu]]-WYNAJEM47[[#This Row],[data_przyjazdu]])</f>
        <v>4</v>
      </c>
      <c r="G489" s="9">
        <f xml:space="preserve"> WYNAJEM47[[#This Row],[energia]] + WYNAJEM47[[#This Row],[woda]]</f>
        <v>5.9300000000000006</v>
      </c>
      <c r="I489" s="9"/>
    </row>
    <row r="490" spans="1:9" x14ac:dyDescent="0.25">
      <c r="A490" s="1">
        <v>41875</v>
      </c>
      <c r="B490" s="1">
        <v>41877</v>
      </c>
      <c r="C490" s="8">
        <v>19.54</v>
      </c>
      <c r="D490" s="8">
        <v>0.51</v>
      </c>
      <c r="E490">
        <v>5</v>
      </c>
      <c r="F490" s="10">
        <f>(WYNAJEM47[[#This Row],[data_wyjazdu]]-WYNAJEM47[[#This Row],[data_przyjazdu]])</f>
        <v>2</v>
      </c>
      <c r="G490" s="9">
        <f xml:space="preserve"> WYNAJEM47[[#This Row],[energia]] + WYNAJEM47[[#This Row],[woda]]</f>
        <v>20.05</v>
      </c>
      <c r="I490" s="9"/>
    </row>
    <row r="491" spans="1:9" x14ac:dyDescent="0.25">
      <c r="A491" s="1">
        <v>41875</v>
      </c>
      <c r="B491" s="1">
        <v>41891</v>
      </c>
      <c r="C491" s="8">
        <v>9.06</v>
      </c>
      <c r="D491" s="8">
        <v>0.24</v>
      </c>
      <c r="E491">
        <v>2</v>
      </c>
      <c r="F491" s="10">
        <f>(WYNAJEM47[[#This Row],[data_wyjazdu]]-WYNAJEM47[[#This Row],[data_przyjazdu]])</f>
        <v>16</v>
      </c>
      <c r="G491" s="9">
        <f xml:space="preserve"> WYNAJEM47[[#This Row],[energia]] + WYNAJEM47[[#This Row],[woda]]</f>
        <v>9.3000000000000007</v>
      </c>
      <c r="I491" s="9"/>
    </row>
    <row r="492" spans="1:9" x14ac:dyDescent="0.25">
      <c r="A492" s="1">
        <v>41875</v>
      </c>
      <c r="B492" s="1">
        <v>41890</v>
      </c>
      <c r="C492" s="8">
        <v>13.81</v>
      </c>
      <c r="D492" s="8">
        <v>0.36</v>
      </c>
      <c r="E492">
        <v>6</v>
      </c>
      <c r="F492" s="10">
        <f>(WYNAJEM47[[#This Row],[data_wyjazdu]]-WYNAJEM47[[#This Row],[data_przyjazdu]])</f>
        <v>15</v>
      </c>
      <c r="G492" s="9">
        <f xml:space="preserve"> WYNAJEM47[[#This Row],[energia]] + WYNAJEM47[[#This Row],[woda]]</f>
        <v>14.17</v>
      </c>
      <c r="I492" s="9"/>
    </row>
    <row r="493" spans="1:9" x14ac:dyDescent="0.25">
      <c r="A493" s="1">
        <v>41875</v>
      </c>
      <c r="B493" s="1">
        <v>41886</v>
      </c>
      <c r="C493" s="8">
        <v>11.42</v>
      </c>
      <c r="D493" s="8">
        <v>0.3</v>
      </c>
      <c r="E493">
        <v>5</v>
      </c>
      <c r="F493" s="10">
        <f>(WYNAJEM47[[#This Row],[data_wyjazdu]]-WYNAJEM47[[#This Row],[data_przyjazdu]])</f>
        <v>11</v>
      </c>
      <c r="G493" s="9">
        <f xml:space="preserve"> WYNAJEM47[[#This Row],[energia]] + WYNAJEM47[[#This Row],[woda]]</f>
        <v>11.72</v>
      </c>
      <c r="I493" s="9"/>
    </row>
    <row r="494" spans="1:9" x14ac:dyDescent="0.25">
      <c r="A494" s="1">
        <v>41875</v>
      </c>
      <c r="B494" s="1">
        <v>41881</v>
      </c>
      <c r="C494" s="8">
        <v>14.31</v>
      </c>
      <c r="D494" s="8">
        <v>0.38</v>
      </c>
      <c r="E494">
        <v>2</v>
      </c>
      <c r="F494" s="10">
        <f>(WYNAJEM47[[#This Row],[data_wyjazdu]]-WYNAJEM47[[#This Row],[data_przyjazdu]])</f>
        <v>6</v>
      </c>
      <c r="G494" s="9">
        <f xml:space="preserve"> WYNAJEM47[[#This Row],[energia]] + WYNAJEM47[[#This Row],[woda]]</f>
        <v>14.690000000000001</v>
      </c>
      <c r="I494" s="9"/>
    </row>
    <row r="495" spans="1:9" x14ac:dyDescent="0.25">
      <c r="A495" s="1">
        <v>41875</v>
      </c>
      <c r="B495" s="1">
        <v>41894</v>
      </c>
      <c r="C495" s="8">
        <v>8.83</v>
      </c>
      <c r="D495" s="8">
        <v>0.23</v>
      </c>
      <c r="E495">
        <v>3</v>
      </c>
      <c r="F495" s="10">
        <f>(WYNAJEM47[[#This Row],[data_wyjazdu]]-WYNAJEM47[[#This Row],[data_przyjazdu]])</f>
        <v>19</v>
      </c>
      <c r="G495" s="9">
        <f xml:space="preserve"> WYNAJEM47[[#This Row],[energia]] + WYNAJEM47[[#This Row],[woda]]</f>
        <v>9.06</v>
      </c>
      <c r="I495" s="9"/>
    </row>
    <row r="496" spans="1:9" x14ac:dyDescent="0.25">
      <c r="A496" s="1">
        <v>41875</v>
      </c>
      <c r="B496" s="1">
        <v>41885</v>
      </c>
      <c r="C496" s="8">
        <v>14.31</v>
      </c>
      <c r="D496" s="8">
        <v>0.38</v>
      </c>
      <c r="E496">
        <v>3</v>
      </c>
      <c r="F496" s="10">
        <f>(WYNAJEM47[[#This Row],[data_wyjazdu]]-WYNAJEM47[[#This Row],[data_przyjazdu]])</f>
        <v>10</v>
      </c>
      <c r="G496" s="9">
        <f xml:space="preserve"> WYNAJEM47[[#This Row],[energia]] + WYNAJEM47[[#This Row],[woda]]</f>
        <v>14.690000000000001</v>
      </c>
      <c r="I496" s="9"/>
    </row>
    <row r="497" spans="1:9" x14ac:dyDescent="0.25">
      <c r="A497" s="1">
        <v>41875</v>
      </c>
      <c r="B497" s="1">
        <v>41895</v>
      </c>
      <c r="C497" s="8">
        <v>11.37</v>
      </c>
      <c r="D497" s="8">
        <v>0.3</v>
      </c>
      <c r="E497">
        <v>2</v>
      </c>
      <c r="F497" s="10">
        <f>(WYNAJEM47[[#This Row],[data_wyjazdu]]-WYNAJEM47[[#This Row],[data_przyjazdu]])</f>
        <v>20</v>
      </c>
      <c r="G497" s="9">
        <f xml:space="preserve"> WYNAJEM47[[#This Row],[energia]] + WYNAJEM47[[#This Row],[woda]]</f>
        <v>11.67</v>
      </c>
      <c r="I497" s="9"/>
    </row>
    <row r="498" spans="1:9" x14ac:dyDescent="0.25">
      <c r="A498" s="1">
        <v>41875</v>
      </c>
      <c r="B498" s="1">
        <v>41894</v>
      </c>
      <c r="C498" s="8">
        <v>11.44</v>
      </c>
      <c r="D498" s="8">
        <v>0.3</v>
      </c>
      <c r="E498">
        <v>2</v>
      </c>
      <c r="F498" s="10">
        <f>(WYNAJEM47[[#This Row],[data_wyjazdu]]-WYNAJEM47[[#This Row],[data_przyjazdu]])</f>
        <v>19</v>
      </c>
      <c r="G498" s="9">
        <f xml:space="preserve"> WYNAJEM47[[#This Row],[energia]] + WYNAJEM47[[#This Row],[woda]]</f>
        <v>11.74</v>
      </c>
      <c r="I498" s="9"/>
    </row>
    <row r="499" spans="1:9" x14ac:dyDescent="0.25">
      <c r="A499" s="1">
        <v>41875</v>
      </c>
      <c r="B499" s="1">
        <v>41902</v>
      </c>
      <c r="C499" s="8">
        <v>8.65</v>
      </c>
      <c r="D499" s="8">
        <v>0.23</v>
      </c>
      <c r="E499">
        <v>4</v>
      </c>
      <c r="F499" s="10">
        <f>(WYNAJEM47[[#This Row],[data_wyjazdu]]-WYNAJEM47[[#This Row],[data_przyjazdu]])</f>
        <v>27</v>
      </c>
      <c r="G499" s="9">
        <f xml:space="preserve"> WYNAJEM47[[#This Row],[energia]] + WYNAJEM47[[#This Row],[woda]]</f>
        <v>8.8800000000000008</v>
      </c>
      <c r="I499" s="9"/>
    </row>
    <row r="500" spans="1:9" x14ac:dyDescent="0.25">
      <c r="A500" s="1">
        <v>41876</v>
      </c>
      <c r="B500" s="1">
        <v>41886</v>
      </c>
      <c r="C500" s="8">
        <v>11.42</v>
      </c>
      <c r="D500" s="8">
        <v>0.3</v>
      </c>
      <c r="E500">
        <v>5</v>
      </c>
      <c r="F500" s="10">
        <f>(WYNAJEM47[[#This Row],[data_wyjazdu]]-WYNAJEM47[[#This Row],[data_przyjazdu]])</f>
        <v>10</v>
      </c>
      <c r="G500" s="9">
        <f xml:space="preserve"> WYNAJEM47[[#This Row],[energia]] + WYNAJEM47[[#This Row],[woda]]</f>
        <v>11.72</v>
      </c>
      <c r="I500" s="9"/>
    </row>
    <row r="501" spans="1:9" x14ac:dyDescent="0.25">
      <c r="A501" s="1">
        <v>41876</v>
      </c>
      <c r="B501" s="1">
        <v>41886</v>
      </c>
      <c r="C501" s="8">
        <v>8.39</v>
      </c>
      <c r="D501" s="8">
        <v>0.22</v>
      </c>
      <c r="E501">
        <v>2</v>
      </c>
      <c r="F501" s="10">
        <f>(WYNAJEM47[[#This Row],[data_wyjazdu]]-WYNAJEM47[[#This Row],[data_przyjazdu]])</f>
        <v>10</v>
      </c>
      <c r="G501" s="9">
        <f xml:space="preserve"> WYNAJEM47[[#This Row],[energia]] + WYNAJEM47[[#This Row],[woda]]</f>
        <v>8.6100000000000012</v>
      </c>
      <c r="I501" s="9"/>
    </row>
    <row r="502" spans="1:9" x14ac:dyDescent="0.25">
      <c r="A502" s="1">
        <v>41876</v>
      </c>
      <c r="B502" s="1">
        <v>41887</v>
      </c>
      <c r="C502" s="8">
        <v>9.74</v>
      </c>
      <c r="D502" s="8">
        <v>0.26</v>
      </c>
      <c r="E502">
        <v>4</v>
      </c>
      <c r="F502" s="10">
        <f>(WYNAJEM47[[#This Row],[data_wyjazdu]]-WYNAJEM47[[#This Row],[data_przyjazdu]])</f>
        <v>11</v>
      </c>
      <c r="G502" s="9">
        <f xml:space="preserve"> WYNAJEM47[[#This Row],[energia]] + WYNAJEM47[[#This Row],[woda]]</f>
        <v>10</v>
      </c>
      <c r="I502" s="9"/>
    </row>
    <row r="503" spans="1:9" x14ac:dyDescent="0.25">
      <c r="A503" s="1">
        <v>41876</v>
      </c>
      <c r="B503" s="1">
        <v>41903</v>
      </c>
      <c r="C503" s="8">
        <v>5.23</v>
      </c>
      <c r="D503" s="8">
        <v>0.14000000000000001</v>
      </c>
      <c r="E503">
        <v>6</v>
      </c>
      <c r="F503" s="10">
        <f>(WYNAJEM47[[#This Row],[data_wyjazdu]]-WYNAJEM47[[#This Row],[data_przyjazdu]])</f>
        <v>27</v>
      </c>
      <c r="G503" s="9">
        <f xml:space="preserve"> WYNAJEM47[[#This Row],[energia]] + WYNAJEM47[[#This Row],[woda]]</f>
        <v>5.37</v>
      </c>
      <c r="I503" s="9"/>
    </row>
    <row r="504" spans="1:9" x14ac:dyDescent="0.25">
      <c r="A504" s="1">
        <v>41876</v>
      </c>
      <c r="B504" s="1">
        <v>41894</v>
      </c>
      <c r="C504" s="8">
        <v>8.39</v>
      </c>
      <c r="D504" s="8">
        <v>0.22</v>
      </c>
      <c r="E504">
        <v>3</v>
      </c>
      <c r="F504" s="10">
        <f>(WYNAJEM47[[#This Row],[data_wyjazdu]]-WYNAJEM47[[#This Row],[data_przyjazdu]])</f>
        <v>18</v>
      </c>
      <c r="G504" s="9">
        <f xml:space="preserve"> WYNAJEM47[[#This Row],[energia]] + WYNAJEM47[[#This Row],[woda]]</f>
        <v>8.6100000000000012</v>
      </c>
      <c r="I504" s="9"/>
    </row>
    <row r="505" spans="1:9" x14ac:dyDescent="0.25">
      <c r="A505" s="1">
        <v>41877</v>
      </c>
      <c r="B505" s="1">
        <v>41896</v>
      </c>
      <c r="C505" s="8">
        <v>5.23</v>
      </c>
      <c r="D505" s="8">
        <v>0.14000000000000001</v>
      </c>
      <c r="E505">
        <v>4</v>
      </c>
      <c r="F505" s="10">
        <f>(WYNAJEM47[[#This Row],[data_wyjazdu]]-WYNAJEM47[[#This Row],[data_przyjazdu]])</f>
        <v>19</v>
      </c>
      <c r="G505" s="9">
        <f xml:space="preserve"> WYNAJEM47[[#This Row],[energia]] + WYNAJEM47[[#This Row],[woda]]</f>
        <v>5.37</v>
      </c>
      <c r="I505" s="9"/>
    </row>
    <row r="506" spans="1:9" x14ac:dyDescent="0.25">
      <c r="A506" s="1">
        <v>41878</v>
      </c>
      <c r="B506" s="1">
        <v>41884</v>
      </c>
      <c r="C506" s="8">
        <v>6.34</v>
      </c>
      <c r="D506" s="8">
        <v>0.17</v>
      </c>
      <c r="E506">
        <v>4</v>
      </c>
      <c r="F506" s="10">
        <f>(WYNAJEM47[[#This Row],[data_wyjazdu]]-WYNAJEM47[[#This Row],[data_przyjazdu]])</f>
        <v>6</v>
      </c>
      <c r="G506" s="9">
        <f xml:space="preserve"> WYNAJEM47[[#This Row],[energia]] + WYNAJEM47[[#This Row],[woda]]</f>
        <v>6.51</v>
      </c>
      <c r="I506" s="9"/>
    </row>
    <row r="507" spans="1:9" x14ac:dyDescent="0.25">
      <c r="A507" s="1">
        <v>41881</v>
      </c>
      <c r="B507" s="1">
        <v>41908</v>
      </c>
      <c r="C507" s="8">
        <v>10.93</v>
      </c>
      <c r="D507" s="8">
        <v>0.28999999999999998</v>
      </c>
      <c r="E507">
        <v>4</v>
      </c>
      <c r="F507" s="10">
        <f>(WYNAJEM47[[#This Row],[data_wyjazdu]]-WYNAJEM47[[#This Row],[data_przyjazdu]])</f>
        <v>27</v>
      </c>
      <c r="G507" s="9">
        <f xml:space="preserve"> WYNAJEM47[[#This Row],[energia]] + WYNAJEM47[[#This Row],[woda]]</f>
        <v>11.219999999999999</v>
      </c>
      <c r="I507" s="9"/>
    </row>
    <row r="508" spans="1:9" x14ac:dyDescent="0.25">
      <c r="A508" s="1">
        <v>41881</v>
      </c>
      <c r="B508" s="1">
        <v>41894</v>
      </c>
      <c r="C508" s="8">
        <v>8.89</v>
      </c>
      <c r="D508" s="8">
        <v>0.23</v>
      </c>
      <c r="E508">
        <v>2</v>
      </c>
      <c r="F508" s="10">
        <f>(WYNAJEM47[[#This Row],[data_wyjazdu]]-WYNAJEM47[[#This Row],[data_przyjazdu]])</f>
        <v>13</v>
      </c>
      <c r="G508" s="9">
        <f xml:space="preserve"> WYNAJEM47[[#This Row],[energia]] + WYNAJEM47[[#This Row],[woda]]</f>
        <v>9.120000000000001</v>
      </c>
      <c r="I508" s="9"/>
    </row>
    <row r="509" spans="1:9" x14ac:dyDescent="0.25">
      <c r="A509" s="1">
        <v>41881</v>
      </c>
      <c r="B509" s="1">
        <v>41883</v>
      </c>
      <c r="C509" s="8">
        <v>5.57</v>
      </c>
      <c r="D509" s="8">
        <v>0.15</v>
      </c>
      <c r="E509">
        <v>2</v>
      </c>
      <c r="F509" s="10">
        <f>(WYNAJEM47[[#This Row],[data_wyjazdu]]-WYNAJEM47[[#This Row],[data_przyjazdu]])</f>
        <v>2</v>
      </c>
      <c r="G509" s="9">
        <f xml:space="preserve"> WYNAJEM47[[#This Row],[energia]] + WYNAJEM47[[#This Row],[woda]]</f>
        <v>5.7200000000000006</v>
      </c>
      <c r="I509" s="9"/>
    </row>
    <row r="510" spans="1:9" x14ac:dyDescent="0.25">
      <c r="A510" s="1">
        <v>41881</v>
      </c>
      <c r="B510" s="1">
        <v>41907</v>
      </c>
      <c r="C510" s="8">
        <v>6.23</v>
      </c>
      <c r="D510" s="8">
        <v>0.16</v>
      </c>
      <c r="E510">
        <v>3</v>
      </c>
      <c r="F510" s="10">
        <f>(WYNAJEM47[[#This Row],[data_wyjazdu]]-WYNAJEM47[[#This Row],[data_przyjazdu]])</f>
        <v>26</v>
      </c>
      <c r="G510" s="9">
        <f xml:space="preserve"> WYNAJEM47[[#This Row],[energia]] + WYNAJEM47[[#This Row],[woda]]</f>
        <v>6.3900000000000006</v>
      </c>
      <c r="I510" s="9"/>
    </row>
    <row r="511" spans="1:9" x14ac:dyDescent="0.25">
      <c r="A511" s="1">
        <v>41881</v>
      </c>
      <c r="B511" s="1">
        <v>41896</v>
      </c>
      <c r="C511" s="8">
        <v>11.42</v>
      </c>
      <c r="D511" s="8">
        <v>0.3</v>
      </c>
      <c r="E511">
        <v>4</v>
      </c>
      <c r="F511" s="10">
        <f>(WYNAJEM47[[#This Row],[data_wyjazdu]]-WYNAJEM47[[#This Row],[data_przyjazdu]])</f>
        <v>15</v>
      </c>
      <c r="G511" s="9">
        <f xml:space="preserve"> WYNAJEM47[[#This Row],[energia]] + WYNAJEM47[[#This Row],[woda]]</f>
        <v>11.72</v>
      </c>
      <c r="I511" s="9"/>
    </row>
    <row r="512" spans="1:9" x14ac:dyDescent="0.25">
      <c r="A512" s="1">
        <v>41881</v>
      </c>
      <c r="B512" s="1">
        <v>41903</v>
      </c>
      <c r="C512" s="8">
        <v>16.940000000000001</v>
      </c>
      <c r="D512" s="8">
        <v>0.45</v>
      </c>
      <c r="E512">
        <v>3</v>
      </c>
      <c r="F512" s="10">
        <f>(WYNAJEM47[[#This Row],[data_wyjazdu]]-WYNAJEM47[[#This Row],[data_przyjazdu]])</f>
        <v>22</v>
      </c>
      <c r="G512" s="9">
        <f xml:space="preserve"> WYNAJEM47[[#This Row],[energia]] + WYNAJEM47[[#This Row],[woda]]</f>
        <v>17.39</v>
      </c>
      <c r="I512" s="9"/>
    </row>
    <row r="513" spans="1:9" x14ac:dyDescent="0.25">
      <c r="A513" s="1">
        <v>41885</v>
      </c>
      <c r="B513" s="1">
        <v>41901</v>
      </c>
      <c r="C513" s="8">
        <v>7.06</v>
      </c>
      <c r="D513" s="8">
        <v>0.19</v>
      </c>
      <c r="E513">
        <v>4</v>
      </c>
      <c r="F513" s="10">
        <f>(WYNAJEM47[[#This Row],[data_wyjazdu]]-WYNAJEM47[[#This Row],[data_przyjazdu]])</f>
        <v>16</v>
      </c>
      <c r="G513" s="9">
        <f xml:space="preserve"> WYNAJEM47[[#This Row],[energia]] + WYNAJEM47[[#This Row],[woda]]</f>
        <v>7.25</v>
      </c>
      <c r="I513" s="9"/>
    </row>
    <row r="514" spans="1:9" x14ac:dyDescent="0.25">
      <c r="A514" s="1">
        <v>41886</v>
      </c>
      <c r="B514" s="1">
        <v>41899</v>
      </c>
      <c r="C514" s="8">
        <v>5.64</v>
      </c>
      <c r="D514" s="8">
        <v>0.15</v>
      </c>
      <c r="E514">
        <v>4</v>
      </c>
      <c r="F514" s="10">
        <f>(WYNAJEM47[[#This Row],[data_wyjazdu]]-WYNAJEM47[[#This Row],[data_przyjazdu]])</f>
        <v>13</v>
      </c>
      <c r="G514" s="9">
        <f xml:space="preserve"> WYNAJEM47[[#This Row],[energia]] + WYNAJEM47[[#This Row],[woda]]</f>
        <v>5.79</v>
      </c>
      <c r="I514" s="9"/>
    </row>
    <row r="515" spans="1:9" x14ac:dyDescent="0.25">
      <c r="A515" s="1">
        <v>41886</v>
      </c>
      <c r="B515" s="1">
        <v>41898</v>
      </c>
      <c r="C515" s="8">
        <v>7.3</v>
      </c>
      <c r="D515" s="8">
        <v>0.19</v>
      </c>
      <c r="E515">
        <v>3</v>
      </c>
      <c r="F515" s="10">
        <f>(WYNAJEM47[[#This Row],[data_wyjazdu]]-WYNAJEM47[[#This Row],[data_przyjazdu]])</f>
        <v>12</v>
      </c>
      <c r="G515" s="9">
        <f xml:space="preserve"> WYNAJEM47[[#This Row],[energia]] + WYNAJEM47[[#This Row],[woda]]</f>
        <v>7.49</v>
      </c>
      <c r="I515" s="9"/>
    </row>
    <row r="516" spans="1:9" x14ac:dyDescent="0.25">
      <c r="A516" s="1">
        <v>41886</v>
      </c>
      <c r="B516" s="1">
        <v>41896</v>
      </c>
      <c r="C516" s="8">
        <v>7.06</v>
      </c>
      <c r="D516" s="8">
        <v>0.19</v>
      </c>
      <c r="E516">
        <v>3</v>
      </c>
      <c r="F516" s="10">
        <f>(WYNAJEM47[[#This Row],[data_wyjazdu]]-WYNAJEM47[[#This Row],[data_przyjazdu]])</f>
        <v>10</v>
      </c>
      <c r="G516" s="9">
        <f xml:space="preserve"> WYNAJEM47[[#This Row],[energia]] + WYNAJEM47[[#This Row],[woda]]</f>
        <v>7.25</v>
      </c>
      <c r="I516" s="9"/>
    </row>
    <row r="517" spans="1:9" x14ac:dyDescent="0.25">
      <c r="A517" s="1">
        <v>41886</v>
      </c>
      <c r="B517" s="1">
        <v>41896</v>
      </c>
      <c r="C517" s="8">
        <v>5.64</v>
      </c>
      <c r="D517" s="8">
        <v>0.15</v>
      </c>
      <c r="E517">
        <v>5</v>
      </c>
      <c r="F517" s="10">
        <f>(WYNAJEM47[[#This Row],[data_wyjazdu]]-WYNAJEM47[[#This Row],[data_przyjazdu]])</f>
        <v>10</v>
      </c>
      <c r="G517" s="9">
        <f xml:space="preserve"> WYNAJEM47[[#This Row],[energia]] + WYNAJEM47[[#This Row],[woda]]</f>
        <v>5.79</v>
      </c>
      <c r="I517" s="9"/>
    </row>
    <row r="518" spans="1:9" x14ac:dyDescent="0.25">
      <c r="A518" s="1">
        <v>41886</v>
      </c>
      <c r="B518" s="1">
        <v>41889</v>
      </c>
      <c r="C518" s="8">
        <v>3.73</v>
      </c>
      <c r="D518" s="8">
        <v>0.1</v>
      </c>
      <c r="E518">
        <v>6</v>
      </c>
      <c r="F518" s="10">
        <f>(WYNAJEM47[[#This Row],[data_wyjazdu]]-WYNAJEM47[[#This Row],[data_przyjazdu]])</f>
        <v>3</v>
      </c>
      <c r="G518" s="9">
        <f xml:space="preserve"> WYNAJEM47[[#This Row],[energia]] + WYNAJEM47[[#This Row],[woda]]</f>
        <v>3.83</v>
      </c>
      <c r="I518" s="9"/>
    </row>
    <row r="519" spans="1:9" x14ac:dyDescent="0.25">
      <c r="A519" s="1">
        <v>41886</v>
      </c>
      <c r="B519" s="1">
        <v>41908</v>
      </c>
      <c r="C519" s="8">
        <v>13.81</v>
      </c>
      <c r="D519" s="8">
        <v>0.36</v>
      </c>
      <c r="E519">
        <v>6</v>
      </c>
      <c r="F519" s="10">
        <f>(WYNAJEM47[[#This Row],[data_wyjazdu]]-WYNAJEM47[[#This Row],[data_przyjazdu]])</f>
        <v>22</v>
      </c>
      <c r="G519" s="9">
        <f xml:space="preserve"> WYNAJEM47[[#This Row],[energia]] + WYNAJEM47[[#This Row],[woda]]</f>
        <v>14.17</v>
      </c>
      <c r="I519" s="9"/>
    </row>
    <row r="520" spans="1:9" x14ac:dyDescent="0.25">
      <c r="A520" s="1">
        <v>41886</v>
      </c>
      <c r="B520" s="1">
        <v>41896</v>
      </c>
      <c r="C520" s="8">
        <v>5.47</v>
      </c>
      <c r="D520" s="8">
        <v>0.14000000000000001</v>
      </c>
      <c r="E520">
        <v>2</v>
      </c>
      <c r="F520" s="10">
        <f>(WYNAJEM47[[#This Row],[data_wyjazdu]]-WYNAJEM47[[#This Row],[data_przyjazdu]])</f>
        <v>10</v>
      </c>
      <c r="G520" s="9">
        <f xml:space="preserve"> WYNAJEM47[[#This Row],[energia]] + WYNAJEM47[[#This Row],[woda]]</f>
        <v>5.6099999999999994</v>
      </c>
      <c r="I520" s="9"/>
    </row>
    <row r="521" spans="1:9" x14ac:dyDescent="0.25">
      <c r="A521" s="1">
        <v>41886</v>
      </c>
      <c r="B521" s="1">
        <v>41914</v>
      </c>
      <c r="C521" s="8">
        <v>7.31</v>
      </c>
      <c r="D521" s="8">
        <v>0.19</v>
      </c>
      <c r="E521">
        <v>6</v>
      </c>
      <c r="F521" s="10">
        <f>(WYNAJEM47[[#This Row],[data_wyjazdu]]-WYNAJEM47[[#This Row],[data_przyjazdu]])</f>
        <v>28</v>
      </c>
      <c r="G521" s="9">
        <f xml:space="preserve"> WYNAJEM47[[#This Row],[energia]] + WYNAJEM47[[#This Row],[woda]]</f>
        <v>7.5</v>
      </c>
      <c r="I521" s="9"/>
    </row>
    <row r="522" spans="1:9" x14ac:dyDescent="0.25">
      <c r="A522" s="1">
        <v>41886</v>
      </c>
      <c r="B522" s="1">
        <v>41888</v>
      </c>
      <c r="C522" s="8">
        <v>3.73</v>
      </c>
      <c r="D522" s="8">
        <v>0.1</v>
      </c>
      <c r="E522">
        <v>3</v>
      </c>
      <c r="F522" s="10">
        <f>(WYNAJEM47[[#This Row],[data_wyjazdu]]-WYNAJEM47[[#This Row],[data_przyjazdu]])</f>
        <v>2</v>
      </c>
      <c r="G522" s="9">
        <f xml:space="preserve"> WYNAJEM47[[#This Row],[energia]] + WYNAJEM47[[#This Row],[woda]]</f>
        <v>3.83</v>
      </c>
      <c r="I522" s="9"/>
    </row>
    <row r="523" spans="1:9" x14ac:dyDescent="0.25">
      <c r="A523" s="1">
        <v>41886</v>
      </c>
      <c r="B523" s="1">
        <v>41907</v>
      </c>
      <c r="C523" s="8">
        <v>8.39</v>
      </c>
      <c r="D523" s="8">
        <v>0.22</v>
      </c>
      <c r="E523">
        <v>4</v>
      </c>
      <c r="F523" s="10">
        <f>(WYNAJEM47[[#This Row],[data_wyjazdu]]-WYNAJEM47[[#This Row],[data_przyjazdu]])</f>
        <v>21</v>
      </c>
      <c r="G523" s="9">
        <f xml:space="preserve"> WYNAJEM47[[#This Row],[energia]] + WYNAJEM47[[#This Row],[woda]]</f>
        <v>8.6100000000000012</v>
      </c>
      <c r="I523" s="9"/>
    </row>
    <row r="524" spans="1:9" x14ac:dyDescent="0.25">
      <c r="A524" s="1">
        <v>41886</v>
      </c>
      <c r="B524" s="1">
        <v>41897</v>
      </c>
      <c r="C524" s="8">
        <v>13.07</v>
      </c>
      <c r="D524" s="8">
        <v>0.34</v>
      </c>
      <c r="E524">
        <v>2</v>
      </c>
      <c r="F524" s="10">
        <f>(WYNAJEM47[[#This Row],[data_wyjazdu]]-WYNAJEM47[[#This Row],[data_przyjazdu]])</f>
        <v>11</v>
      </c>
      <c r="G524" s="9">
        <f xml:space="preserve"> WYNAJEM47[[#This Row],[energia]] + WYNAJEM47[[#This Row],[woda]]</f>
        <v>13.41</v>
      </c>
      <c r="I524" s="9"/>
    </row>
    <row r="525" spans="1:9" x14ac:dyDescent="0.25">
      <c r="A525" s="1">
        <v>41886</v>
      </c>
      <c r="B525" s="1">
        <v>41891</v>
      </c>
      <c r="C525" s="8">
        <v>7.35</v>
      </c>
      <c r="D525" s="8">
        <v>0.19</v>
      </c>
      <c r="E525">
        <v>3</v>
      </c>
      <c r="F525" s="10">
        <f>(WYNAJEM47[[#This Row],[data_wyjazdu]]-WYNAJEM47[[#This Row],[data_przyjazdu]])</f>
        <v>5</v>
      </c>
      <c r="G525" s="9">
        <f xml:space="preserve"> WYNAJEM47[[#This Row],[energia]] + WYNAJEM47[[#This Row],[woda]]</f>
        <v>7.54</v>
      </c>
      <c r="I525" s="9"/>
    </row>
    <row r="526" spans="1:9" x14ac:dyDescent="0.25">
      <c r="A526" s="1">
        <v>41886</v>
      </c>
      <c r="B526" s="1">
        <v>41896</v>
      </c>
      <c r="C526" s="8">
        <v>14.31</v>
      </c>
      <c r="D526" s="8">
        <v>0.38</v>
      </c>
      <c r="E526">
        <v>5</v>
      </c>
      <c r="F526" s="10">
        <f>(WYNAJEM47[[#This Row],[data_wyjazdu]]-WYNAJEM47[[#This Row],[data_przyjazdu]])</f>
        <v>10</v>
      </c>
      <c r="G526" s="9">
        <f xml:space="preserve"> WYNAJEM47[[#This Row],[energia]] + WYNAJEM47[[#This Row],[woda]]</f>
        <v>14.690000000000001</v>
      </c>
      <c r="I526" s="9"/>
    </row>
    <row r="527" spans="1:9" x14ac:dyDescent="0.25">
      <c r="A527" s="1">
        <v>41886</v>
      </c>
      <c r="B527" s="1">
        <v>41914</v>
      </c>
      <c r="C527" s="8">
        <v>5.57</v>
      </c>
      <c r="D527" s="8">
        <v>0.15</v>
      </c>
      <c r="E527">
        <v>4</v>
      </c>
      <c r="F527" s="10">
        <f>(WYNAJEM47[[#This Row],[data_wyjazdu]]-WYNAJEM47[[#This Row],[data_przyjazdu]])</f>
        <v>28</v>
      </c>
      <c r="G527" s="9">
        <f xml:space="preserve"> WYNAJEM47[[#This Row],[energia]] + WYNAJEM47[[#This Row],[woda]]</f>
        <v>5.7200000000000006</v>
      </c>
      <c r="I527" s="9"/>
    </row>
    <row r="528" spans="1:9" x14ac:dyDescent="0.25">
      <c r="A528" s="1">
        <v>41886</v>
      </c>
      <c r="B528" s="1">
        <v>41888</v>
      </c>
      <c r="C528" s="8">
        <v>5.23</v>
      </c>
      <c r="D528" s="8">
        <v>0.14000000000000001</v>
      </c>
      <c r="E528">
        <v>2</v>
      </c>
      <c r="F528" s="10">
        <f>(WYNAJEM47[[#This Row],[data_wyjazdu]]-WYNAJEM47[[#This Row],[data_przyjazdu]])</f>
        <v>2</v>
      </c>
      <c r="G528" s="9">
        <f xml:space="preserve"> WYNAJEM47[[#This Row],[energia]] + WYNAJEM47[[#This Row],[woda]]</f>
        <v>5.37</v>
      </c>
      <c r="I528" s="9"/>
    </row>
    <row r="529" spans="1:9" x14ac:dyDescent="0.25">
      <c r="A529" s="1">
        <v>41886</v>
      </c>
      <c r="B529" s="1">
        <v>41900</v>
      </c>
      <c r="C529" s="8">
        <v>10.79</v>
      </c>
      <c r="D529" s="8">
        <v>0.28000000000000003</v>
      </c>
      <c r="E529">
        <v>4</v>
      </c>
      <c r="F529" s="10">
        <f>(WYNAJEM47[[#This Row],[data_wyjazdu]]-WYNAJEM47[[#This Row],[data_przyjazdu]])</f>
        <v>14</v>
      </c>
      <c r="G529" s="9">
        <f xml:space="preserve"> WYNAJEM47[[#This Row],[energia]] + WYNAJEM47[[#This Row],[woda]]</f>
        <v>11.069999999999999</v>
      </c>
      <c r="I529" s="9"/>
    </row>
    <row r="530" spans="1:9" x14ac:dyDescent="0.25">
      <c r="A530" s="1">
        <v>41886</v>
      </c>
      <c r="B530" s="1">
        <v>41892</v>
      </c>
      <c r="C530" s="8">
        <v>2.72</v>
      </c>
      <c r="D530" s="8">
        <v>7.0000000000000007E-2</v>
      </c>
      <c r="E530">
        <v>2</v>
      </c>
      <c r="F530" s="10">
        <f>(WYNAJEM47[[#This Row],[data_wyjazdu]]-WYNAJEM47[[#This Row],[data_przyjazdu]])</f>
        <v>6</v>
      </c>
      <c r="G530" s="9">
        <f xml:space="preserve"> WYNAJEM47[[#This Row],[energia]] + WYNAJEM47[[#This Row],[woda]]</f>
        <v>2.79</v>
      </c>
      <c r="I530" s="9"/>
    </row>
    <row r="531" spans="1:9" x14ac:dyDescent="0.25">
      <c r="A531" s="1">
        <v>41887</v>
      </c>
      <c r="B531" s="1">
        <v>41913</v>
      </c>
      <c r="C531" s="8">
        <v>7.55</v>
      </c>
      <c r="D531" s="8">
        <v>0.2</v>
      </c>
      <c r="E531">
        <v>3</v>
      </c>
      <c r="F531" s="10">
        <f>(WYNAJEM47[[#This Row],[data_wyjazdu]]-WYNAJEM47[[#This Row],[data_przyjazdu]])</f>
        <v>26</v>
      </c>
      <c r="G531" s="9">
        <f xml:space="preserve"> WYNAJEM47[[#This Row],[energia]] + WYNAJEM47[[#This Row],[woda]]</f>
        <v>7.75</v>
      </c>
      <c r="I531" s="9"/>
    </row>
    <row r="532" spans="1:9" x14ac:dyDescent="0.25">
      <c r="A532" s="1">
        <v>41887</v>
      </c>
      <c r="B532" s="1">
        <v>41906</v>
      </c>
      <c r="C532" s="8">
        <v>6.43</v>
      </c>
      <c r="D532" s="8">
        <v>0.17</v>
      </c>
      <c r="E532">
        <v>2</v>
      </c>
      <c r="F532" s="10">
        <f>(WYNAJEM47[[#This Row],[data_wyjazdu]]-WYNAJEM47[[#This Row],[data_przyjazdu]])</f>
        <v>19</v>
      </c>
      <c r="G532" s="9">
        <f xml:space="preserve"> WYNAJEM47[[#This Row],[energia]] + WYNAJEM47[[#This Row],[woda]]</f>
        <v>6.6</v>
      </c>
      <c r="I532" s="9"/>
    </row>
    <row r="533" spans="1:9" x14ac:dyDescent="0.25">
      <c r="A533" s="1">
        <v>41887</v>
      </c>
      <c r="B533" s="1">
        <v>41905</v>
      </c>
      <c r="C533" s="8">
        <v>3.88</v>
      </c>
      <c r="D533" s="8">
        <v>0.1</v>
      </c>
      <c r="E533">
        <v>6</v>
      </c>
      <c r="F533" s="10">
        <f>(WYNAJEM47[[#This Row],[data_wyjazdu]]-WYNAJEM47[[#This Row],[data_przyjazdu]])</f>
        <v>18</v>
      </c>
      <c r="G533" s="9">
        <f xml:space="preserve"> WYNAJEM47[[#This Row],[energia]] + WYNAJEM47[[#This Row],[woda]]</f>
        <v>3.98</v>
      </c>
      <c r="I533" s="9"/>
    </row>
    <row r="534" spans="1:9" x14ac:dyDescent="0.25">
      <c r="A534" s="1">
        <v>41887</v>
      </c>
      <c r="B534" s="1">
        <v>41889</v>
      </c>
      <c r="C534" s="8">
        <v>5.67</v>
      </c>
      <c r="D534" s="8">
        <v>0.15</v>
      </c>
      <c r="E534">
        <v>4</v>
      </c>
      <c r="F534" s="10">
        <f>(WYNAJEM47[[#This Row],[data_wyjazdu]]-WYNAJEM47[[#This Row],[data_przyjazdu]])</f>
        <v>2</v>
      </c>
      <c r="G534" s="9">
        <f xml:space="preserve"> WYNAJEM47[[#This Row],[energia]] + WYNAJEM47[[#This Row],[woda]]</f>
        <v>5.82</v>
      </c>
      <c r="I534" s="9"/>
    </row>
    <row r="535" spans="1:9" x14ac:dyDescent="0.25">
      <c r="A535" s="1">
        <v>41887</v>
      </c>
      <c r="B535" s="1">
        <v>41889</v>
      </c>
      <c r="C535" s="8">
        <v>12.01</v>
      </c>
      <c r="D535" s="8">
        <v>0.32</v>
      </c>
      <c r="E535">
        <v>4</v>
      </c>
      <c r="F535" s="10">
        <f>(WYNAJEM47[[#This Row],[data_wyjazdu]]-WYNAJEM47[[#This Row],[data_przyjazdu]])</f>
        <v>2</v>
      </c>
      <c r="G535" s="9">
        <f xml:space="preserve"> WYNAJEM47[[#This Row],[energia]] + WYNAJEM47[[#This Row],[woda]]</f>
        <v>12.33</v>
      </c>
      <c r="I535" s="9"/>
    </row>
    <row r="536" spans="1:9" x14ac:dyDescent="0.25">
      <c r="A536" s="1">
        <v>41887</v>
      </c>
      <c r="B536" s="1">
        <v>41908</v>
      </c>
      <c r="C536" s="8">
        <v>6.58</v>
      </c>
      <c r="D536" s="8">
        <v>0.17</v>
      </c>
      <c r="E536">
        <v>6</v>
      </c>
      <c r="F536" s="10">
        <f>(WYNAJEM47[[#This Row],[data_wyjazdu]]-WYNAJEM47[[#This Row],[data_przyjazdu]])</f>
        <v>21</v>
      </c>
      <c r="G536" s="9">
        <f xml:space="preserve"> WYNAJEM47[[#This Row],[energia]] + WYNAJEM47[[#This Row],[woda]]</f>
        <v>6.75</v>
      </c>
      <c r="I536" s="9"/>
    </row>
    <row r="537" spans="1:9" x14ac:dyDescent="0.25">
      <c r="A537" s="1">
        <v>41887</v>
      </c>
      <c r="B537" s="1">
        <v>41914</v>
      </c>
      <c r="C537" s="8">
        <v>3.79</v>
      </c>
      <c r="D537" s="8">
        <v>0.1</v>
      </c>
      <c r="E537">
        <v>3</v>
      </c>
      <c r="F537" s="10">
        <f>(WYNAJEM47[[#This Row],[data_wyjazdu]]-WYNAJEM47[[#This Row],[data_przyjazdu]])</f>
        <v>27</v>
      </c>
      <c r="G537" s="9">
        <f xml:space="preserve"> WYNAJEM47[[#This Row],[energia]] + WYNAJEM47[[#This Row],[woda]]</f>
        <v>3.89</v>
      </c>
      <c r="I537" s="9"/>
    </row>
    <row r="538" spans="1:9" x14ac:dyDescent="0.25">
      <c r="A538" s="1">
        <v>41887</v>
      </c>
      <c r="B538" s="1">
        <v>41891</v>
      </c>
      <c r="C538" s="8">
        <v>8.83</v>
      </c>
      <c r="D538" s="8">
        <v>0.23</v>
      </c>
      <c r="E538">
        <v>2</v>
      </c>
      <c r="F538" s="10">
        <f>(WYNAJEM47[[#This Row],[data_wyjazdu]]-WYNAJEM47[[#This Row],[data_przyjazdu]])</f>
        <v>4</v>
      </c>
      <c r="G538" s="9">
        <f xml:space="preserve"> WYNAJEM47[[#This Row],[energia]] + WYNAJEM47[[#This Row],[woda]]</f>
        <v>9.06</v>
      </c>
      <c r="I538" s="9"/>
    </row>
    <row r="539" spans="1:9" x14ac:dyDescent="0.25">
      <c r="A539" s="1">
        <v>41887</v>
      </c>
      <c r="B539" s="1">
        <v>41891</v>
      </c>
      <c r="C539" s="8">
        <v>14.31</v>
      </c>
      <c r="D539" s="8">
        <v>0.38</v>
      </c>
      <c r="E539">
        <v>3</v>
      </c>
      <c r="F539" s="10">
        <f>(WYNAJEM47[[#This Row],[data_wyjazdu]]-WYNAJEM47[[#This Row],[data_przyjazdu]])</f>
        <v>4</v>
      </c>
      <c r="G539" s="9">
        <f xml:space="preserve"> WYNAJEM47[[#This Row],[energia]] + WYNAJEM47[[#This Row],[woda]]</f>
        <v>14.690000000000001</v>
      </c>
      <c r="I539" s="9"/>
    </row>
    <row r="540" spans="1:9" x14ac:dyDescent="0.25">
      <c r="A540" s="1">
        <v>41887</v>
      </c>
      <c r="B540" s="1">
        <v>41900</v>
      </c>
      <c r="C540" s="8">
        <v>5.47</v>
      </c>
      <c r="D540" s="8">
        <v>0.14000000000000001</v>
      </c>
      <c r="E540">
        <v>3</v>
      </c>
      <c r="F540" s="10">
        <f>(WYNAJEM47[[#This Row],[data_wyjazdu]]-WYNAJEM47[[#This Row],[data_przyjazdu]])</f>
        <v>13</v>
      </c>
      <c r="G540" s="9">
        <f xml:space="preserve"> WYNAJEM47[[#This Row],[energia]] + WYNAJEM47[[#This Row],[woda]]</f>
        <v>5.6099999999999994</v>
      </c>
      <c r="I540" s="9"/>
    </row>
    <row r="541" spans="1:9" x14ac:dyDescent="0.25">
      <c r="A541" s="1">
        <v>41887</v>
      </c>
      <c r="B541" s="1">
        <v>41907</v>
      </c>
      <c r="C541" s="8">
        <v>8.9499999999999993</v>
      </c>
      <c r="D541" s="8">
        <v>0.24</v>
      </c>
      <c r="E541">
        <v>4</v>
      </c>
      <c r="F541" s="10">
        <f>(WYNAJEM47[[#This Row],[data_wyjazdu]]-WYNAJEM47[[#This Row],[data_przyjazdu]])</f>
        <v>20</v>
      </c>
      <c r="G541" s="9">
        <f xml:space="preserve"> WYNAJEM47[[#This Row],[energia]] + WYNAJEM47[[#This Row],[woda]]</f>
        <v>9.19</v>
      </c>
      <c r="I541" s="9"/>
    </row>
    <row r="542" spans="1:9" x14ac:dyDescent="0.25">
      <c r="A542" s="1">
        <v>41887</v>
      </c>
      <c r="B542" s="1">
        <v>41912</v>
      </c>
      <c r="C542" s="8">
        <v>4.25</v>
      </c>
      <c r="D542" s="8">
        <v>0.11</v>
      </c>
      <c r="E542">
        <v>5</v>
      </c>
      <c r="F542" s="10">
        <f>(WYNAJEM47[[#This Row],[data_wyjazdu]]-WYNAJEM47[[#This Row],[data_przyjazdu]])</f>
        <v>25</v>
      </c>
      <c r="G542" s="9">
        <f xml:space="preserve"> WYNAJEM47[[#This Row],[energia]] + WYNAJEM47[[#This Row],[woda]]</f>
        <v>4.3600000000000003</v>
      </c>
      <c r="I542" s="9"/>
    </row>
    <row r="543" spans="1:9" x14ac:dyDescent="0.25">
      <c r="A543" s="1">
        <v>41887</v>
      </c>
      <c r="B543" s="1">
        <v>41894</v>
      </c>
      <c r="C543" s="8">
        <v>6.88</v>
      </c>
      <c r="D543" s="8">
        <v>0.18</v>
      </c>
      <c r="E543">
        <v>5</v>
      </c>
      <c r="F543" s="10">
        <f>(WYNAJEM47[[#This Row],[data_wyjazdu]]-WYNAJEM47[[#This Row],[data_przyjazdu]])</f>
        <v>7</v>
      </c>
      <c r="G543" s="9">
        <f xml:space="preserve"> WYNAJEM47[[#This Row],[energia]] + WYNAJEM47[[#This Row],[woda]]</f>
        <v>7.06</v>
      </c>
      <c r="I543" s="9"/>
    </row>
    <row r="544" spans="1:9" x14ac:dyDescent="0.25">
      <c r="A544" s="1">
        <v>41887</v>
      </c>
      <c r="B544" s="1">
        <v>41911</v>
      </c>
      <c r="C544" s="8">
        <v>8.89</v>
      </c>
      <c r="D544" s="8">
        <v>0.23</v>
      </c>
      <c r="E544">
        <v>3</v>
      </c>
      <c r="F544" s="10">
        <f>(WYNAJEM47[[#This Row],[data_wyjazdu]]-WYNAJEM47[[#This Row],[data_przyjazdu]])</f>
        <v>24</v>
      </c>
      <c r="G544" s="9">
        <f xml:space="preserve"> WYNAJEM47[[#This Row],[energia]] + WYNAJEM47[[#This Row],[woda]]</f>
        <v>9.120000000000001</v>
      </c>
      <c r="I544" s="9"/>
    </row>
    <row r="545" spans="1:9" x14ac:dyDescent="0.25">
      <c r="A545" s="1">
        <v>41889</v>
      </c>
      <c r="B545" s="1">
        <v>41916</v>
      </c>
      <c r="C545" s="8">
        <v>6.43</v>
      </c>
      <c r="D545" s="8">
        <v>0.17</v>
      </c>
      <c r="E545">
        <v>5</v>
      </c>
      <c r="F545" s="10">
        <f>(WYNAJEM47[[#This Row],[data_wyjazdu]]-WYNAJEM47[[#This Row],[data_przyjazdu]])</f>
        <v>27</v>
      </c>
      <c r="G545" s="9">
        <f xml:space="preserve"> WYNAJEM47[[#This Row],[energia]] + WYNAJEM47[[#This Row],[woda]]</f>
        <v>6.6</v>
      </c>
      <c r="I545" s="9"/>
    </row>
    <row r="546" spans="1:9" x14ac:dyDescent="0.25">
      <c r="A546" s="1">
        <v>41890</v>
      </c>
      <c r="B546" s="1">
        <v>41918</v>
      </c>
      <c r="C546" s="8">
        <v>6.58</v>
      </c>
      <c r="D546" s="8">
        <v>0.17</v>
      </c>
      <c r="E546">
        <v>5</v>
      </c>
      <c r="F546" s="10">
        <f>(WYNAJEM47[[#This Row],[data_wyjazdu]]-WYNAJEM47[[#This Row],[data_przyjazdu]])</f>
        <v>28</v>
      </c>
      <c r="G546" s="9">
        <f xml:space="preserve"> WYNAJEM47[[#This Row],[energia]] + WYNAJEM47[[#This Row],[woda]]</f>
        <v>6.75</v>
      </c>
      <c r="I546" s="9"/>
    </row>
    <row r="547" spans="1:9" x14ac:dyDescent="0.25">
      <c r="A547" s="1">
        <v>41890</v>
      </c>
      <c r="B547" s="1">
        <v>41898</v>
      </c>
      <c r="C547" s="8">
        <v>5.67</v>
      </c>
      <c r="D547" s="8">
        <v>0.15</v>
      </c>
      <c r="E547">
        <v>2</v>
      </c>
      <c r="F547" s="10">
        <f>(WYNAJEM47[[#This Row],[data_wyjazdu]]-WYNAJEM47[[#This Row],[data_przyjazdu]])</f>
        <v>8</v>
      </c>
      <c r="G547" s="9">
        <f xml:space="preserve"> WYNAJEM47[[#This Row],[energia]] + WYNAJEM47[[#This Row],[woda]]</f>
        <v>5.82</v>
      </c>
      <c r="I547" s="9"/>
    </row>
    <row r="548" spans="1:9" x14ac:dyDescent="0.25">
      <c r="A548" s="1">
        <v>41890</v>
      </c>
      <c r="B548" s="1">
        <v>41912</v>
      </c>
      <c r="C548" s="8">
        <v>3.57</v>
      </c>
      <c r="D548" s="8">
        <v>0.09</v>
      </c>
      <c r="E548">
        <v>3</v>
      </c>
      <c r="F548" s="10">
        <f>(WYNAJEM47[[#This Row],[data_wyjazdu]]-WYNAJEM47[[#This Row],[data_przyjazdu]])</f>
        <v>22</v>
      </c>
      <c r="G548" s="9">
        <f xml:space="preserve"> WYNAJEM47[[#This Row],[energia]] + WYNAJEM47[[#This Row],[woda]]</f>
        <v>3.6599999999999997</v>
      </c>
      <c r="I548" s="9"/>
    </row>
    <row r="549" spans="1:9" x14ac:dyDescent="0.25">
      <c r="A549" s="1">
        <v>41890</v>
      </c>
      <c r="B549" s="1">
        <v>41895</v>
      </c>
      <c r="C549" s="8">
        <v>3.73</v>
      </c>
      <c r="D549" s="8">
        <v>0.1</v>
      </c>
      <c r="E549">
        <v>3</v>
      </c>
      <c r="F549" s="10">
        <f>(WYNAJEM47[[#This Row],[data_wyjazdu]]-WYNAJEM47[[#This Row],[data_przyjazdu]])</f>
        <v>5</v>
      </c>
      <c r="G549" s="9">
        <f xml:space="preserve"> WYNAJEM47[[#This Row],[energia]] + WYNAJEM47[[#This Row],[woda]]</f>
        <v>3.83</v>
      </c>
      <c r="I549" s="9"/>
    </row>
    <row r="550" spans="1:9" x14ac:dyDescent="0.25">
      <c r="A550" s="1">
        <v>41893</v>
      </c>
      <c r="B550" s="1">
        <v>41900</v>
      </c>
      <c r="C550" s="8">
        <v>8.5399999999999991</v>
      </c>
      <c r="D550" s="8">
        <v>0.22</v>
      </c>
      <c r="E550">
        <v>4</v>
      </c>
      <c r="F550" s="10">
        <f>(WYNAJEM47[[#This Row],[data_wyjazdu]]-WYNAJEM47[[#This Row],[data_przyjazdu]])</f>
        <v>7</v>
      </c>
      <c r="G550" s="9">
        <f xml:space="preserve"> WYNAJEM47[[#This Row],[energia]] + WYNAJEM47[[#This Row],[woda]]</f>
        <v>8.76</v>
      </c>
      <c r="I550" s="9"/>
    </row>
    <row r="551" spans="1:9" x14ac:dyDescent="0.25">
      <c r="A551" s="1">
        <v>41893</v>
      </c>
      <c r="B551" s="1">
        <v>41898</v>
      </c>
      <c r="C551" s="8">
        <v>16.829999999999998</v>
      </c>
      <c r="D551" s="8">
        <v>0.44</v>
      </c>
      <c r="E551">
        <v>3</v>
      </c>
      <c r="F551" s="10">
        <f>(WYNAJEM47[[#This Row],[data_wyjazdu]]-WYNAJEM47[[#This Row],[data_przyjazdu]])</f>
        <v>5</v>
      </c>
      <c r="G551" s="9">
        <f xml:space="preserve"> WYNAJEM47[[#This Row],[energia]] + WYNAJEM47[[#This Row],[woda]]</f>
        <v>17.27</v>
      </c>
      <c r="I551" s="9"/>
    </row>
    <row r="552" spans="1:9" x14ac:dyDescent="0.25">
      <c r="A552" s="1">
        <v>41893</v>
      </c>
      <c r="B552" s="1">
        <v>41918</v>
      </c>
      <c r="C552" s="8">
        <v>11.42</v>
      </c>
      <c r="D552" s="8">
        <v>0.3</v>
      </c>
      <c r="E552">
        <v>6</v>
      </c>
      <c r="F552" s="10">
        <f>(WYNAJEM47[[#This Row],[data_wyjazdu]]-WYNAJEM47[[#This Row],[data_przyjazdu]])</f>
        <v>25</v>
      </c>
      <c r="G552" s="9">
        <f xml:space="preserve"> WYNAJEM47[[#This Row],[energia]] + WYNAJEM47[[#This Row],[woda]]</f>
        <v>11.72</v>
      </c>
      <c r="I552" s="9"/>
    </row>
    <row r="553" spans="1:9" x14ac:dyDescent="0.25">
      <c r="A553" s="1">
        <v>41893</v>
      </c>
      <c r="B553" s="1">
        <v>41899</v>
      </c>
      <c r="C553" s="8">
        <v>8.84</v>
      </c>
      <c r="D553" s="8">
        <v>0.23</v>
      </c>
      <c r="E553">
        <v>2</v>
      </c>
      <c r="F553" s="10">
        <f>(WYNAJEM47[[#This Row],[data_wyjazdu]]-WYNAJEM47[[#This Row],[data_przyjazdu]])</f>
        <v>6</v>
      </c>
      <c r="G553" s="9">
        <f xml:space="preserve"> WYNAJEM47[[#This Row],[energia]] + WYNAJEM47[[#This Row],[woda]]</f>
        <v>9.07</v>
      </c>
      <c r="I553" s="9"/>
    </row>
    <row r="554" spans="1:9" x14ac:dyDescent="0.25">
      <c r="A554" s="1">
        <v>41893</v>
      </c>
      <c r="B554" s="1">
        <v>41906</v>
      </c>
      <c r="C554" s="8">
        <v>6.75</v>
      </c>
      <c r="D554" s="8">
        <v>0.18</v>
      </c>
      <c r="E554">
        <v>6</v>
      </c>
      <c r="F554" s="10">
        <f>(WYNAJEM47[[#This Row],[data_wyjazdu]]-WYNAJEM47[[#This Row],[data_przyjazdu]])</f>
        <v>13</v>
      </c>
      <c r="G554" s="9">
        <f xml:space="preserve"> WYNAJEM47[[#This Row],[energia]] + WYNAJEM47[[#This Row],[woda]]</f>
        <v>6.93</v>
      </c>
      <c r="I554" s="9"/>
    </row>
    <row r="555" spans="1:9" x14ac:dyDescent="0.25">
      <c r="A555" s="1">
        <v>41893</v>
      </c>
      <c r="B555" s="1">
        <v>41919</v>
      </c>
      <c r="C555" s="8">
        <v>7.35</v>
      </c>
      <c r="D555" s="8">
        <v>0.19</v>
      </c>
      <c r="E555">
        <v>5</v>
      </c>
      <c r="F555" s="10">
        <f>(WYNAJEM47[[#This Row],[data_wyjazdu]]-WYNAJEM47[[#This Row],[data_przyjazdu]])</f>
        <v>26</v>
      </c>
      <c r="G555" s="9">
        <f xml:space="preserve"> WYNAJEM47[[#This Row],[energia]] + WYNAJEM47[[#This Row],[woda]]</f>
        <v>7.54</v>
      </c>
      <c r="I555" s="9"/>
    </row>
    <row r="556" spans="1:9" x14ac:dyDescent="0.25">
      <c r="A556" s="1">
        <v>41897</v>
      </c>
      <c r="B556" s="1">
        <v>41921</v>
      </c>
      <c r="C556" s="8">
        <v>3.57</v>
      </c>
      <c r="D556" s="8">
        <v>0.09</v>
      </c>
      <c r="E556">
        <v>4</v>
      </c>
      <c r="F556" s="10">
        <f>(WYNAJEM47[[#This Row],[data_wyjazdu]]-WYNAJEM47[[#This Row],[data_przyjazdu]])</f>
        <v>24</v>
      </c>
      <c r="G556" s="9">
        <f xml:space="preserve"> WYNAJEM47[[#This Row],[energia]] + WYNAJEM47[[#This Row],[woda]]</f>
        <v>3.6599999999999997</v>
      </c>
      <c r="I556" s="9"/>
    </row>
    <row r="557" spans="1:9" x14ac:dyDescent="0.25">
      <c r="A557" s="1">
        <v>41897</v>
      </c>
      <c r="B557" s="1">
        <v>41905</v>
      </c>
      <c r="C557" s="8">
        <v>9.06</v>
      </c>
      <c r="D557" s="8">
        <v>0.24</v>
      </c>
      <c r="E557">
        <v>5</v>
      </c>
      <c r="F557" s="10">
        <f>(WYNAJEM47[[#This Row],[data_wyjazdu]]-WYNAJEM47[[#This Row],[data_przyjazdu]])</f>
        <v>8</v>
      </c>
      <c r="G557" s="9">
        <f xml:space="preserve"> WYNAJEM47[[#This Row],[energia]] + WYNAJEM47[[#This Row],[woda]]</f>
        <v>9.3000000000000007</v>
      </c>
      <c r="I557" s="9"/>
    </row>
    <row r="558" spans="1:9" x14ac:dyDescent="0.25">
      <c r="A558" s="1">
        <v>41898</v>
      </c>
      <c r="B558" s="1">
        <v>41906</v>
      </c>
      <c r="C558" s="8">
        <v>9.4600000000000009</v>
      </c>
      <c r="D558" s="8">
        <v>0.25</v>
      </c>
      <c r="E558">
        <v>4</v>
      </c>
      <c r="F558" s="10">
        <f>(WYNAJEM47[[#This Row],[data_wyjazdu]]-WYNAJEM47[[#This Row],[data_przyjazdu]])</f>
        <v>8</v>
      </c>
      <c r="G558" s="9">
        <f xml:space="preserve"> WYNAJEM47[[#This Row],[energia]] + WYNAJEM47[[#This Row],[woda]]</f>
        <v>9.7100000000000009</v>
      </c>
      <c r="I558" s="9"/>
    </row>
    <row r="559" spans="1:9" x14ac:dyDescent="0.25">
      <c r="A559" s="1">
        <v>41898</v>
      </c>
      <c r="B559" s="1">
        <v>41924</v>
      </c>
      <c r="C559" s="8">
        <v>8.9499999999999993</v>
      </c>
      <c r="D559" s="8">
        <v>0.24</v>
      </c>
      <c r="E559">
        <v>5</v>
      </c>
      <c r="F559" s="10">
        <f>(WYNAJEM47[[#This Row],[data_wyjazdu]]-WYNAJEM47[[#This Row],[data_przyjazdu]])</f>
        <v>26</v>
      </c>
      <c r="G559" s="9">
        <f xml:space="preserve"> WYNAJEM47[[#This Row],[energia]] + WYNAJEM47[[#This Row],[woda]]</f>
        <v>9.19</v>
      </c>
      <c r="I559" s="9"/>
    </row>
    <row r="560" spans="1:9" x14ac:dyDescent="0.25">
      <c r="A560" s="1">
        <v>41898</v>
      </c>
      <c r="B560" s="1">
        <v>41923</v>
      </c>
      <c r="C560" s="8">
        <v>9.06</v>
      </c>
      <c r="D560" s="8">
        <v>0.24</v>
      </c>
      <c r="E560">
        <v>2</v>
      </c>
      <c r="F560" s="10">
        <f>(WYNAJEM47[[#This Row],[data_wyjazdu]]-WYNAJEM47[[#This Row],[data_przyjazdu]])</f>
        <v>25</v>
      </c>
      <c r="G560" s="9">
        <f xml:space="preserve"> WYNAJEM47[[#This Row],[energia]] + WYNAJEM47[[#This Row],[woda]]</f>
        <v>9.3000000000000007</v>
      </c>
      <c r="I560" s="9"/>
    </row>
    <row r="561" spans="1:9" x14ac:dyDescent="0.25">
      <c r="A561" s="1">
        <v>41898</v>
      </c>
      <c r="B561" s="1">
        <v>41904</v>
      </c>
      <c r="C561" s="8">
        <v>6.88</v>
      </c>
      <c r="D561" s="8">
        <v>0.18</v>
      </c>
      <c r="E561">
        <v>3</v>
      </c>
      <c r="F561" s="10">
        <f>(WYNAJEM47[[#This Row],[data_wyjazdu]]-WYNAJEM47[[#This Row],[data_przyjazdu]])</f>
        <v>6</v>
      </c>
      <c r="G561" s="9">
        <f xml:space="preserve"> WYNAJEM47[[#This Row],[energia]] + WYNAJEM47[[#This Row],[woda]]</f>
        <v>7.06</v>
      </c>
      <c r="I561" s="9"/>
    </row>
    <row r="562" spans="1:9" x14ac:dyDescent="0.25">
      <c r="A562" s="1">
        <v>41898</v>
      </c>
      <c r="B562" s="1">
        <v>41917</v>
      </c>
      <c r="C562" s="8">
        <v>9.1300000000000008</v>
      </c>
      <c r="D562" s="8">
        <v>0.24</v>
      </c>
      <c r="E562">
        <v>4</v>
      </c>
      <c r="F562" s="10">
        <f>(WYNAJEM47[[#This Row],[data_wyjazdu]]-WYNAJEM47[[#This Row],[data_przyjazdu]])</f>
        <v>19</v>
      </c>
      <c r="G562" s="9">
        <f xml:space="preserve"> WYNAJEM47[[#This Row],[energia]] + WYNAJEM47[[#This Row],[woda]]</f>
        <v>9.370000000000001</v>
      </c>
      <c r="I562" s="9"/>
    </row>
    <row r="563" spans="1:9" x14ac:dyDescent="0.25">
      <c r="A563" s="1">
        <v>41898</v>
      </c>
      <c r="B563" s="1">
        <v>41924</v>
      </c>
      <c r="C563" s="8">
        <v>12.01</v>
      </c>
      <c r="D563" s="8">
        <v>0.32</v>
      </c>
      <c r="E563">
        <v>3</v>
      </c>
      <c r="F563" s="10">
        <f>(WYNAJEM47[[#This Row],[data_wyjazdu]]-WYNAJEM47[[#This Row],[data_przyjazdu]])</f>
        <v>26</v>
      </c>
      <c r="G563" s="9">
        <f xml:space="preserve"> WYNAJEM47[[#This Row],[energia]] + WYNAJEM47[[#This Row],[woda]]</f>
        <v>12.33</v>
      </c>
      <c r="I563" s="9"/>
    </row>
    <row r="564" spans="1:9" x14ac:dyDescent="0.25">
      <c r="A564" s="1">
        <v>41898</v>
      </c>
      <c r="B564" s="1">
        <v>41920</v>
      </c>
      <c r="C564" s="8">
        <v>19.54</v>
      </c>
      <c r="D564" s="8">
        <v>0.51</v>
      </c>
      <c r="E564">
        <v>5</v>
      </c>
      <c r="F564" s="10">
        <f>(WYNAJEM47[[#This Row],[data_wyjazdu]]-WYNAJEM47[[#This Row],[data_przyjazdu]])</f>
        <v>22</v>
      </c>
      <c r="G564" s="9">
        <f xml:space="preserve"> WYNAJEM47[[#This Row],[energia]] + WYNAJEM47[[#This Row],[woda]]</f>
        <v>20.05</v>
      </c>
      <c r="I564" s="9"/>
    </row>
    <row r="565" spans="1:9" x14ac:dyDescent="0.25">
      <c r="A565" s="1">
        <v>41898</v>
      </c>
      <c r="B565" s="1">
        <v>41918</v>
      </c>
      <c r="C565" s="8">
        <v>10.199999999999999</v>
      </c>
      <c r="D565" s="8">
        <v>0.27</v>
      </c>
      <c r="E565">
        <v>5</v>
      </c>
      <c r="F565" s="10">
        <f>(WYNAJEM47[[#This Row],[data_wyjazdu]]-WYNAJEM47[[#This Row],[data_przyjazdu]])</f>
        <v>20</v>
      </c>
      <c r="G565" s="9">
        <f xml:space="preserve"> WYNAJEM47[[#This Row],[energia]] + WYNAJEM47[[#This Row],[woda]]</f>
        <v>10.469999999999999</v>
      </c>
      <c r="I565" s="9"/>
    </row>
    <row r="566" spans="1:9" x14ac:dyDescent="0.25">
      <c r="A566" s="1">
        <v>41898</v>
      </c>
      <c r="B566" s="1">
        <v>41910</v>
      </c>
      <c r="C566" s="8">
        <v>14.31</v>
      </c>
      <c r="D566" s="8">
        <v>0.38</v>
      </c>
      <c r="E566">
        <v>6</v>
      </c>
      <c r="F566" s="10">
        <f>(WYNAJEM47[[#This Row],[data_wyjazdu]]-WYNAJEM47[[#This Row],[data_przyjazdu]])</f>
        <v>12</v>
      </c>
      <c r="G566" s="9">
        <f xml:space="preserve"> WYNAJEM47[[#This Row],[energia]] + WYNAJEM47[[#This Row],[woda]]</f>
        <v>14.690000000000001</v>
      </c>
      <c r="I566" s="9"/>
    </row>
    <row r="567" spans="1:9" x14ac:dyDescent="0.25">
      <c r="A567" s="1">
        <v>41898</v>
      </c>
      <c r="B567" s="1">
        <v>41924</v>
      </c>
      <c r="C567" s="8">
        <v>8.89</v>
      </c>
      <c r="D567" s="8">
        <v>0.23</v>
      </c>
      <c r="E567">
        <v>6</v>
      </c>
      <c r="F567" s="10">
        <f>(WYNAJEM47[[#This Row],[data_wyjazdu]]-WYNAJEM47[[#This Row],[data_przyjazdu]])</f>
        <v>26</v>
      </c>
      <c r="G567" s="9">
        <f xml:space="preserve"> WYNAJEM47[[#This Row],[energia]] + WYNAJEM47[[#This Row],[woda]]</f>
        <v>9.120000000000001</v>
      </c>
      <c r="I567" s="9"/>
    </row>
    <row r="568" spans="1:9" x14ac:dyDescent="0.25">
      <c r="A568" s="1">
        <v>41898</v>
      </c>
      <c r="B568" s="1">
        <v>41925</v>
      </c>
      <c r="C568" s="8">
        <v>11.44</v>
      </c>
      <c r="D568" s="8">
        <v>0.3</v>
      </c>
      <c r="E568">
        <v>2</v>
      </c>
      <c r="F568" s="10">
        <f>(WYNAJEM47[[#This Row],[data_wyjazdu]]-WYNAJEM47[[#This Row],[data_przyjazdu]])</f>
        <v>27</v>
      </c>
      <c r="G568" s="9">
        <f xml:space="preserve"> WYNAJEM47[[#This Row],[energia]] + WYNAJEM47[[#This Row],[woda]]</f>
        <v>11.74</v>
      </c>
      <c r="I568" s="9"/>
    </row>
    <row r="569" spans="1:9" x14ac:dyDescent="0.25">
      <c r="A569" s="1">
        <v>41898</v>
      </c>
      <c r="B569" s="1">
        <v>41911</v>
      </c>
      <c r="C569" s="8">
        <v>6.43</v>
      </c>
      <c r="D569" s="8">
        <v>0.17</v>
      </c>
      <c r="E569">
        <v>5</v>
      </c>
      <c r="F569" s="10">
        <f>(WYNAJEM47[[#This Row],[data_wyjazdu]]-WYNAJEM47[[#This Row],[data_przyjazdu]])</f>
        <v>13</v>
      </c>
      <c r="G569" s="9">
        <f xml:space="preserve"> WYNAJEM47[[#This Row],[energia]] + WYNAJEM47[[#This Row],[woda]]</f>
        <v>6.6</v>
      </c>
      <c r="I569" s="9"/>
    </row>
    <row r="570" spans="1:9" x14ac:dyDescent="0.25">
      <c r="A570" s="1">
        <v>41898</v>
      </c>
      <c r="B570" s="1">
        <v>41907</v>
      </c>
      <c r="C570" s="8">
        <v>7.31</v>
      </c>
      <c r="D570" s="8">
        <v>0.19</v>
      </c>
      <c r="E570">
        <v>5</v>
      </c>
      <c r="F570" s="10">
        <f>(WYNAJEM47[[#This Row],[data_wyjazdu]]-WYNAJEM47[[#This Row],[data_przyjazdu]])</f>
        <v>9</v>
      </c>
      <c r="G570" s="9">
        <f xml:space="preserve"> WYNAJEM47[[#This Row],[energia]] + WYNAJEM47[[#This Row],[woda]]</f>
        <v>7.5</v>
      </c>
      <c r="I570" s="9"/>
    </row>
    <row r="571" spans="1:9" x14ac:dyDescent="0.25">
      <c r="A571" s="1">
        <v>41898</v>
      </c>
      <c r="B571" s="1">
        <v>41924</v>
      </c>
      <c r="C571" s="8">
        <v>8.5399999999999991</v>
      </c>
      <c r="D571" s="8">
        <v>0.22</v>
      </c>
      <c r="E571">
        <v>4</v>
      </c>
      <c r="F571" s="10">
        <f>(WYNAJEM47[[#This Row],[data_wyjazdu]]-WYNAJEM47[[#This Row],[data_przyjazdu]])</f>
        <v>26</v>
      </c>
      <c r="G571" s="9">
        <f xml:space="preserve"> WYNAJEM47[[#This Row],[energia]] + WYNAJEM47[[#This Row],[woda]]</f>
        <v>8.76</v>
      </c>
      <c r="I571" s="9"/>
    </row>
    <row r="572" spans="1:9" x14ac:dyDescent="0.25">
      <c r="A572" s="1">
        <v>41898</v>
      </c>
      <c r="B572" s="1">
        <v>41901</v>
      </c>
      <c r="C572" s="8">
        <v>4.25</v>
      </c>
      <c r="D572" s="8">
        <v>0.11</v>
      </c>
      <c r="E572">
        <v>6</v>
      </c>
      <c r="F572" s="10">
        <f>(WYNAJEM47[[#This Row],[data_wyjazdu]]-WYNAJEM47[[#This Row],[data_przyjazdu]])</f>
        <v>3</v>
      </c>
      <c r="G572" s="9">
        <f xml:space="preserve"> WYNAJEM47[[#This Row],[energia]] + WYNAJEM47[[#This Row],[woda]]</f>
        <v>4.3600000000000003</v>
      </c>
      <c r="I572" s="9"/>
    </row>
    <row r="573" spans="1:9" x14ac:dyDescent="0.25">
      <c r="A573" s="1">
        <v>41898</v>
      </c>
      <c r="B573" s="1">
        <v>41922</v>
      </c>
      <c r="C573" s="8">
        <v>7.3</v>
      </c>
      <c r="D573" s="8">
        <v>0.19</v>
      </c>
      <c r="E573">
        <v>2</v>
      </c>
      <c r="F573" s="10">
        <f>(WYNAJEM47[[#This Row],[data_wyjazdu]]-WYNAJEM47[[#This Row],[data_przyjazdu]])</f>
        <v>24</v>
      </c>
      <c r="G573" s="9">
        <f xml:space="preserve"> WYNAJEM47[[#This Row],[energia]] + WYNAJEM47[[#This Row],[woda]]</f>
        <v>7.49</v>
      </c>
      <c r="I573" s="9"/>
    </row>
    <row r="574" spans="1:9" x14ac:dyDescent="0.25">
      <c r="A574" s="1">
        <v>41898</v>
      </c>
      <c r="B574" s="1">
        <v>41919</v>
      </c>
      <c r="C574" s="8">
        <v>11.37</v>
      </c>
      <c r="D574" s="8">
        <v>0.3</v>
      </c>
      <c r="E574">
        <v>6</v>
      </c>
      <c r="F574" s="10">
        <f>(WYNAJEM47[[#This Row],[data_wyjazdu]]-WYNAJEM47[[#This Row],[data_przyjazdu]])</f>
        <v>21</v>
      </c>
      <c r="G574" s="9">
        <f xml:space="preserve"> WYNAJEM47[[#This Row],[energia]] + WYNAJEM47[[#This Row],[woda]]</f>
        <v>11.67</v>
      </c>
      <c r="I574" s="9"/>
    </row>
    <row r="575" spans="1:9" x14ac:dyDescent="0.25">
      <c r="A575" s="1">
        <v>41898</v>
      </c>
      <c r="B575" s="1">
        <v>41903</v>
      </c>
      <c r="C575" s="8">
        <v>14.13</v>
      </c>
      <c r="D575" s="8">
        <v>0.37</v>
      </c>
      <c r="E575">
        <v>2</v>
      </c>
      <c r="F575" s="10">
        <f>(WYNAJEM47[[#This Row],[data_wyjazdu]]-WYNAJEM47[[#This Row],[data_przyjazdu]])</f>
        <v>5</v>
      </c>
      <c r="G575" s="9">
        <f xml:space="preserve"> WYNAJEM47[[#This Row],[energia]] + WYNAJEM47[[#This Row],[woda]]</f>
        <v>14.5</v>
      </c>
      <c r="I575" s="9"/>
    </row>
    <row r="576" spans="1:9" x14ac:dyDescent="0.25">
      <c r="A576" s="1">
        <v>41898</v>
      </c>
      <c r="B576" s="1">
        <v>41925</v>
      </c>
      <c r="C576" s="8">
        <v>11.44</v>
      </c>
      <c r="D576" s="8">
        <v>0.3</v>
      </c>
      <c r="E576">
        <v>2</v>
      </c>
      <c r="F576" s="10">
        <f>(WYNAJEM47[[#This Row],[data_wyjazdu]]-WYNAJEM47[[#This Row],[data_przyjazdu]])</f>
        <v>27</v>
      </c>
      <c r="G576" s="9">
        <f xml:space="preserve"> WYNAJEM47[[#This Row],[energia]] + WYNAJEM47[[#This Row],[woda]]</f>
        <v>11.74</v>
      </c>
      <c r="I576" s="9"/>
    </row>
    <row r="577" spans="1:9" x14ac:dyDescent="0.25">
      <c r="A577" s="1">
        <v>41899</v>
      </c>
      <c r="B577" s="1">
        <v>41927</v>
      </c>
      <c r="C577" s="8">
        <v>9.4600000000000009</v>
      </c>
      <c r="D577" s="8">
        <v>0.25</v>
      </c>
      <c r="E577">
        <v>6</v>
      </c>
      <c r="F577" s="10">
        <f>(WYNAJEM47[[#This Row],[data_wyjazdu]]-WYNAJEM47[[#This Row],[data_przyjazdu]])</f>
        <v>28</v>
      </c>
      <c r="G577" s="9">
        <f xml:space="preserve"> WYNAJEM47[[#This Row],[energia]] + WYNAJEM47[[#This Row],[woda]]</f>
        <v>9.7100000000000009</v>
      </c>
      <c r="I577" s="9"/>
    </row>
    <row r="578" spans="1:9" x14ac:dyDescent="0.25">
      <c r="A578" s="1">
        <v>41899</v>
      </c>
      <c r="B578" s="1">
        <v>41902</v>
      </c>
      <c r="C578" s="8">
        <v>4.25</v>
      </c>
      <c r="D578" s="8">
        <v>0.11</v>
      </c>
      <c r="E578">
        <v>2</v>
      </c>
      <c r="F578" s="10">
        <f>(WYNAJEM47[[#This Row],[data_wyjazdu]]-WYNAJEM47[[#This Row],[data_przyjazdu]])</f>
        <v>3</v>
      </c>
      <c r="G578" s="9">
        <f xml:space="preserve"> WYNAJEM47[[#This Row],[energia]] + WYNAJEM47[[#This Row],[woda]]</f>
        <v>4.3600000000000003</v>
      </c>
      <c r="I578" s="9"/>
    </row>
    <row r="579" spans="1:9" x14ac:dyDescent="0.25">
      <c r="A579" s="1">
        <v>41899</v>
      </c>
      <c r="B579" s="1">
        <v>41911</v>
      </c>
      <c r="C579" s="8">
        <v>7.31</v>
      </c>
      <c r="D579" s="8">
        <v>0.19</v>
      </c>
      <c r="E579">
        <v>4</v>
      </c>
      <c r="F579" s="10">
        <f>(WYNAJEM47[[#This Row],[data_wyjazdu]]-WYNAJEM47[[#This Row],[data_przyjazdu]])</f>
        <v>12</v>
      </c>
      <c r="G579" s="9">
        <f xml:space="preserve"> WYNAJEM47[[#This Row],[energia]] + WYNAJEM47[[#This Row],[woda]]</f>
        <v>7.5</v>
      </c>
      <c r="I579" s="9"/>
    </row>
    <row r="580" spans="1:9" x14ac:dyDescent="0.25">
      <c r="A580" s="1">
        <v>41899</v>
      </c>
      <c r="B580" s="1">
        <v>41913</v>
      </c>
      <c r="C580" s="8">
        <v>14</v>
      </c>
      <c r="D580" s="8">
        <v>0.37</v>
      </c>
      <c r="E580">
        <v>6</v>
      </c>
      <c r="F580" s="10">
        <f>(WYNAJEM47[[#This Row],[data_wyjazdu]]-WYNAJEM47[[#This Row],[data_przyjazdu]])</f>
        <v>14</v>
      </c>
      <c r="G580" s="9">
        <f xml:space="preserve"> WYNAJEM47[[#This Row],[energia]] + WYNAJEM47[[#This Row],[woda]]</f>
        <v>14.37</v>
      </c>
      <c r="I580" s="9"/>
    </row>
    <row r="581" spans="1:9" x14ac:dyDescent="0.25">
      <c r="A581" s="1">
        <v>41899</v>
      </c>
      <c r="B581" s="1">
        <v>41907</v>
      </c>
      <c r="C581" s="8">
        <v>6.23</v>
      </c>
      <c r="D581" s="8">
        <v>0.16</v>
      </c>
      <c r="E581">
        <v>2</v>
      </c>
      <c r="F581" s="10">
        <f>(WYNAJEM47[[#This Row],[data_wyjazdu]]-WYNAJEM47[[#This Row],[data_przyjazdu]])</f>
        <v>8</v>
      </c>
      <c r="G581" s="9">
        <f xml:space="preserve"> WYNAJEM47[[#This Row],[energia]] + WYNAJEM47[[#This Row],[woda]]</f>
        <v>6.3900000000000006</v>
      </c>
      <c r="I581" s="9"/>
    </row>
    <row r="582" spans="1:9" x14ac:dyDescent="0.25">
      <c r="A582" s="1">
        <v>41899</v>
      </c>
      <c r="B582" s="1">
        <v>41904</v>
      </c>
      <c r="C582" s="8">
        <v>9.1300000000000008</v>
      </c>
      <c r="D582" s="8">
        <v>0.24</v>
      </c>
      <c r="E582">
        <v>3</v>
      </c>
      <c r="F582" s="10">
        <f>(WYNAJEM47[[#This Row],[data_wyjazdu]]-WYNAJEM47[[#This Row],[data_przyjazdu]])</f>
        <v>5</v>
      </c>
      <c r="G582" s="9">
        <f xml:space="preserve"> WYNAJEM47[[#This Row],[energia]] + WYNAJEM47[[#This Row],[woda]]</f>
        <v>9.370000000000001</v>
      </c>
      <c r="I582" s="9"/>
    </row>
    <row r="583" spans="1:9" x14ac:dyDescent="0.25">
      <c r="A583" s="1">
        <v>41899</v>
      </c>
      <c r="B583" s="1">
        <v>41919</v>
      </c>
      <c r="C583" s="8">
        <v>10.59</v>
      </c>
      <c r="D583" s="8">
        <v>0.28000000000000003</v>
      </c>
      <c r="E583">
        <v>5</v>
      </c>
      <c r="F583" s="10">
        <f>(WYNAJEM47[[#This Row],[data_wyjazdu]]-WYNAJEM47[[#This Row],[data_przyjazdu]])</f>
        <v>20</v>
      </c>
      <c r="G583" s="9">
        <f xml:space="preserve"> WYNAJEM47[[#This Row],[energia]] + WYNAJEM47[[#This Row],[woda]]</f>
        <v>10.87</v>
      </c>
      <c r="I583" s="9"/>
    </row>
    <row r="584" spans="1:9" x14ac:dyDescent="0.25">
      <c r="A584" s="1">
        <v>41899</v>
      </c>
      <c r="B584" s="1">
        <v>41902</v>
      </c>
      <c r="C584" s="8">
        <v>9.06</v>
      </c>
      <c r="D584" s="8">
        <v>0.24</v>
      </c>
      <c r="E584">
        <v>2</v>
      </c>
      <c r="F584" s="10">
        <f>(WYNAJEM47[[#This Row],[data_wyjazdu]]-WYNAJEM47[[#This Row],[data_przyjazdu]])</f>
        <v>3</v>
      </c>
      <c r="G584" s="9">
        <f xml:space="preserve"> WYNAJEM47[[#This Row],[energia]] + WYNAJEM47[[#This Row],[woda]]</f>
        <v>9.3000000000000007</v>
      </c>
      <c r="I584" s="9"/>
    </row>
    <row r="585" spans="1:9" x14ac:dyDescent="0.25">
      <c r="A585" s="1">
        <v>41899</v>
      </c>
      <c r="B585" s="1">
        <v>41901</v>
      </c>
      <c r="C585" s="8">
        <v>7.06</v>
      </c>
      <c r="D585" s="8">
        <v>0.19</v>
      </c>
      <c r="E585">
        <v>2</v>
      </c>
      <c r="F585" s="10">
        <f>(WYNAJEM47[[#This Row],[data_wyjazdu]]-WYNAJEM47[[#This Row],[data_przyjazdu]])</f>
        <v>2</v>
      </c>
      <c r="G585" s="9">
        <f xml:space="preserve"> WYNAJEM47[[#This Row],[energia]] + WYNAJEM47[[#This Row],[woda]]</f>
        <v>7.25</v>
      </c>
      <c r="I585" s="9"/>
    </row>
    <row r="586" spans="1:9" x14ac:dyDescent="0.25">
      <c r="A586" s="1">
        <v>41899</v>
      </c>
      <c r="B586" s="1">
        <v>41916</v>
      </c>
      <c r="C586" s="8">
        <v>6.75</v>
      </c>
      <c r="D586" s="8">
        <v>0.18</v>
      </c>
      <c r="E586">
        <v>5</v>
      </c>
      <c r="F586" s="10">
        <f>(WYNAJEM47[[#This Row],[data_wyjazdu]]-WYNAJEM47[[#This Row],[data_przyjazdu]])</f>
        <v>17</v>
      </c>
      <c r="G586" s="9">
        <f xml:space="preserve"> WYNAJEM47[[#This Row],[energia]] + WYNAJEM47[[#This Row],[woda]]</f>
        <v>6.93</v>
      </c>
      <c r="I586" s="9"/>
    </row>
    <row r="587" spans="1:9" x14ac:dyDescent="0.25">
      <c r="A587" s="1">
        <v>41899</v>
      </c>
      <c r="B587" s="1">
        <v>41911</v>
      </c>
      <c r="C587" s="8">
        <v>7.3</v>
      </c>
      <c r="D587" s="8">
        <v>0.19</v>
      </c>
      <c r="E587">
        <v>4</v>
      </c>
      <c r="F587" s="10">
        <f>(WYNAJEM47[[#This Row],[data_wyjazdu]]-WYNAJEM47[[#This Row],[data_przyjazdu]])</f>
        <v>12</v>
      </c>
      <c r="G587" s="9">
        <f xml:space="preserve"> WYNAJEM47[[#This Row],[energia]] + WYNAJEM47[[#This Row],[woda]]</f>
        <v>7.49</v>
      </c>
      <c r="I587" s="9"/>
    </row>
    <row r="588" spans="1:9" x14ac:dyDescent="0.25">
      <c r="A588" s="1">
        <v>41899</v>
      </c>
      <c r="B588" s="1">
        <v>41902</v>
      </c>
      <c r="C588" s="8">
        <v>13.02</v>
      </c>
      <c r="D588" s="8">
        <v>0.34</v>
      </c>
      <c r="E588">
        <v>5</v>
      </c>
      <c r="F588" s="10">
        <f>(WYNAJEM47[[#This Row],[data_wyjazdu]]-WYNAJEM47[[#This Row],[data_przyjazdu]])</f>
        <v>3</v>
      </c>
      <c r="G588" s="9">
        <f xml:space="preserve"> WYNAJEM47[[#This Row],[energia]] + WYNAJEM47[[#This Row],[woda]]</f>
        <v>13.36</v>
      </c>
      <c r="I588" s="9"/>
    </row>
    <row r="589" spans="1:9" x14ac:dyDescent="0.25">
      <c r="A589" s="1">
        <v>41899</v>
      </c>
      <c r="B589" s="1">
        <v>41905</v>
      </c>
      <c r="C589" s="8">
        <v>14.13</v>
      </c>
      <c r="D589" s="8">
        <v>0.37</v>
      </c>
      <c r="E589">
        <v>3</v>
      </c>
      <c r="F589" s="10">
        <f>(WYNAJEM47[[#This Row],[data_wyjazdu]]-WYNAJEM47[[#This Row],[data_przyjazdu]])</f>
        <v>6</v>
      </c>
      <c r="G589" s="9">
        <f xml:space="preserve"> WYNAJEM47[[#This Row],[energia]] + WYNAJEM47[[#This Row],[woda]]</f>
        <v>14.5</v>
      </c>
      <c r="I589" s="9"/>
    </row>
    <row r="590" spans="1:9" x14ac:dyDescent="0.25">
      <c r="A590" s="1">
        <v>41899</v>
      </c>
      <c r="B590" s="1">
        <v>41906</v>
      </c>
      <c r="C590" s="8">
        <v>10.59</v>
      </c>
      <c r="D590" s="8">
        <v>0.28000000000000003</v>
      </c>
      <c r="E590">
        <v>3</v>
      </c>
      <c r="F590" s="10">
        <f>(WYNAJEM47[[#This Row],[data_wyjazdu]]-WYNAJEM47[[#This Row],[data_przyjazdu]])</f>
        <v>7</v>
      </c>
      <c r="G590" s="9">
        <f xml:space="preserve"> WYNAJEM47[[#This Row],[energia]] + WYNAJEM47[[#This Row],[woda]]</f>
        <v>10.87</v>
      </c>
      <c r="I590" s="9"/>
    </row>
    <row r="591" spans="1:9" x14ac:dyDescent="0.25">
      <c r="A591" s="1">
        <v>41899</v>
      </c>
      <c r="B591" s="1">
        <v>41917</v>
      </c>
      <c r="C591" s="8">
        <v>5.57</v>
      </c>
      <c r="D591" s="8">
        <v>0.15</v>
      </c>
      <c r="E591">
        <v>6</v>
      </c>
      <c r="F591" s="10">
        <f>(WYNAJEM47[[#This Row],[data_wyjazdu]]-WYNAJEM47[[#This Row],[data_przyjazdu]])</f>
        <v>18</v>
      </c>
      <c r="G591" s="9">
        <f xml:space="preserve"> WYNAJEM47[[#This Row],[energia]] + WYNAJEM47[[#This Row],[woda]]</f>
        <v>5.7200000000000006</v>
      </c>
      <c r="I591" s="9"/>
    </row>
    <row r="592" spans="1:9" x14ac:dyDescent="0.25">
      <c r="A592" s="1">
        <v>41900</v>
      </c>
      <c r="B592" s="1">
        <v>41906</v>
      </c>
      <c r="C592" s="8">
        <v>5.57</v>
      </c>
      <c r="D592" s="8">
        <v>0.15</v>
      </c>
      <c r="E592">
        <v>2</v>
      </c>
      <c r="F592" s="10">
        <f>(WYNAJEM47[[#This Row],[data_wyjazdu]]-WYNAJEM47[[#This Row],[data_przyjazdu]])</f>
        <v>6</v>
      </c>
      <c r="G592" s="9">
        <f xml:space="preserve"> WYNAJEM47[[#This Row],[energia]] + WYNAJEM47[[#This Row],[woda]]</f>
        <v>5.7200000000000006</v>
      </c>
      <c r="I592" s="9"/>
    </row>
    <row r="593" spans="1:9" x14ac:dyDescent="0.25">
      <c r="A593" s="1">
        <v>41901</v>
      </c>
      <c r="B593" s="1">
        <v>41919</v>
      </c>
      <c r="C593" s="8">
        <v>8.7200000000000006</v>
      </c>
      <c r="D593" s="8">
        <v>0.23</v>
      </c>
      <c r="E593">
        <v>2</v>
      </c>
      <c r="F593" s="10">
        <f>(WYNAJEM47[[#This Row],[data_wyjazdu]]-WYNAJEM47[[#This Row],[data_przyjazdu]])</f>
        <v>18</v>
      </c>
      <c r="G593" s="9">
        <f xml:space="preserve"> WYNAJEM47[[#This Row],[energia]] + WYNAJEM47[[#This Row],[woda]]</f>
        <v>8.9500000000000011</v>
      </c>
      <c r="I593" s="9"/>
    </row>
    <row r="594" spans="1:9" x14ac:dyDescent="0.25">
      <c r="A594" s="1">
        <v>41902</v>
      </c>
      <c r="B594" s="1">
        <v>41904</v>
      </c>
      <c r="C594" s="8">
        <v>6.43</v>
      </c>
      <c r="D594" s="8">
        <v>0.17</v>
      </c>
      <c r="E594">
        <v>4</v>
      </c>
      <c r="F594" s="10">
        <f>(WYNAJEM47[[#This Row],[data_wyjazdu]]-WYNAJEM47[[#This Row],[data_przyjazdu]])</f>
        <v>2</v>
      </c>
      <c r="G594" s="9">
        <f xml:space="preserve"> WYNAJEM47[[#This Row],[energia]] + WYNAJEM47[[#This Row],[woda]]</f>
        <v>6.6</v>
      </c>
      <c r="I594" s="9"/>
    </row>
    <row r="595" spans="1:9" x14ac:dyDescent="0.25">
      <c r="A595" s="1">
        <v>41904</v>
      </c>
      <c r="B595" s="1">
        <v>41929</v>
      </c>
      <c r="C595" s="8">
        <v>3.57</v>
      </c>
      <c r="D595" s="8">
        <v>0.09</v>
      </c>
      <c r="E595">
        <v>2</v>
      </c>
      <c r="F595" s="10">
        <f>(WYNAJEM47[[#This Row],[data_wyjazdu]]-WYNAJEM47[[#This Row],[data_przyjazdu]])</f>
        <v>25</v>
      </c>
      <c r="G595" s="9">
        <f xml:space="preserve"> WYNAJEM47[[#This Row],[energia]] + WYNAJEM47[[#This Row],[woda]]</f>
        <v>3.6599999999999997</v>
      </c>
      <c r="I595" s="9"/>
    </row>
    <row r="596" spans="1:9" x14ac:dyDescent="0.25">
      <c r="A596" s="1">
        <v>41905</v>
      </c>
      <c r="B596" s="1">
        <v>41924</v>
      </c>
      <c r="C596" s="8">
        <v>13.82</v>
      </c>
      <c r="D596" s="8">
        <v>0.36</v>
      </c>
      <c r="E596">
        <v>4</v>
      </c>
      <c r="F596" s="10">
        <f>(WYNAJEM47[[#This Row],[data_wyjazdu]]-WYNAJEM47[[#This Row],[data_przyjazdu]])</f>
        <v>19</v>
      </c>
      <c r="G596" s="9">
        <f xml:space="preserve"> WYNAJEM47[[#This Row],[energia]] + WYNAJEM47[[#This Row],[woda]]</f>
        <v>14.18</v>
      </c>
      <c r="I596" s="9"/>
    </row>
    <row r="597" spans="1:9" x14ac:dyDescent="0.25">
      <c r="A597" s="1">
        <v>41905</v>
      </c>
      <c r="B597" s="1">
        <v>41910</v>
      </c>
      <c r="C597" s="8">
        <v>11.37</v>
      </c>
      <c r="D597" s="8">
        <v>0.3</v>
      </c>
      <c r="E597">
        <v>5</v>
      </c>
      <c r="F597" s="10">
        <f>(WYNAJEM47[[#This Row],[data_wyjazdu]]-WYNAJEM47[[#This Row],[data_przyjazdu]])</f>
        <v>5</v>
      </c>
      <c r="G597" s="9">
        <f xml:space="preserve"> WYNAJEM47[[#This Row],[energia]] + WYNAJEM47[[#This Row],[woda]]</f>
        <v>11.67</v>
      </c>
      <c r="I597" s="9"/>
    </row>
    <row r="598" spans="1:9" x14ac:dyDescent="0.25">
      <c r="A598" s="1">
        <v>41905</v>
      </c>
      <c r="B598" s="1">
        <v>41925</v>
      </c>
      <c r="C598" s="8">
        <v>6.58</v>
      </c>
      <c r="D598" s="8">
        <v>0.17</v>
      </c>
      <c r="E598">
        <v>4</v>
      </c>
      <c r="F598" s="10">
        <f>(WYNAJEM47[[#This Row],[data_wyjazdu]]-WYNAJEM47[[#This Row],[data_przyjazdu]])</f>
        <v>20</v>
      </c>
      <c r="G598" s="9">
        <f xml:space="preserve"> WYNAJEM47[[#This Row],[energia]] + WYNAJEM47[[#This Row],[woda]]</f>
        <v>6.75</v>
      </c>
      <c r="I598" s="9"/>
    </row>
    <row r="599" spans="1:9" x14ac:dyDescent="0.25">
      <c r="A599" s="1">
        <v>41905</v>
      </c>
      <c r="B599" s="1">
        <v>41927</v>
      </c>
      <c r="C599" s="8">
        <v>11.69</v>
      </c>
      <c r="D599" s="8">
        <v>0.31</v>
      </c>
      <c r="E599">
        <v>5</v>
      </c>
      <c r="F599" s="10">
        <f>(WYNAJEM47[[#This Row],[data_wyjazdu]]-WYNAJEM47[[#This Row],[data_przyjazdu]])</f>
        <v>22</v>
      </c>
      <c r="G599" s="9">
        <f xml:space="preserve"> WYNAJEM47[[#This Row],[energia]] + WYNAJEM47[[#This Row],[woda]]</f>
        <v>12</v>
      </c>
      <c r="I599" s="9"/>
    </row>
    <row r="600" spans="1:9" x14ac:dyDescent="0.25">
      <c r="A600" s="1">
        <v>41905</v>
      </c>
      <c r="B600" s="1">
        <v>41907</v>
      </c>
      <c r="C600" s="8">
        <v>12.01</v>
      </c>
      <c r="D600" s="8">
        <v>0.32</v>
      </c>
      <c r="E600">
        <v>3</v>
      </c>
      <c r="F600" s="10">
        <f>(WYNAJEM47[[#This Row],[data_wyjazdu]]-WYNAJEM47[[#This Row],[data_przyjazdu]])</f>
        <v>2</v>
      </c>
      <c r="G600" s="9">
        <f xml:space="preserve"> WYNAJEM47[[#This Row],[energia]] + WYNAJEM47[[#This Row],[woda]]</f>
        <v>12.33</v>
      </c>
      <c r="I600" s="9"/>
    </row>
    <row r="601" spans="1:9" x14ac:dyDescent="0.25">
      <c r="A601" s="1">
        <v>41905</v>
      </c>
      <c r="B601" s="1">
        <v>41924</v>
      </c>
      <c r="C601" s="8">
        <v>6.43</v>
      </c>
      <c r="D601" s="8">
        <v>0.17</v>
      </c>
      <c r="E601">
        <v>2</v>
      </c>
      <c r="F601" s="10">
        <f>(WYNAJEM47[[#This Row],[data_wyjazdu]]-WYNAJEM47[[#This Row],[data_przyjazdu]])</f>
        <v>19</v>
      </c>
      <c r="G601" s="9">
        <f xml:space="preserve"> WYNAJEM47[[#This Row],[energia]] + WYNAJEM47[[#This Row],[woda]]</f>
        <v>6.6</v>
      </c>
      <c r="I601" s="9"/>
    </row>
    <row r="602" spans="1:9" x14ac:dyDescent="0.25">
      <c r="A602" s="1">
        <v>41906</v>
      </c>
      <c r="B602" s="1">
        <v>41921</v>
      </c>
      <c r="C602" s="8">
        <v>14.13</v>
      </c>
      <c r="D602" s="8">
        <v>0.37</v>
      </c>
      <c r="E602">
        <v>2</v>
      </c>
      <c r="F602" s="10">
        <f>(WYNAJEM47[[#This Row],[data_wyjazdu]]-WYNAJEM47[[#This Row],[data_przyjazdu]])</f>
        <v>15</v>
      </c>
      <c r="G602" s="9">
        <f xml:space="preserve"> WYNAJEM47[[#This Row],[energia]] + WYNAJEM47[[#This Row],[woda]]</f>
        <v>14.5</v>
      </c>
      <c r="I602" s="9"/>
    </row>
    <row r="603" spans="1:9" x14ac:dyDescent="0.25">
      <c r="A603" s="1">
        <v>41908</v>
      </c>
      <c r="B603" s="1">
        <v>41928</v>
      </c>
      <c r="C603" s="8">
        <v>3.73</v>
      </c>
      <c r="D603" s="8">
        <v>0.1</v>
      </c>
      <c r="E603">
        <v>2</v>
      </c>
      <c r="F603" s="10">
        <f>(WYNAJEM47[[#This Row],[data_wyjazdu]]-WYNAJEM47[[#This Row],[data_przyjazdu]])</f>
        <v>20</v>
      </c>
      <c r="G603" s="9">
        <f xml:space="preserve"> WYNAJEM47[[#This Row],[energia]] + WYNAJEM47[[#This Row],[woda]]</f>
        <v>3.83</v>
      </c>
      <c r="I603" s="9"/>
    </row>
    <row r="604" spans="1:9" x14ac:dyDescent="0.25">
      <c r="A604" s="1">
        <v>41910</v>
      </c>
      <c r="B604" s="1">
        <v>41936</v>
      </c>
      <c r="C604" s="8">
        <v>2.29</v>
      </c>
      <c r="D604" s="8">
        <v>0.06</v>
      </c>
      <c r="E604">
        <v>6</v>
      </c>
      <c r="F604" s="10">
        <f>(WYNAJEM47[[#This Row],[data_wyjazdu]]-WYNAJEM47[[#This Row],[data_przyjazdu]])</f>
        <v>26</v>
      </c>
      <c r="G604" s="9">
        <f xml:space="preserve"> WYNAJEM47[[#This Row],[energia]] + WYNAJEM47[[#This Row],[woda]]</f>
        <v>2.35</v>
      </c>
      <c r="I604" s="9"/>
    </row>
    <row r="605" spans="1:9" x14ac:dyDescent="0.25">
      <c r="A605" s="1">
        <v>41910</v>
      </c>
      <c r="B605" s="1">
        <v>41926</v>
      </c>
      <c r="C605" s="8">
        <v>14.13</v>
      </c>
      <c r="D605" s="8">
        <v>0.37</v>
      </c>
      <c r="E605">
        <v>3</v>
      </c>
      <c r="F605" s="10">
        <f>(WYNAJEM47[[#This Row],[data_wyjazdu]]-WYNAJEM47[[#This Row],[data_przyjazdu]])</f>
        <v>16</v>
      </c>
      <c r="G605" s="9">
        <f xml:space="preserve"> WYNAJEM47[[#This Row],[energia]] + WYNAJEM47[[#This Row],[woda]]</f>
        <v>14.5</v>
      </c>
      <c r="I605" s="9"/>
    </row>
    <row r="606" spans="1:9" x14ac:dyDescent="0.25">
      <c r="A606" s="1">
        <v>41910</v>
      </c>
      <c r="B606" s="1">
        <v>41925</v>
      </c>
      <c r="C606" s="8">
        <v>11.37</v>
      </c>
      <c r="D606" s="8">
        <v>0.3</v>
      </c>
      <c r="E606">
        <v>4</v>
      </c>
      <c r="F606" s="10">
        <f>(WYNAJEM47[[#This Row],[data_wyjazdu]]-WYNAJEM47[[#This Row],[data_przyjazdu]])</f>
        <v>15</v>
      </c>
      <c r="G606" s="9">
        <f xml:space="preserve"> WYNAJEM47[[#This Row],[energia]] + WYNAJEM47[[#This Row],[woda]]</f>
        <v>11.67</v>
      </c>
      <c r="I606" s="9"/>
    </row>
    <row r="607" spans="1:9" x14ac:dyDescent="0.25">
      <c r="A607" s="1">
        <v>41910</v>
      </c>
      <c r="B607" s="1">
        <v>41917</v>
      </c>
      <c r="C607" s="8">
        <v>16.940000000000001</v>
      </c>
      <c r="D607" s="8">
        <v>0.45</v>
      </c>
      <c r="E607">
        <v>2</v>
      </c>
      <c r="F607" s="10">
        <f>(WYNAJEM47[[#This Row],[data_wyjazdu]]-WYNAJEM47[[#This Row],[data_przyjazdu]])</f>
        <v>7</v>
      </c>
      <c r="G607" s="9">
        <f xml:space="preserve"> WYNAJEM47[[#This Row],[energia]] + WYNAJEM47[[#This Row],[woda]]</f>
        <v>17.39</v>
      </c>
      <c r="I607" s="9"/>
    </row>
    <row r="608" spans="1:9" x14ac:dyDescent="0.25">
      <c r="A608" s="1">
        <v>41910</v>
      </c>
      <c r="B608" s="1">
        <v>41913</v>
      </c>
      <c r="C608" s="8">
        <v>11.42</v>
      </c>
      <c r="D608" s="8">
        <v>0.3</v>
      </c>
      <c r="E608">
        <v>3</v>
      </c>
      <c r="F608" s="10">
        <f>(WYNAJEM47[[#This Row],[data_wyjazdu]]-WYNAJEM47[[#This Row],[data_przyjazdu]])</f>
        <v>3</v>
      </c>
      <c r="G608" s="9">
        <f xml:space="preserve"> WYNAJEM47[[#This Row],[energia]] + WYNAJEM47[[#This Row],[woda]]</f>
        <v>11.72</v>
      </c>
      <c r="I608" s="9"/>
    </row>
    <row r="609" spans="1:9" x14ac:dyDescent="0.25">
      <c r="A609" s="1">
        <v>41910</v>
      </c>
      <c r="B609" s="1">
        <v>41913</v>
      </c>
      <c r="C609" s="8">
        <v>4.25</v>
      </c>
      <c r="D609" s="8">
        <v>0.11</v>
      </c>
      <c r="E609">
        <v>4</v>
      </c>
      <c r="F609" s="10">
        <f>(WYNAJEM47[[#This Row],[data_wyjazdu]]-WYNAJEM47[[#This Row],[data_przyjazdu]])</f>
        <v>3</v>
      </c>
      <c r="G609" s="9">
        <f xml:space="preserve"> WYNAJEM47[[#This Row],[energia]] + WYNAJEM47[[#This Row],[woda]]</f>
        <v>4.3600000000000003</v>
      </c>
      <c r="I609" s="9"/>
    </row>
    <row r="610" spans="1:9" x14ac:dyDescent="0.25">
      <c r="A610" s="1">
        <v>41910</v>
      </c>
      <c r="B610" s="1">
        <v>41930</v>
      </c>
      <c r="C610" s="8">
        <v>5.78</v>
      </c>
      <c r="D610" s="8">
        <v>0.15</v>
      </c>
      <c r="E610">
        <v>2</v>
      </c>
      <c r="F610" s="10">
        <f>(WYNAJEM47[[#This Row],[data_wyjazdu]]-WYNAJEM47[[#This Row],[data_przyjazdu]])</f>
        <v>20</v>
      </c>
      <c r="G610" s="9">
        <f xml:space="preserve"> WYNAJEM47[[#This Row],[energia]] + WYNAJEM47[[#This Row],[woda]]</f>
        <v>5.9300000000000006</v>
      </c>
      <c r="I610" s="9"/>
    </row>
    <row r="611" spans="1:9" x14ac:dyDescent="0.25">
      <c r="A611" s="1">
        <v>41910</v>
      </c>
      <c r="B611" s="1">
        <v>41918</v>
      </c>
      <c r="C611" s="8">
        <v>5.23</v>
      </c>
      <c r="D611" s="8">
        <v>0.14000000000000001</v>
      </c>
      <c r="E611">
        <v>5</v>
      </c>
      <c r="F611" s="10">
        <f>(WYNAJEM47[[#This Row],[data_wyjazdu]]-WYNAJEM47[[#This Row],[data_przyjazdu]])</f>
        <v>8</v>
      </c>
      <c r="G611" s="9">
        <f xml:space="preserve"> WYNAJEM47[[#This Row],[energia]] + WYNAJEM47[[#This Row],[woda]]</f>
        <v>5.37</v>
      </c>
      <c r="I611" s="9"/>
    </row>
    <row r="612" spans="1:9" x14ac:dyDescent="0.25">
      <c r="A612" s="1">
        <v>41910</v>
      </c>
      <c r="B612" s="1">
        <v>41933</v>
      </c>
      <c r="C612" s="8">
        <v>10.79</v>
      </c>
      <c r="D612" s="8">
        <v>0.28000000000000003</v>
      </c>
      <c r="E612">
        <v>3</v>
      </c>
      <c r="F612" s="10">
        <f>(WYNAJEM47[[#This Row],[data_wyjazdu]]-WYNAJEM47[[#This Row],[data_przyjazdu]])</f>
        <v>23</v>
      </c>
      <c r="G612" s="9">
        <f xml:space="preserve"> WYNAJEM47[[#This Row],[energia]] + WYNAJEM47[[#This Row],[woda]]</f>
        <v>11.069999999999999</v>
      </c>
      <c r="I612" s="9"/>
    </row>
    <row r="613" spans="1:9" x14ac:dyDescent="0.25">
      <c r="A613" s="1">
        <v>41910</v>
      </c>
      <c r="B613" s="1">
        <v>41923</v>
      </c>
      <c r="C613" s="8">
        <v>5.78</v>
      </c>
      <c r="D613" s="8">
        <v>0.15</v>
      </c>
      <c r="E613">
        <v>6</v>
      </c>
      <c r="F613" s="10">
        <f>(WYNAJEM47[[#This Row],[data_wyjazdu]]-WYNAJEM47[[#This Row],[data_przyjazdu]])</f>
        <v>13</v>
      </c>
      <c r="G613" s="9">
        <f xml:space="preserve"> WYNAJEM47[[#This Row],[energia]] + WYNAJEM47[[#This Row],[woda]]</f>
        <v>5.9300000000000006</v>
      </c>
      <c r="I613" s="9"/>
    </row>
    <row r="614" spans="1:9" x14ac:dyDescent="0.25">
      <c r="A614" s="1">
        <v>41911</v>
      </c>
      <c r="B614" s="1">
        <v>41919</v>
      </c>
      <c r="C614" s="8">
        <v>11.37</v>
      </c>
      <c r="D614" s="8">
        <v>0.3</v>
      </c>
      <c r="E614">
        <v>4</v>
      </c>
      <c r="F614" s="10">
        <f>(WYNAJEM47[[#This Row],[data_wyjazdu]]-WYNAJEM47[[#This Row],[data_przyjazdu]])</f>
        <v>8</v>
      </c>
      <c r="G614" s="9">
        <f xml:space="preserve"> WYNAJEM47[[#This Row],[energia]] + WYNAJEM47[[#This Row],[woda]]</f>
        <v>11.67</v>
      </c>
      <c r="I614" s="9"/>
    </row>
    <row r="615" spans="1:9" x14ac:dyDescent="0.25">
      <c r="A615" s="1">
        <v>41911</v>
      </c>
      <c r="B615" s="1">
        <v>41927</v>
      </c>
      <c r="C615" s="8">
        <v>8.9499999999999993</v>
      </c>
      <c r="D615" s="8">
        <v>0.24</v>
      </c>
      <c r="E615">
        <v>3</v>
      </c>
      <c r="F615" s="10">
        <f>(WYNAJEM47[[#This Row],[data_wyjazdu]]-WYNAJEM47[[#This Row],[data_przyjazdu]])</f>
        <v>16</v>
      </c>
      <c r="G615" s="9">
        <f xml:space="preserve"> WYNAJEM47[[#This Row],[energia]] + WYNAJEM47[[#This Row],[woda]]</f>
        <v>9.19</v>
      </c>
      <c r="I615" s="9"/>
    </row>
    <row r="616" spans="1:9" x14ac:dyDescent="0.25">
      <c r="A616" s="1">
        <v>41911</v>
      </c>
      <c r="B616" s="1">
        <v>41929</v>
      </c>
      <c r="C616" s="8">
        <v>10.199999999999999</v>
      </c>
      <c r="D616" s="8">
        <v>0.27</v>
      </c>
      <c r="E616">
        <v>3</v>
      </c>
      <c r="F616" s="10">
        <f>(WYNAJEM47[[#This Row],[data_wyjazdu]]-WYNAJEM47[[#This Row],[data_przyjazdu]])</f>
        <v>18</v>
      </c>
      <c r="G616" s="9">
        <f xml:space="preserve"> WYNAJEM47[[#This Row],[energia]] + WYNAJEM47[[#This Row],[woda]]</f>
        <v>10.469999999999999</v>
      </c>
      <c r="I616" s="9"/>
    </row>
    <row r="617" spans="1:9" x14ac:dyDescent="0.25">
      <c r="A617" s="1">
        <v>41911</v>
      </c>
      <c r="B617" s="1">
        <v>41921</v>
      </c>
      <c r="C617" s="8">
        <v>9.1300000000000008</v>
      </c>
      <c r="D617" s="8">
        <v>0.24</v>
      </c>
      <c r="E617">
        <v>4</v>
      </c>
      <c r="F617" s="10">
        <f>(WYNAJEM47[[#This Row],[data_wyjazdu]]-WYNAJEM47[[#This Row],[data_przyjazdu]])</f>
        <v>10</v>
      </c>
      <c r="G617" s="9">
        <f xml:space="preserve"> WYNAJEM47[[#This Row],[energia]] + WYNAJEM47[[#This Row],[woda]]</f>
        <v>9.370000000000001</v>
      </c>
      <c r="I617" s="9"/>
    </row>
    <row r="618" spans="1:9" x14ac:dyDescent="0.25">
      <c r="A618" s="1">
        <v>41911</v>
      </c>
      <c r="B618" s="1">
        <v>41932</v>
      </c>
      <c r="C618" s="8">
        <v>6.23</v>
      </c>
      <c r="D618" s="8">
        <v>0.16</v>
      </c>
      <c r="E618">
        <v>6</v>
      </c>
      <c r="F618" s="10">
        <f>(WYNAJEM47[[#This Row],[data_wyjazdu]]-WYNAJEM47[[#This Row],[data_przyjazdu]])</f>
        <v>21</v>
      </c>
      <c r="G618" s="9">
        <f xml:space="preserve"> WYNAJEM47[[#This Row],[energia]] + WYNAJEM47[[#This Row],[woda]]</f>
        <v>6.3900000000000006</v>
      </c>
      <c r="I618" s="9"/>
    </row>
    <row r="619" spans="1:9" x14ac:dyDescent="0.25">
      <c r="A619" s="1">
        <v>41911</v>
      </c>
      <c r="B619" s="1">
        <v>41932</v>
      </c>
      <c r="C619" s="8">
        <v>8.84</v>
      </c>
      <c r="D619" s="8">
        <v>0.23</v>
      </c>
      <c r="E619">
        <v>4</v>
      </c>
      <c r="F619" s="10">
        <f>(WYNAJEM47[[#This Row],[data_wyjazdu]]-WYNAJEM47[[#This Row],[data_przyjazdu]])</f>
        <v>21</v>
      </c>
      <c r="G619" s="9">
        <f xml:space="preserve"> WYNAJEM47[[#This Row],[energia]] + WYNAJEM47[[#This Row],[woda]]</f>
        <v>9.07</v>
      </c>
      <c r="I619" s="9"/>
    </row>
    <row r="620" spans="1:9" x14ac:dyDescent="0.25">
      <c r="A620" s="1">
        <v>41911</v>
      </c>
      <c r="B620" s="1">
        <v>41919</v>
      </c>
      <c r="C620" s="8">
        <v>6.88</v>
      </c>
      <c r="D620" s="8">
        <v>0.18</v>
      </c>
      <c r="E620">
        <v>6</v>
      </c>
      <c r="F620" s="10">
        <f>(WYNAJEM47[[#This Row],[data_wyjazdu]]-WYNAJEM47[[#This Row],[data_przyjazdu]])</f>
        <v>8</v>
      </c>
      <c r="G620" s="9">
        <f xml:space="preserve"> WYNAJEM47[[#This Row],[energia]] + WYNAJEM47[[#This Row],[woda]]</f>
        <v>7.06</v>
      </c>
      <c r="I620" s="9"/>
    </row>
    <row r="621" spans="1:9" x14ac:dyDescent="0.25">
      <c r="A621" s="1">
        <v>41911</v>
      </c>
      <c r="B621" s="1">
        <v>41921</v>
      </c>
      <c r="C621" s="8">
        <v>8.84</v>
      </c>
      <c r="D621" s="8">
        <v>0.23</v>
      </c>
      <c r="E621">
        <v>2</v>
      </c>
      <c r="F621" s="10">
        <f>(WYNAJEM47[[#This Row],[data_wyjazdu]]-WYNAJEM47[[#This Row],[data_przyjazdu]])</f>
        <v>10</v>
      </c>
      <c r="G621" s="9">
        <f xml:space="preserve"> WYNAJEM47[[#This Row],[energia]] + WYNAJEM47[[#This Row],[woda]]</f>
        <v>9.07</v>
      </c>
      <c r="I621" s="9"/>
    </row>
    <row r="622" spans="1:9" x14ac:dyDescent="0.25">
      <c r="A622" s="1">
        <v>41911</v>
      </c>
      <c r="B622" s="1">
        <v>41917</v>
      </c>
      <c r="C622" s="8">
        <v>3.57</v>
      </c>
      <c r="D622" s="8">
        <v>0.09</v>
      </c>
      <c r="E622">
        <v>5</v>
      </c>
      <c r="F622" s="10">
        <f>(WYNAJEM47[[#This Row],[data_wyjazdu]]-WYNAJEM47[[#This Row],[data_przyjazdu]])</f>
        <v>6</v>
      </c>
      <c r="G622" s="9">
        <f xml:space="preserve"> WYNAJEM47[[#This Row],[energia]] + WYNAJEM47[[#This Row],[woda]]</f>
        <v>3.6599999999999997</v>
      </c>
      <c r="I622" s="9"/>
    </row>
    <row r="623" spans="1:9" x14ac:dyDescent="0.25">
      <c r="A623" s="1">
        <v>41911</v>
      </c>
      <c r="B623" s="1">
        <v>41926</v>
      </c>
      <c r="C623" s="8">
        <v>5.64</v>
      </c>
      <c r="D623" s="8">
        <v>0.15</v>
      </c>
      <c r="E623">
        <v>5</v>
      </c>
      <c r="F623" s="10">
        <f>(WYNAJEM47[[#This Row],[data_wyjazdu]]-WYNAJEM47[[#This Row],[data_przyjazdu]])</f>
        <v>15</v>
      </c>
      <c r="G623" s="9">
        <f xml:space="preserve"> WYNAJEM47[[#This Row],[energia]] + WYNAJEM47[[#This Row],[woda]]</f>
        <v>5.79</v>
      </c>
      <c r="I623" s="9"/>
    </row>
    <row r="624" spans="1:9" x14ac:dyDescent="0.25">
      <c r="A624" s="1">
        <v>41911</v>
      </c>
      <c r="B624" s="1">
        <v>41938</v>
      </c>
      <c r="C624" s="8">
        <v>9.06</v>
      </c>
      <c r="D624" s="8">
        <v>0.24</v>
      </c>
      <c r="E624">
        <v>6</v>
      </c>
      <c r="F624" s="10">
        <f>(WYNAJEM47[[#This Row],[data_wyjazdu]]-WYNAJEM47[[#This Row],[data_przyjazdu]])</f>
        <v>27</v>
      </c>
      <c r="G624" s="9">
        <f xml:space="preserve"> WYNAJEM47[[#This Row],[energia]] + WYNAJEM47[[#This Row],[woda]]</f>
        <v>9.3000000000000007</v>
      </c>
      <c r="I624" s="9"/>
    </row>
    <row r="625" spans="1:9" x14ac:dyDescent="0.25">
      <c r="A625" s="1">
        <v>41911</v>
      </c>
      <c r="B625" s="1">
        <v>41916</v>
      </c>
      <c r="C625" s="8">
        <v>7.55</v>
      </c>
      <c r="D625" s="8">
        <v>0.2</v>
      </c>
      <c r="E625">
        <v>2</v>
      </c>
      <c r="F625" s="10">
        <f>(WYNAJEM47[[#This Row],[data_wyjazdu]]-WYNAJEM47[[#This Row],[data_przyjazdu]])</f>
        <v>5</v>
      </c>
      <c r="G625" s="9">
        <f xml:space="preserve"> WYNAJEM47[[#This Row],[energia]] + WYNAJEM47[[#This Row],[woda]]</f>
        <v>7.75</v>
      </c>
      <c r="I625" s="9"/>
    </row>
    <row r="626" spans="1:9" x14ac:dyDescent="0.25">
      <c r="A626" s="1">
        <v>41911</v>
      </c>
      <c r="B626" s="1">
        <v>41929</v>
      </c>
      <c r="C626" s="8">
        <v>13.02</v>
      </c>
      <c r="D626" s="8">
        <v>0.34</v>
      </c>
      <c r="E626">
        <v>5</v>
      </c>
      <c r="F626" s="10">
        <f>(WYNAJEM47[[#This Row],[data_wyjazdu]]-WYNAJEM47[[#This Row],[data_przyjazdu]])</f>
        <v>18</v>
      </c>
      <c r="G626" s="9">
        <f xml:space="preserve"> WYNAJEM47[[#This Row],[energia]] + WYNAJEM47[[#This Row],[woda]]</f>
        <v>13.36</v>
      </c>
      <c r="I626" s="9"/>
    </row>
    <row r="627" spans="1:9" x14ac:dyDescent="0.25">
      <c r="A627" s="1">
        <v>41911</v>
      </c>
      <c r="B627" s="1">
        <v>41913</v>
      </c>
      <c r="C627" s="8">
        <v>8.9499999999999993</v>
      </c>
      <c r="D627" s="8">
        <v>0.24</v>
      </c>
      <c r="E627">
        <v>4</v>
      </c>
      <c r="F627" s="10">
        <f>(WYNAJEM47[[#This Row],[data_wyjazdu]]-WYNAJEM47[[#This Row],[data_przyjazdu]])</f>
        <v>2</v>
      </c>
      <c r="G627" s="9">
        <f xml:space="preserve"> WYNAJEM47[[#This Row],[energia]] + WYNAJEM47[[#This Row],[woda]]</f>
        <v>9.19</v>
      </c>
      <c r="I627" s="9"/>
    </row>
    <row r="628" spans="1:9" x14ac:dyDescent="0.25">
      <c r="A628" s="1">
        <v>41911</v>
      </c>
      <c r="B628" s="1">
        <v>41918</v>
      </c>
      <c r="C628" s="8">
        <v>10.93</v>
      </c>
      <c r="D628" s="8">
        <v>0.28999999999999998</v>
      </c>
      <c r="E628">
        <v>3</v>
      </c>
      <c r="F628" s="10">
        <f>(WYNAJEM47[[#This Row],[data_wyjazdu]]-WYNAJEM47[[#This Row],[data_przyjazdu]])</f>
        <v>7</v>
      </c>
      <c r="G628" s="9">
        <f xml:space="preserve"> WYNAJEM47[[#This Row],[energia]] + WYNAJEM47[[#This Row],[woda]]</f>
        <v>11.219999999999999</v>
      </c>
      <c r="I628" s="9"/>
    </row>
    <row r="629" spans="1:9" x14ac:dyDescent="0.25">
      <c r="A629" s="1">
        <v>41911</v>
      </c>
      <c r="B629" s="1">
        <v>41931</v>
      </c>
      <c r="C629" s="8">
        <v>7.3</v>
      </c>
      <c r="D629" s="8">
        <v>0.19</v>
      </c>
      <c r="E629">
        <v>5</v>
      </c>
      <c r="F629" s="10">
        <f>(WYNAJEM47[[#This Row],[data_wyjazdu]]-WYNAJEM47[[#This Row],[data_przyjazdu]])</f>
        <v>20</v>
      </c>
      <c r="G629" s="9">
        <f xml:space="preserve"> WYNAJEM47[[#This Row],[energia]] + WYNAJEM47[[#This Row],[woda]]</f>
        <v>7.49</v>
      </c>
      <c r="I629" s="9"/>
    </row>
    <row r="630" spans="1:9" x14ac:dyDescent="0.25">
      <c r="A630" s="1">
        <v>41911</v>
      </c>
      <c r="B630" s="1">
        <v>41939</v>
      </c>
      <c r="C630" s="8">
        <v>7.31</v>
      </c>
      <c r="D630" s="8">
        <v>0.19</v>
      </c>
      <c r="E630">
        <v>6</v>
      </c>
      <c r="F630" s="10">
        <f>(WYNAJEM47[[#This Row],[data_wyjazdu]]-WYNAJEM47[[#This Row],[data_przyjazdu]])</f>
        <v>28</v>
      </c>
      <c r="G630" s="9">
        <f xml:space="preserve"> WYNAJEM47[[#This Row],[energia]] + WYNAJEM47[[#This Row],[woda]]</f>
        <v>7.5</v>
      </c>
      <c r="I630" s="9"/>
    </row>
    <row r="631" spans="1:9" x14ac:dyDescent="0.25">
      <c r="A631" s="1">
        <v>41911</v>
      </c>
      <c r="B631" s="1">
        <v>41918</v>
      </c>
      <c r="C631" s="8">
        <v>13.07</v>
      </c>
      <c r="D631" s="8">
        <v>0.34</v>
      </c>
      <c r="E631">
        <v>5</v>
      </c>
      <c r="F631" s="10">
        <f>(WYNAJEM47[[#This Row],[data_wyjazdu]]-WYNAJEM47[[#This Row],[data_przyjazdu]])</f>
        <v>7</v>
      </c>
      <c r="G631" s="9">
        <f xml:space="preserve"> WYNAJEM47[[#This Row],[energia]] + WYNAJEM47[[#This Row],[woda]]</f>
        <v>13.41</v>
      </c>
      <c r="I631" s="9"/>
    </row>
    <row r="632" spans="1:9" x14ac:dyDescent="0.25">
      <c r="A632" s="1">
        <v>41911</v>
      </c>
      <c r="B632" s="1">
        <v>41923</v>
      </c>
      <c r="C632" s="8">
        <v>5.67</v>
      </c>
      <c r="D632" s="8">
        <v>0.15</v>
      </c>
      <c r="E632">
        <v>4</v>
      </c>
      <c r="F632" s="10">
        <f>(WYNAJEM47[[#This Row],[data_wyjazdu]]-WYNAJEM47[[#This Row],[data_przyjazdu]])</f>
        <v>12</v>
      </c>
      <c r="G632" s="9">
        <f xml:space="preserve"> WYNAJEM47[[#This Row],[energia]] + WYNAJEM47[[#This Row],[woda]]</f>
        <v>5.82</v>
      </c>
      <c r="I632" s="9"/>
    </row>
    <row r="633" spans="1:9" x14ac:dyDescent="0.25">
      <c r="A633" s="1">
        <v>41912</v>
      </c>
      <c r="B633" s="1">
        <v>41925</v>
      </c>
      <c r="C633" s="8">
        <v>2.72</v>
      </c>
      <c r="D633" s="8">
        <v>7.0000000000000007E-2</v>
      </c>
      <c r="E633">
        <v>6</v>
      </c>
      <c r="F633" s="10">
        <f>(WYNAJEM47[[#This Row],[data_wyjazdu]]-WYNAJEM47[[#This Row],[data_przyjazdu]])</f>
        <v>13</v>
      </c>
      <c r="G633" s="9">
        <f xml:space="preserve"> WYNAJEM47[[#This Row],[energia]] + WYNAJEM47[[#This Row],[woda]]</f>
        <v>2.79</v>
      </c>
      <c r="I633" s="9"/>
    </row>
    <row r="634" spans="1:9" x14ac:dyDescent="0.25">
      <c r="A634" s="1">
        <v>41913</v>
      </c>
      <c r="B634" s="1">
        <v>41919</v>
      </c>
      <c r="C634" s="8">
        <v>5.67</v>
      </c>
      <c r="D634" s="8">
        <v>0.15</v>
      </c>
      <c r="E634">
        <v>4</v>
      </c>
      <c r="F634" s="10">
        <f>(WYNAJEM47[[#This Row],[data_wyjazdu]]-WYNAJEM47[[#This Row],[data_przyjazdu]])</f>
        <v>6</v>
      </c>
      <c r="G634" s="9">
        <f xml:space="preserve"> WYNAJEM47[[#This Row],[energia]] + WYNAJEM47[[#This Row],[woda]]</f>
        <v>5.82</v>
      </c>
      <c r="I634" s="9"/>
    </row>
    <row r="635" spans="1:9" x14ac:dyDescent="0.25">
      <c r="A635" s="1">
        <v>41913</v>
      </c>
      <c r="B635" s="1">
        <v>41928</v>
      </c>
      <c r="C635" s="8">
        <v>5.67</v>
      </c>
      <c r="D635" s="8">
        <v>0.15</v>
      </c>
      <c r="E635">
        <v>5</v>
      </c>
      <c r="F635" s="10">
        <f>(WYNAJEM47[[#This Row],[data_wyjazdu]]-WYNAJEM47[[#This Row],[data_przyjazdu]])</f>
        <v>15</v>
      </c>
      <c r="G635" s="9">
        <f xml:space="preserve"> WYNAJEM47[[#This Row],[energia]] + WYNAJEM47[[#This Row],[woda]]</f>
        <v>5.82</v>
      </c>
      <c r="I635" s="9"/>
    </row>
    <row r="636" spans="1:9" x14ac:dyDescent="0.25">
      <c r="A636" s="1">
        <v>41914</v>
      </c>
      <c r="B636" s="1">
        <v>41917</v>
      </c>
      <c r="C636" s="8">
        <v>3.94</v>
      </c>
      <c r="D636" s="8">
        <v>0.1</v>
      </c>
      <c r="E636">
        <v>5</v>
      </c>
      <c r="F636" s="10">
        <f>(WYNAJEM47[[#This Row],[data_wyjazdu]]-WYNAJEM47[[#This Row],[data_przyjazdu]])</f>
        <v>3</v>
      </c>
      <c r="G636" s="9">
        <f xml:space="preserve"> WYNAJEM47[[#This Row],[energia]] + WYNAJEM47[[#This Row],[woda]]</f>
        <v>4.04</v>
      </c>
      <c r="I636" s="9"/>
    </row>
    <row r="637" spans="1:9" x14ac:dyDescent="0.25">
      <c r="A637" s="1">
        <v>41914</v>
      </c>
      <c r="B637" s="1">
        <v>41942</v>
      </c>
      <c r="C637" s="8">
        <v>5.64</v>
      </c>
      <c r="D637" s="8">
        <v>0.15</v>
      </c>
      <c r="E637">
        <v>3</v>
      </c>
      <c r="F637" s="10">
        <f>(WYNAJEM47[[#This Row],[data_wyjazdu]]-WYNAJEM47[[#This Row],[data_przyjazdu]])</f>
        <v>28</v>
      </c>
      <c r="G637" s="9">
        <f xml:space="preserve"> WYNAJEM47[[#This Row],[energia]] + WYNAJEM47[[#This Row],[woda]]</f>
        <v>5.79</v>
      </c>
      <c r="I637" s="9"/>
    </row>
    <row r="638" spans="1:9" x14ac:dyDescent="0.25">
      <c r="A638" s="1">
        <v>41915</v>
      </c>
      <c r="B638" s="1">
        <v>41932</v>
      </c>
      <c r="C638" s="8">
        <v>2.0099999999999998</v>
      </c>
      <c r="D638" s="8">
        <v>0.05</v>
      </c>
      <c r="E638">
        <v>6</v>
      </c>
      <c r="F638" s="10">
        <f>(WYNAJEM47[[#This Row],[data_wyjazdu]]-WYNAJEM47[[#This Row],[data_przyjazdu]])</f>
        <v>17</v>
      </c>
      <c r="G638" s="9">
        <f xml:space="preserve"> WYNAJEM47[[#This Row],[energia]] + WYNAJEM47[[#This Row],[woda]]</f>
        <v>2.0599999999999996</v>
      </c>
      <c r="I638" s="9"/>
    </row>
    <row r="639" spans="1:9" x14ac:dyDescent="0.25">
      <c r="A639" s="1">
        <v>41915</v>
      </c>
      <c r="B639" s="1">
        <v>41938</v>
      </c>
      <c r="C639" s="8">
        <v>3.73</v>
      </c>
      <c r="D639" s="8">
        <v>0.1</v>
      </c>
      <c r="E639">
        <v>4</v>
      </c>
      <c r="F639" s="10">
        <f>(WYNAJEM47[[#This Row],[data_wyjazdu]]-WYNAJEM47[[#This Row],[data_przyjazdu]])</f>
        <v>23</v>
      </c>
      <c r="G639" s="9">
        <f xml:space="preserve"> WYNAJEM47[[#This Row],[energia]] + WYNAJEM47[[#This Row],[woda]]</f>
        <v>3.83</v>
      </c>
      <c r="I639" s="9"/>
    </row>
    <row r="640" spans="1:9" x14ac:dyDescent="0.25">
      <c r="A640" s="1">
        <v>41915</v>
      </c>
      <c r="B640" s="1">
        <v>41921</v>
      </c>
      <c r="C640" s="8">
        <v>3.73</v>
      </c>
      <c r="D640" s="8">
        <v>0.1</v>
      </c>
      <c r="E640">
        <v>2</v>
      </c>
      <c r="F640" s="10">
        <f>(WYNAJEM47[[#This Row],[data_wyjazdu]]-WYNAJEM47[[#This Row],[data_przyjazdu]])</f>
        <v>6</v>
      </c>
      <c r="G640" s="9">
        <f xml:space="preserve"> WYNAJEM47[[#This Row],[energia]] + WYNAJEM47[[#This Row],[woda]]</f>
        <v>3.83</v>
      </c>
      <c r="I640" s="9"/>
    </row>
    <row r="641" spans="1:9" x14ac:dyDescent="0.25">
      <c r="A641" s="1">
        <v>41917</v>
      </c>
      <c r="B641" s="1">
        <v>41937</v>
      </c>
      <c r="C641" s="8">
        <v>4.25</v>
      </c>
      <c r="D641" s="8">
        <v>0.11</v>
      </c>
      <c r="E641">
        <v>5</v>
      </c>
      <c r="F641" s="10">
        <f>(WYNAJEM47[[#This Row],[data_wyjazdu]]-WYNAJEM47[[#This Row],[data_przyjazdu]])</f>
        <v>20</v>
      </c>
      <c r="G641" s="9">
        <f xml:space="preserve"> WYNAJEM47[[#This Row],[energia]] + WYNAJEM47[[#This Row],[woda]]</f>
        <v>4.3600000000000003</v>
      </c>
      <c r="I641" s="9"/>
    </row>
    <row r="642" spans="1:9" x14ac:dyDescent="0.25">
      <c r="A642" s="1">
        <v>41917</v>
      </c>
      <c r="B642" s="1">
        <v>41928</v>
      </c>
      <c r="C642" s="8">
        <v>11.42</v>
      </c>
      <c r="D642" s="8">
        <v>0.3</v>
      </c>
      <c r="E642">
        <v>4</v>
      </c>
      <c r="F642" s="10">
        <f>(WYNAJEM47[[#This Row],[data_wyjazdu]]-WYNAJEM47[[#This Row],[data_przyjazdu]])</f>
        <v>11</v>
      </c>
      <c r="G642" s="9">
        <f xml:space="preserve"> WYNAJEM47[[#This Row],[energia]] + WYNAJEM47[[#This Row],[woda]]</f>
        <v>11.72</v>
      </c>
      <c r="I642" s="9"/>
    </row>
    <row r="643" spans="1:9" x14ac:dyDescent="0.25">
      <c r="A643" s="1">
        <v>41917</v>
      </c>
      <c r="B643" s="1">
        <v>41939</v>
      </c>
      <c r="C643" s="8">
        <v>13.07</v>
      </c>
      <c r="D643" s="8">
        <v>0.34</v>
      </c>
      <c r="E643">
        <v>3</v>
      </c>
      <c r="F643" s="10">
        <f>(WYNAJEM47[[#This Row],[data_wyjazdu]]-WYNAJEM47[[#This Row],[data_przyjazdu]])</f>
        <v>22</v>
      </c>
      <c r="G643" s="9">
        <f xml:space="preserve"> WYNAJEM47[[#This Row],[energia]] + WYNAJEM47[[#This Row],[woda]]</f>
        <v>13.41</v>
      </c>
      <c r="I643" s="9"/>
    </row>
    <row r="644" spans="1:9" x14ac:dyDescent="0.25">
      <c r="A644" s="1">
        <v>41918</v>
      </c>
      <c r="B644" s="1">
        <v>41939</v>
      </c>
      <c r="C644" s="8">
        <v>5.67</v>
      </c>
      <c r="D644" s="8">
        <v>0.15</v>
      </c>
      <c r="E644">
        <v>2</v>
      </c>
      <c r="F644" s="10">
        <f>(WYNAJEM47[[#This Row],[data_wyjazdu]]-WYNAJEM47[[#This Row],[data_przyjazdu]])</f>
        <v>21</v>
      </c>
      <c r="G644" s="9">
        <f xml:space="preserve"> WYNAJEM47[[#This Row],[energia]] + WYNAJEM47[[#This Row],[woda]]</f>
        <v>5.82</v>
      </c>
      <c r="I644" s="9"/>
    </row>
    <row r="645" spans="1:9" x14ac:dyDescent="0.25">
      <c r="A645" s="1">
        <v>41918</v>
      </c>
      <c r="B645" s="1">
        <v>41922</v>
      </c>
      <c r="C645" s="8">
        <v>6.23</v>
      </c>
      <c r="D645" s="8">
        <v>0.16</v>
      </c>
      <c r="E645">
        <v>4</v>
      </c>
      <c r="F645" s="10">
        <f>(WYNAJEM47[[#This Row],[data_wyjazdu]]-WYNAJEM47[[#This Row],[data_przyjazdu]])</f>
        <v>4</v>
      </c>
      <c r="G645" s="9">
        <f xml:space="preserve"> WYNAJEM47[[#This Row],[energia]] + WYNAJEM47[[#This Row],[woda]]</f>
        <v>6.3900000000000006</v>
      </c>
      <c r="I645" s="9"/>
    </row>
    <row r="646" spans="1:9" x14ac:dyDescent="0.25">
      <c r="A646" s="1">
        <v>41918</v>
      </c>
      <c r="B646" s="1">
        <v>41940</v>
      </c>
      <c r="C646" s="8">
        <v>19.940000000000001</v>
      </c>
      <c r="D646" s="8">
        <v>0.52</v>
      </c>
      <c r="E646">
        <v>4</v>
      </c>
      <c r="F646" s="10">
        <f>(WYNAJEM47[[#This Row],[data_wyjazdu]]-WYNAJEM47[[#This Row],[data_przyjazdu]])</f>
        <v>22</v>
      </c>
      <c r="G646" s="9">
        <f xml:space="preserve"> WYNAJEM47[[#This Row],[energia]] + WYNAJEM47[[#This Row],[woda]]</f>
        <v>20.46</v>
      </c>
      <c r="I646" s="9"/>
    </row>
    <row r="647" spans="1:9" x14ac:dyDescent="0.25">
      <c r="A647" s="1">
        <v>41918</v>
      </c>
      <c r="B647" s="1">
        <v>41925</v>
      </c>
      <c r="C647" s="8">
        <v>6.88</v>
      </c>
      <c r="D647" s="8">
        <v>0.18</v>
      </c>
      <c r="E647">
        <v>3</v>
      </c>
      <c r="F647" s="10">
        <f>(WYNAJEM47[[#This Row],[data_wyjazdu]]-WYNAJEM47[[#This Row],[data_przyjazdu]])</f>
        <v>7</v>
      </c>
      <c r="G647" s="9">
        <f xml:space="preserve"> WYNAJEM47[[#This Row],[energia]] + WYNAJEM47[[#This Row],[woda]]</f>
        <v>7.06</v>
      </c>
      <c r="I647" s="9"/>
    </row>
    <row r="648" spans="1:9" x14ac:dyDescent="0.25">
      <c r="A648" s="1">
        <v>41918</v>
      </c>
      <c r="B648" s="1">
        <v>41929</v>
      </c>
      <c r="C648" s="8">
        <v>8.39</v>
      </c>
      <c r="D648" s="8">
        <v>0.22</v>
      </c>
      <c r="E648">
        <v>6</v>
      </c>
      <c r="F648" s="10">
        <f>(WYNAJEM47[[#This Row],[data_wyjazdu]]-WYNAJEM47[[#This Row],[data_przyjazdu]])</f>
        <v>11</v>
      </c>
      <c r="G648" s="9">
        <f xml:space="preserve"> WYNAJEM47[[#This Row],[energia]] + WYNAJEM47[[#This Row],[woda]]</f>
        <v>8.6100000000000012</v>
      </c>
      <c r="I648" s="9"/>
    </row>
    <row r="649" spans="1:9" x14ac:dyDescent="0.25">
      <c r="A649" s="1">
        <v>41922</v>
      </c>
      <c r="B649" s="1">
        <v>41936</v>
      </c>
      <c r="C649" s="8">
        <v>11.44</v>
      </c>
      <c r="D649" s="8">
        <v>0.3</v>
      </c>
      <c r="E649">
        <v>4</v>
      </c>
      <c r="F649" s="10">
        <f>(WYNAJEM47[[#This Row],[data_wyjazdu]]-WYNAJEM47[[#This Row],[data_przyjazdu]])</f>
        <v>14</v>
      </c>
      <c r="G649" s="9">
        <f xml:space="preserve"> WYNAJEM47[[#This Row],[energia]] + WYNAJEM47[[#This Row],[woda]]</f>
        <v>11.74</v>
      </c>
      <c r="I649" s="9"/>
    </row>
    <row r="650" spans="1:9" x14ac:dyDescent="0.25">
      <c r="A650" s="1">
        <v>41922</v>
      </c>
      <c r="B650" s="1">
        <v>41937</v>
      </c>
      <c r="C650" s="8">
        <v>9.4600000000000009</v>
      </c>
      <c r="D650" s="8">
        <v>0.25</v>
      </c>
      <c r="E650">
        <v>5</v>
      </c>
      <c r="F650" s="10">
        <f>(WYNAJEM47[[#This Row],[data_wyjazdu]]-WYNAJEM47[[#This Row],[data_przyjazdu]])</f>
        <v>15</v>
      </c>
      <c r="G650" s="9">
        <f xml:space="preserve"> WYNAJEM47[[#This Row],[energia]] + WYNAJEM47[[#This Row],[woda]]</f>
        <v>9.7100000000000009</v>
      </c>
      <c r="I650" s="9"/>
    </row>
    <row r="651" spans="1:9" x14ac:dyDescent="0.25">
      <c r="A651" s="1">
        <v>41922</v>
      </c>
      <c r="B651" s="1">
        <v>41926</v>
      </c>
      <c r="C651" s="8">
        <v>5.67</v>
      </c>
      <c r="D651" s="8">
        <v>0.15</v>
      </c>
      <c r="E651">
        <v>4</v>
      </c>
      <c r="F651" s="10">
        <f>(WYNAJEM47[[#This Row],[data_wyjazdu]]-WYNAJEM47[[#This Row],[data_przyjazdu]])</f>
        <v>4</v>
      </c>
      <c r="G651" s="9">
        <f xml:space="preserve"> WYNAJEM47[[#This Row],[energia]] + WYNAJEM47[[#This Row],[woda]]</f>
        <v>5.82</v>
      </c>
      <c r="I651" s="9"/>
    </row>
    <row r="652" spans="1:9" x14ac:dyDescent="0.25">
      <c r="A652" s="1">
        <v>41922</v>
      </c>
      <c r="B652" s="1">
        <v>41947</v>
      </c>
      <c r="C652" s="8">
        <v>13.82</v>
      </c>
      <c r="D652" s="8">
        <v>0.36</v>
      </c>
      <c r="E652">
        <v>2</v>
      </c>
      <c r="F652" s="10">
        <f>(WYNAJEM47[[#This Row],[data_wyjazdu]]-WYNAJEM47[[#This Row],[data_przyjazdu]])</f>
        <v>25</v>
      </c>
      <c r="G652" s="9">
        <f xml:space="preserve"> WYNAJEM47[[#This Row],[energia]] + WYNAJEM47[[#This Row],[woda]]</f>
        <v>14.18</v>
      </c>
      <c r="I652" s="9"/>
    </row>
    <row r="653" spans="1:9" x14ac:dyDescent="0.25">
      <c r="A653" s="1">
        <v>41922</v>
      </c>
      <c r="B653" s="1">
        <v>41929</v>
      </c>
      <c r="C653" s="8">
        <v>6.43</v>
      </c>
      <c r="D653" s="8">
        <v>0.17</v>
      </c>
      <c r="E653">
        <v>5</v>
      </c>
      <c r="F653" s="10">
        <f>(WYNAJEM47[[#This Row],[data_wyjazdu]]-WYNAJEM47[[#This Row],[data_przyjazdu]])</f>
        <v>7</v>
      </c>
      <c r="G653" s="9">
        <f xml:space="preserve"> WYNAJEM47[[#This Row],[energia]] + WYNAJEM47[[#This Row],[woda]]</f>
        <v>6.6</v>
      </c>
      <c r="I653" s="9"/>
    </row>
    <row r="654" spans="1:9" x14ac:dyDescent="0.25">
      <c r="A654" s="1">
        <v>41922</v>
      </c>
      <c r="B654" s="1">
        <v>41928</v>
      </c>
      <c r="C654" s="8">
        <v>2.0099999999999998</v>
      </c>
      <c r="D654" s="8">
        <v>0.05</v>
      </c>
      <c r="E654">
        <v>2</v>
      </c>
      <c r="F654" s="10">
        <f>(WYNAJEM47[[#This Row],[data_wyjazdu]]-WYNAJEM47[[#This Row],[data_przyjazdu]])</f>
        <v>6</v>
      </c>
      <c r="G654" s="9">
        <f xml:space="preserve"> WYNAJEM47[[#This Row],[energia]] + WYNAJEM47[[#This Row],[woda]]</f>
        <v>2.0599999999999996</v>
      </c>
      <c r="I654" s="9"/>
    </row>
    <row r="655" spans="1:9" x14ac:dyDescent="0.25">
      <c r="A655" s="1">
        <v>41922</v>
      </c>
      <c r="B655" s="1">
        <v>41950</v>
      </c>
      <c r="C655" s="8">
        <v>6.43</v>
      </c>
      <c r="D655" s="8">
        <v>0.17</v>
      </c>
      <c r="E655">
        <v>5</v>
      </c>
      <c r="F655" s="10">
        <f>(WYNAJEM47[[#This Row],[data_wyjazdu]]-WYNAJEM47[[#This Row],[data_przyjazdu]])</f>
        <v>28</v>
      </c>
      <c r="G655" s="9">
        <f xml:space="preserve"> WYNAJEM47[[#This Row],[energia]] + WYNAJEM47[[#This Row],[woda]]</f>
        <v>6.6</v>
      </c>
      <c r="I655" s="9"/>
    </row>
    <row r="656" spans="1:9" x14ac:dyDescent="0.25">
      <c r="A656" s="1">
        <v>41922</v>
      </c>
      <c r="B656" s="1">
        <v>41944</v>
      </c>
      <c r="C656" s="8">
        <v>7.35</v>
      </c>
      <c r="D656" s="8">
        <v>0.19</v>
      </c>
      <c r="E656">
        <v>6</v>
      </c>
      <c r="F656" s="10">
        <f>(WYNAJEM47[[#This Row],[data_wyjazdu]]-WYNAJEM47[[#This Row],[data_przyjazdu]])</f>
        <v>22</v>
      </c>
      <c r="G656" s="9">
        <f xml:space="preserve"> WYNAJEM47[[#This Row],[energia]] + WYNAJEM47[[#This Row],[woda]]</f>
        <v>7.54</v>
      </c>
      <c r="I656" s="9"/>
    </row>
    <row r="657" spans="1:9" x14ac:dyDescent="0.25">
      <c r="A657" s="1">
        <v>41922</v>
      </c>
      <c r="B657" s="1">
        <v>41947</v>
      </c>
      <c r="C657" s="8">
        <v>16.55</v>
      </c>
      <c r="D657" s="8">
        <v>0.44</v>
      </c>
      <c r="E657">
        <v>6</v>
      </c>
      <c r="F657" s="10">
        <f>(WYNAJEM47[[#This Row],[data_wyjazdu]]-WYNAJEM47[[#This Row],[data_przyjazdu]])</f>
        <v>25</v>
      </c>
      <c r="G657" s="9">
        <f xml:space="preserve"> WYNAJEM47[[#This Row],[energia]] + WYNAJEM47[[#This Row],[woda]]</f>
        <v>16.990000000000002</v>
      </c>
      <c r="I657" s="9"/>
    </row>
    <row r="658" spans="1:9" x14ac:dyDescent="0.25">
      <c r="A658" s="1">
        <v>41922</v>
      </c>
      <c r="B658" s="1">
        <v>41928</v>
      </c>
      <c r="C658" s="8">
        <v>9.06</v>
      </c>
      <c r="D658" s="8">
        <v>0.24</v>
      </c>
      <c r="E658">
        <v>6</v>
      </c>
      <c r="F658" s="10">
        <f>(WYNAJEM47[[#This Row],[data_wyjazdu]]-WYNAJEM47[[#This Row],[data_przyjazdu]])</f>
        <v>6</v>
      </c>
      <c r="G658" s="9">
        <f xml:space="preserve"> WYNAJEM47[[#This Row],[energia]] + WYNAJEM47[[#This Row],[woda]]</f>
        <v>9.3000000000000007</v>
      </c>
      <c r="I658" s="9"/>
    </row>
    <row r="659" spans="1:9" x14ac:dyDescent="0.25">
      <c r="A659" s="1">
        <v>41922</v>
      </c>
      <c r="B659" s="1">
        <v>41945</v>
      </c>
      <c r="C659" s="8">
        <v>10.59</v>
      </c>
      <c r="D659" s="8">
        <v>0.28000000000000003</v>
      </c>
      <c r="E659">
        <v>4</v>
      </c>
      <c r="F659" s="10">
        <f>(WYNAJEM47[[#This Row],[data_wyjazdu]]-WYNAJEM47[[#This Row],[data_przyjazdu]])</f>
        <v>23</v>
      </c>
      <c r="G659" s="9">
        <f xml:space="preserve"> WYNAJEM47[[#This Row],[energia]] + WYNAJEM47[[#This Row],[woda]]</f>
        <v>10.87</v>
      </c>
      <c r="I659" s="9"/>
    </row>
    <row r="660" spans="1:9" x14ac:dyDescent="0.25">
      <c r="A660" s="1">
        <v>41922</v>
      </c>
      <c r="B660" s="1">
        <v>41930</v>
      </c>
      <c r="C660" s="8">
        <v>7.71</v>
      </c>
      <c r="D660" s="8">
        <v>0.2</v>
      </c>
      <c r="E660">
        <v>3</v>
      </c>
      <c r="F660" s="10">
        <f>(WYNAJEM47[[#This Row],[data_wyjazdu]]-WYNAJEM47[[#This Row],[data_przyjazdu]])</f>
        <v>8</v>
      </c>
      <c r="G660" s="9">
        <f xml:space="preserve"> WYNAJEM47[[#This Row],[energia]] + WYNAJEM47[[#This Row],[woda]]</f>
        <v>7.91</v>
      </c>
      <c r="I660" s="9"/>
    </row>
    <row r="661" spans="1:9" x14ac:dyDescent="0.25">
      <c r="A661" s="1">
        <v>41922</v>
      </c>
      <c r="B661" s="1">
        <v>41949</v>
      </c>
      <c r="C661" s="8">
        <v>10.19</v>
      </c>
      <c r="D661" s="8">
        <v>0.27</v>
      </c>
      <c r="E661">
        <v>4</v>
      </c>
      <c r="F661" s="10">
        <f>(WYNAJEM47[[#This Row],[data_wyjazdu]]-WYNAJEM47[[#This Row],[data_przyjazdu]])</f>
        <v>27</v>
      </c>
      <c r="G661" s="9">
        <f xml:space="preserve"> WYNAJEM47[[#This Row],[energia]] + WYNAJEM47[[#This Row],[woda]]</f>
        <v>10.459999999999999</v>
      </c>
      <c r="I661" s="9"/>
    </row>
    <row r="662" spans="1:9" x14ac:dyDescent="0.25">
      <c r="A662" s="1">
        <v>41922</v>
      </c>
      <c r="B662" s="1">
        <v>41928</v>
      </c>
      <c r="C662" s="8">
        <v>4.25</v>
      </c>
      <c r="D662" s="8">
        <v>0.11</v>
      </c>
      <c r="E662">
        <v>4</v>
      </c>
      <c r="F662" s="10">
        <f>(WYNAJEM47[[#This Row],[data_wyjazdu]]-WYNAJEM47[[#This Row],[data_przyjazdu]])</f>
        <v>6</v>
      </c>
      <c r="G662" s="9">
        <f xml:space="preserve"> WYNAJEM47[[#This Row],[energia]] + WYNAJEM47[[#This Row],[woda]]</f>
        <v>4.3600000000000003</v>
      </c>
      <c r="I662" s="9"/>
    </row>
    <row r="663" spans="1:9" x14ac:dyDescent="0.25">
      <c r="A663" s="1">
        <v>41922</v>
      </c>
      <c r="B663" s="1">
        <v>41926</v>
      </c>
      <c r="C663" s="8">
        <v>9.06</v>
      </c>
      <c r="D663" s="8">
        <v>0.24</v>
      </c>
      <c r="E663">
        <v>3</v>
      </c>
      <c r="F663" s="10">
        <f>(WYNAJEM47[[#This Row],[data_wyjazdu]]-WYNAJEM47[[#This Row],[data_przyjazdu]])</f>
        <v>4</v>
      </c>
      <c r="G663" s="9">
        <f xml:space="preserve"> WYNAJEM47[[#This Row],[energia]] + WYNAJEM47[[#This Row],[woda]]</f>
        <v>9.3000000000000007</v>
      </c>
      <c r="I663" s="9"/>
    </row>
    <row r="664" spans="1:9" x14ac:dyDescent="0.25">
      <c r="A664" s="1">
        <v>41923</v>
      </c>
      <c r="B664" s="1">
        <v>41932</v>
      </c>
      <c r="C664" s="8">
        <v>8.65</v>
      </c>
      <c r="D664" s="8">
        <v>0.23</v>
      </c>
      <c r="E664">
        <v>4</v>
      </c>
      <c r="F664" s="10">
        <f>(WYNAJEM47[[#This Row],[data_wyjazdu]]-WYNAJEM47[[#This Row],[data_przyjazdu]])</f>
        <v>9</v>
      </c>
      <c r="G664" s="9">
        <f xml:space="preserve"> WYNAJEM47[[#This Row],[energia]] + WYNAJEM47[[#This Row],[woda]]</f>
        <v>8.8800000000000008</v>
      </c>
      <c r="I664" s="9"/>
    </row>
    <row r="665" spans="1:9" x14ac:dyDescent="0.25">
      <c r="A665" s="1">
        <v>41923</v>
      </c>
      <c r="B665" s="1">
        <v>41935</v>
      </c>
      <c r="C665" s="8">
        <v>8.84</v>
      </c>
      <c r="D665" s="8">
        <v>0.23</v>
      </c>
      <c r="E665">
        <v>4</v>
      </c>
      <c r="F665" s="10">
        <f>(WYNAJEM47[[#This Row],[data_wyjazdu]]-WYNAJEM47[[#This Row],[data_przyjazdu]])</f>
        <v>12</v>
      </c>
      <c r="G665" s="9">
        <f xml:space="preserve"> WYNAJEM47[[#This Row],[energia]] + WYNAJEM47[[#This Row],[woda]]</f>
        <v>9.07</v>
      </c>
      <c r="I665" s="9"/>
    </row>
    <row r="666" spans="1:9" x14ac:dyDescent="0.25">
      <c r="A666" s="1">
        <v>41923</v>
      </c>
      <c r="B666" s="1">
        <v>41932</v>
      </c>
      <c r="C666" s="8">
        <v>4.25</v>
      </c>
      <c r="D666" s="8">
        <v>0.11</v>
      </c>
      <c r="E666">
        <v>5</v>
      </c>
      <c r="F666" s="10">
        <f>(WYNAJEM47[[#This Row],[data_wyjazdu]]-WYNAJEM47[[#This Row],[data_przyjazdu]])</f>
        <v>9</v>
      </c>
      <c r="G666" s="9">
        <f xml:space="preserve"> WYNAJEM47[[#This Row],[energia]] + WYNAJEM47[[#This Row],[woda]]</f>
        <v>4.3600000000000003</v>
      </c>
      <c r="I666" s="9"/>
    </row>
    <row r="667" spans="1:9" x14ac:dyDescent="0.25">
      <c r="A667" s="1">
        <v>41923</v>
      </c>
      <c r="B667" s="1">
        <v>41927</v>
      </c>
      <c r="C667" s="8">
        <v>5.47</v>
      </c>
      <c r="D667" s="8">
        <v>0.14000000000000001</v>
      </c>
      <c r="E667">
        <v>5</v>
      </c>
      <c r="F667" s="10">
        <f>(WYNAJEM47[[#This Row],[data_wyjazdu]]-WYNAJEM47[[#This Row],[data_przyjazdu]])</f>
        <v>4</v>
      </c>
      <c r="G667" s="9">
        <f xml:space="preserve"> WYNAJEM47[[#This Row],[energia]] + WYNAJEM47[[#This Row],[woda]]</f>
        <v>5.6099999999999994</v>
      </c>
      <c r="I667" s="9"/>
    </row>
    <row r="668" spans="1:9" x14ac:dyDescent="0.25">
      <c r="A668" s="1">
        <v>41923</v>
      </c>
      <c r="B668" s="1">
        <v>41937</v>
      </c>
      <c r="C668" s="8">
        <v>14.31</v>
      </c>
      <c r="D668" s="8">
        <v>0.38</v>
      </c>
      <c r="E668">
        <v>3</v>
      </c>
      <c r="F668" s="10">
        <f>(WYNAJEM47[[#This Row],[data_wyjazdu]]-WYNAJEM47[[#This Row],[data_przyjazdu]])</f>
        <v>14</v>
      </c>
      <c r="G668" s="9">
        <f xml:space="preserve"> WYNAJEM47[[#This Row],[energia]] + WYNAJEM47[[#This Row],[woda]]</f>
        <v>14.690000000000001</v>
      </c>
      <c r="I668" s="9"/>
    </row>
    <row r="669" spans="1:9" x14ac:dyDescent="0.25">
      <c r="A669" s="1">
        <v>41923</v>
      </c>
      <c r="B669" s="1">
        <v>41949</v>
      </c>
      <c r="C669" s="8">
        <v>13.81</v>
      </c>
      <c r="D669" s="8">
        <v>0.36</v>
      </c>
      <c r="E669">
        <v>6</v>
      </c>
      <c r="F669" s="10">
        <f>(WYNAJEM47[[#This Row],[data_wyjazdu]]-WYNAJEM47[[#This Row],[data_przyjazdu]])</f>
        <v>26</v>
      </c>
      <c r="G669" s="9">
        <f xml:space="preserve"> WYNAJEM47[[#This Row],[energia]] + WYNAJEM47[[#This Row],[woda]]</f>
        <v>14.17</v>
      </c>
      <c r="I669" s="9"/>
    </row>
    <row r="670" spans="1:9" x14ac:dyDescent="0.25">
      <c r="A670" s="1">
        <v>41923</v>
      </c>
      <c r="B670" s="1">
        <v>41943</v>
      </c>
      <c r="C670" s="8">
        <v>9.74</v>
      </c>
      <c r="D670" s="8">
        <v>0.26</v>
      </c>
      <c r="E670">
        <v>3</v>
      </c>
      <c r="F670" s="10">
        <f>(WYNAJEM47[[#This Row],[data_wyjazdu]]-WYNAJEM47[[#This Row],[data_przyjazdu]])</f>
        <v>20</v>
      </c>
      <c r="G670" s="9">
        <f xml:space="preserve"> WYNAJEM47[[#This Row],[energia]] + WYNAJEM47[[#This Row],[woda]]</f>
        <v>10</v>
      </c>
      <c r="I670" s="9"/>
    </row>
    <row r="671" spans="1:9" x14ac:dyDescent="0.25">
      <c r="A671" s="1">
        <v>41923</v>
      </c>
      <c r="B671" s="1">
        <v>41951</v>
      </c>
      <c r="C671" s="8">
        <v>9.4600000000000009</v>
      </c>
      <c r="D671" s="8">
        <v>0.25</v>
      </c>
      <c r="E671">
        <v>5</v>
      </c>
      <c r="F671" s="10">
        <f>(WYNAJEM47[[#This Row],[data_wyjazdu]]-WYNAJEM47[[#This Row],[data_przyjazdu]])</f>
        <v>28</v>
      </c>
      <c r="G671" s="9">
        <f xml:space="preserve"> WYNAJEM47[[#This Row],[energia]] + WYNAJEM47[[#This Row],[woda]]</f>
        <v>9.7100000000000009</v>
      </c>
      <c r="I671" s="9"/>
    </row>
    <row r="672" spans="1:9" x14ac:dyDescent="0.25">
      <c r="A672" s="1">
        <v>41923</v>
      </c>
      <c r="B672" s="1">
        <v>41940</v>
      </c>
      <c r="C672" s="8">
        <v>7.31</v>
      </c>
      <c r="D672" s="8">
        <v>0.19</v>
      </c>
      <c r="E672">
        <v>2</v>
      </c>
      <c r="F672" s="10">
        <f>(WYNAJEM47[[#This Row],[data_wyjazdu]]-WYNAJEM47[[#This Row],[data_przyjazdu]])</f>
        <v>17</v>
      </c>
      <c r="G672" s="9">
        <f xml:space="preserve"> WYNAJEM47[[#This Row],[energia]] + WYNAJEM47[[#This Row],[woda]]</f>
        <v>7.5</v>
      </c>
      <c r="I672" s="9"/>
    </row>
    <row r="673" spans="1:9" x14ac:dyDescent="0.25">
      <c r="A673" s="1">
        <v>41923</v>
      </c>
      <c r="B673" s="1">
        <v>41945</v>
      </c>
      <c r="C673" s="8">
        <v>11.78</v>
      </c>
      <c r="D673" s="8">
        <v>0.31</v>
      </c>
      <c r="E673">
        <v>4</v>
      </c>
      <c r="F673" s="10">
        <f>(WYNAJEM47[[#This Row],[data_wyjazdu]]-WYNAJEM47[[#This Row],[data_przyjazdu]])</f>
        <v>22</v>
      </c>
      <c r="G673" s="9">
        <f xml:space="preserve"> WYNAJEM47[[#This Row],[energia]] + WYNAJEM47[[#This Row],[woda]]</f>
        <v>12.09</v>
      </c>
      <c r="I673" s="9"/>
    </row>
    <row r="674" spans="1:9" x14ac:dyDescent="0.25">
      <c r="A674" s="1">
        <v>41923</v>
      </c>
      <c r="B674" s="1">
        <v>41940</v>
      </c>
      <c r="C674" s="8">
        <v>13.82</v>
      </c>
      <c r="D674" s="8">
        <v>0.36</v>
      </c>
      <c r="E674">
        <v>4</v>
      </c>
      <c r="F674" s="10">
        <f>(WYNAJEM47[[#This Row],[data_wyjazdu]]-WYNAJEM47[[#This Row],[data_przyjazdu]])</f>
        <v>17</v>
      </c>
      <c r="G674" s="9">
        <f xml:space="preserve"> WYNAJEM47[[#This Row],[energia]] + WYNAJEM47[[#This Row],[woda]]</f>
        <v>14.18</v>
      </c>
      <c r="I674" s="9"/>
    </row>
    <row r="675" spans="1:9" x14ac:dyDescent="0.25">
      <c r="A675" s="1">
        <v>41925</v>
      </c>
      <c r="B675" s="1">
        <v>41950</v>
      </c>
      <c r="C675" s="8">
        <v>3.94</v>
      </c>
      <c r="D675" s="8">
        <v>0.1</v>
      </c>
      <c r="E675">
        <v>5</v>
      </c>
      <c r="F675" s="10">
        <f>(WYNAJEM47[[#This Row],[data_wyjazdu]]-WYNAJEM47[[#This Row],[data_przyjazdu]])</f>
        <v>25</v>
      </c>
      <c r="G675" s="9">
        <f xml:space="preserve"> WYNAJEM47[[#This Row],[energia]] + WYNAJEM47[[#This Row],[woda]]</f>
        <v>4.04</v>
      </c>
      <c r="I675" s="9"/>
    </row>
    <row r="676" spans="1:9" x14ac:dyDescent="0.25">
      <c r="A676" s="1">
        <v>41925</v>
      </c>
      <c r="B676" s="1">
        <v>41934</v>
      </c>
      <c r="C676" s="8">
        <v>6.58</v>
      </c>
      <c r="D676" s="8">
        <v>0.17</v>
      </c>
      <c r="E676">
        <v>5</v>
      </c>
      <c r="F676" s="10">
        <f>(WYNAJEM47[[#This Row],[data_wyjazdu]]-WYNAJEM47[[#This Row],[data_przyjazdu]])</f>
        <v>9</v>
      </c>
      <c r="G676" s="9">
        <f xml:space="preserve"> WYNAJEM47[[#This Row],[energia]] + WYNAJEM47[[#This Row],[woda]]</f>
        <v>6.75</v>
      </c>
      <c r="I676" s="9"/>
    </row>
    <row r="677" spans="1:9" x14ac:dyDescent="0.25">
      <c r="A677" s="1">
        <v>41925</v>
      </c>
      <c r="B677" s="1">
        <v>41931</v>
      </c>
      <c r="C677" s="8">
        <v>6.34</v>
      </c>
      <c r="D677" s="8">
        <v>0.17</v>
      </c>
      <c r="E677">
        <v>4</v>
      </c>
      <c r="F677" s="10">
        <f>(WYNAJEM47[[#This Row],[data_wyjazdu]]-WYNAJEM47[[#This Row],[data_przyjazdu]])</f>
        <v>6</v>
      </c>
      <c r="G677" s="9">
        <f xml:space="preserve"> WYNAJEM47[[#This Row],[energia]] + WYNAJEM47[[#This Row],[woda]]</f>
        <v>6.51</v>
      </c>
      <c r="I677" s="9"/>
    </row>
    <row r="678" spans="1:9" x14ac:dyDescent="0.25">
      <c r="A678" s="1">
        <v>41925</v>
      </c>
      <c r="B678" s="1">
        <v>41943</v>
      </c>
      <c r="C678" s="8">
        <v>6.58</v>
      </c>
      <c r="D678" s="8">
        <v>0.17</v>
      </c>
      <c r="E678">
        <v>4</v>
      </c>
      <c r="F678" s="10">
        <f>(WYNAJEM47[[#This Row],[data_wyjazdu]]-WYNAJEM47[[#This Row],[data_przyjazdu]])</f>
        <v>18</v>
      </c>
      <c r="G678" s="9">
        <f xml:space="preserve"> WYNAJEM47[[#This Row],[energia]] + WYNAJEM47[[#This Row],[woda]]</f>
        <v>6.75</v>
      </c>
      <c r="I678" s="9"/>
    </row>
    <row r="679" spans="1:9" x14ac:dyDescent="0.25">
      <c r="A679" s="1">
        <v>41925</v>
      </c>
      <c r="B679" s="1">
        <v>41949</v>
      </c>
      <c r="C679" s="8">
        <v>6.34</v>
      </c>
      <c r="D679" s="8">
        <v>0.17</v>
      </c>
      <c r="E679">
        <v>3</v>
      </c>
      <c r="F679" s="10">
        <f>(WYNAJEM47[[#This Row],[data_wyjazdu]]-WYNAJEM47[[#This Row],[data_przyjazdu]])</f>
        <v>24</v>
      </c>
      <c r="G679" s="9">
        <f xml:space="preserve"> WYNAJEM47[[#This Row],[energia]] + WYNAJEM47[[#This Row],[woda]]</f>
        <v>6.51</v>
      </c>
      <c r="I679" s="9"/>
    </row>
    <row r="680" spans="1:9" x14ac:dyDescent="0.25">
      <c r="A680" s="1">
        <v>41926</v>
      </c>
      <c r="B680" s="1">
        <v>41941</v>
      </c>
      <c r="C680" s="8">
        <v>6.43</v>
      </c>
      <c r="D680" s="8">
        <v>0.17</v>
      </c>
      <c r="E680">
        <v>6</v>
      </c>
      <c r="F680" s="10">
        <f>(WYNAJEM47[[#This Row],[data_wyjazdu]]-WYNAJEM47[[#This Row],[data_przyjazdu]])</f>
        <v>15</v>
      </c>
      <c r="G680" s="9">
        <f xml:space="preserve"> WYNAJEM47[[#This Row],[energia]] + WYNAJEM47[[#This Row],[woda]]</f>
        <v>6.6</v>
      </c>
      <c r="I680" s="9"/>
    </row>
    <row r="681" spans="1:9" x14ac:dyDescent="0.25">
      <c r="A681" s="1">
        <v>41927</v>
      </c>
      <c r="B681" s="1">
        <v>41954</v>
      </c>
      <c r="C681" s="8">
        <v>2.0099999999999998</v>
      </c>
      <c r="D681" s="8">
        <v>0.05</v>
      </c>
      <c r="E681">
        <v>6</v>
      </c>
      <c r="F681" s="10">
        <f>(WYNAJEM47[[#This Row],[data_wyjazdu]]-WYNAJEM47[[#This Row],[data_przyjazdu]])</f>
        <v>27</v>
      </c>
      <c r="G681" s="9">
        <f xml:space="preserve"> WYNAJEM47[[#This Row],[energia]] + WYNAJEM47[[#This Row],[woda]]</f>
        <v>2.0599999999999996</v>
      </c>
      <c r="I681" s="9"/>
    </row>
    <row r="682" spans="1:9" x14ac:dyDescent="0.25">
      <c r="A682" s="1">
        <v>41927</v>
      </c>
      <c r="B682" s="1">
        <v>41953</v>
      </c>
      <c r="C682" s="8">
        <v>2.72</v>
      </c>
      <c r="D682" s="8">
        <v>7.0000000000000007E-2</v>
      </c>
      <c r="E682">
        <v>4</v>
      </c>
      <c r="F682" s="10">
        <f>(WYNAJEM47[[#This Row],[data_wyjazdu]]-WYNAJEM47[[#This Row],[data_przyjazdu]])</f>
        <v>26</v>
      </c>
      <c r="G682" s="9">
        <f xml:space="preserve"> WYNAJEM47[[#This Row],[energia]] + WYNAJEM47[[#This Row],[woda]]</f>
        <v>2.79</v>
      </c>
      <c r="I682" s="9"/>
    </row>
    <row r="683" spans="1:9" x14ac:dyDescent="0.25">
      <c r="A683" s="1">
        <v>41928</v>
      </c>
      <c r="B683" s="1">
        <v>41934</v>
      </c>
      <c r="C683" s="8">
        <v>3.73</v>
      </c>
      <c r="D683" s="8">
        <v>0.1</v>
      </c>
      <c r="E683">
        <v>5</v>
      </c>
      <c r="F683" s="10">
        <f>(WYNAJEM47[[#This Row],[data_wyjazdu]]-WYNAJEM47[[#This Row],[data_przyjazdu]])</f>
        <v>6</v>
      </c>
      <c r="G683" s="9">
        <f xml:space="preserve"> WYNAJEM47[[#This Row],[energia]] + WYNAJEM47[[#This Row],[woda]]</f>
        <v>3.83</v>
      </c>
      <c r="I683" s="9"/>
    </row>
    <row r="684" spans="1:9" x14ac:dyDescent="0.25">
      <c r="A684" s="1">
        <v>41929</v>
      </c>
      <c r="B684" s="1">
        <v>41937</v>
      </c>
      <c r="C684" s="8">
        <v>5.64</v>
      </c>
      <c r="D684" s="8">
        <v>0.15</v>
      </c>
      <c r="E684">
        <v>6</v>
      </c>
      <c r="F684" s="10">
        <f>(WYNAJEM47[[#This Row],[data_wyjazdu]]-WYNAJEM47[[#This Row],[data_przyjazdu]])</f>
        <v>8</v>
      </c>
      <c r="G684" s="9">
        <f xml:space="preserve"> WYNAJEM47[[#This Row],[energia]] + WYNAJEM47[[#This Row],[woda]]</f>
        <v>5.79</v>
      </c>
      <c r="I684" s="9"/>
    </row>
    <row r="685" spans="1:9" x14ac:dyDescent="0.25">
      <c r="A685" s="1">
        <v>41929</v>
      </c>
      <c r="B685" s="1">
        <v>41942</v>
      </c>
      <c r="C685" s="8">
        <v>11.78</v>
      </c>
      <c r="D685" s="8">
        <v>0.31</v>
      </c>
      <c r="E685">
        <v>5</v>
      </c>
      <c r="F685" s="10">
        <f>(WYNAJEM47[[#This Row],[data_wyjazdu]]-WYNAJEM47[[#This Row],[data_przyjazdu]])</f>
        <v>13</v>
      </c>
      <c r="G685" s="9">
        <f xml:space="preserve"> WYNAJEM47[[#This Row],[energia]] + WYNAJEM47[[#This Row],[woda]]</f>
        <v>12.09</v>
      </c>
      <c r="I685" s="9"/>
    </row>
    <row r="686" spans="1:9" x14ac:dyDescent="0.25">
      <c r="A686" s="1">
        <v>41929</v>
      </c>
      <c r="B686" s="1">
        <v>41931</v>
      </c>
      <c r="C686" s="8">
        <v>9.4600000000000009</v>
      </c>
      <c r="D686" s="8">
        <v>0.25</v>
      </c>
      <c r="E686">
        <v>5</v>
      </c>
      <c r="F686" s="10">
        <f>(WYNAJEM47[[#This Row],[data_wyjazdu]]-WYNAJEM47[[#This Row],[data_przyjazdu]])</f>
        <v>2</v>
      </c>
      <c r="G686" s="9">
        <f xml:space="preserve"> WYNAJEM47[[#This Row],[energia]] + WYNAJEM47[[#This Row],[woda]]</f>
        <v>9.7100000000000009</v>
      </c>
      <c r="I686" s="9"/>
    </row>
    <row r="687" spans="1:9" x14ac:dyDescent="0.25">
      <c r="A687" s="1">
        <v>41929</v>
      </c>
      <c r="B687" s="1">
        <v>41945</v>
      </c>
      <c r="C687" s="8">
        <v>4.25</v>
      </c>
      <c r="D687" s="8">
        <v>0.11</v>
      </c>
      <c r="E687">
        <v>3</v>
      </c>
      <c r="F687" s="10">
        <f>(WYNAJEM47[[#This Row],[data_wyjazdu]]-WYNAJEM47[[#This Row],[data_przyjazdu]])</f>
        <v>16</v>
      </c>
      <c r="G687" s="9">
        <f xml:space="preserve"> WYNAJEM47[[#This Row],[energia]] + WYNAJEM47[[#This Row],[woda]]</f>
        <v>4.3600000000000003</v>
      </c>
      <c r="I687" s="9"/>
    </row>
    <row r="688" spans="1:9" x14ac:dyDescent="0.25">
      <c r="A688" s="1">
        <v>41929</v>
      </c>
      <c r="B688" s="1">
        <v>41955</v>
      </c>
      <c r="C688" s="8">
        <v>11.42</v>
      </c>
      <c r="D688" s="8">
        <v>0.3</v>
      </c>
      <c r="E688">
        <v>4</v>
      </c>
      <c r="F688" s="10">
        <f>(WYNAJEM47[[#This Row],[data_wyjazdu]]-WYNAJEM47[[#This Row],[data_przyjazdu]])</f>
        <v>26</v>
      </c>
      <c r="G688" s="9">
        <f xml:space="preserve"> WYNAJEM47[[#This Row],[energia]] + WYNAJEM47[[#This Row],[woda]]</f>
        <v>11.72</v>
      </c>
      <c r="I688" s="9"/>
    </row>
    <row r="689" spans="1:9" x14ac:dyDescent="0.25">
      <c r="A689" s="1">
        <v>41929</v>
      </c>
      <c r="B689" s="1">
        <v>41955</v>
      </c>
      <c r="C689" s="8">
        <v>8.5399999999999991</v>
      </c>
      <c r="D689" s="8">
        <v>0.22</v>
      </c>
      <c r="E689">
        <v>3</v>
      </c>
      <c r="F689" s="10">
        <f>(WYNAJEM47[[#This Row],[data_wyjazdu]]-WYNAJEM47[[#This Row],[data_przyjazdu]])</f>
        <v>26</v>
      </c>
      <c r="G689" s="9">
        <f xml:space="preserve"> WYNAJEM47[[#This Row],[energia]] + WYNAJEM47[[#This Row],[woda]]</f>
        <v>8.76</v>
      </c>
      <c r="I689" s="9"/>
    </row>
    <row r="690" spans="1:9" x14ac:dyDescent="0.25">
      <c r="A690" s="1">
        <v>41930</v>
      </c>
      <c r="B690" s="1">
        <v>41936</v>
      </c>
      <c r="C690" s="8">
        <v>2.72</v>
      </c>
      <c r="D690" s="8">
        <v>7.0000000000000007E-2</v>
      </c>
      <c r="E690">
        <v>2</v>
      </c>
      <c r="F690" s="10">
        <f>(WYNAJEM47[[#This Row],[data_wyjazdu]]-WYNAJEM47[[#This Row],[data_przyjazdu]])</f>
        <v>6</v>
      </c>
      <c r="G690" s="9">
        <f xml:space="preserve"> WYNAJEM47[[#This Row],[energia]] + WYNAJEM47[[#This Row],[woda]]</f>
        <v>2.79</v>
      </c>
      <c r="I690" s="9"/>
    </row>
    <row r="691" spans="1:9" x14ac:dyDescent="0.25">
      <c r="A691" s="1">
        <v>41934</v>
      </c>
      <c r="B691" s="1">
        <v>41941</v>
      </c>
      <c r="C691" s="8">
        <v>11.78</v>
      </c>
      <c r="D691" s="8">
        <v>0.31</v>
      </c>
      <c r="E691">
        <v>3</v>
      </c>
      <c r="F691" s="10">
        <f>(WYNAJEM47[[#This Row],[data_wyjazdu]]-WYNAJEM47[[#This Row],[data_przyjazdu]])</f>
        <v>7</v>
      </c>
      <c r="G691" s="9">
        <f xml:space="preserve"> WYNAJEM47[[#This Row],[energia]] + WYNAJEM47[[#This Row],[woda]]</f>
        <v>12.09</v>
      </c>
      <c r="I691" s="9"/>
    </row>
    <row r="692" spans="1:9" x14ac:dyDescent="0.25">
      <c r="A692" s="1">
        <v>41934</v>
      </c>
      <c r="B692" s="1">
        <v>41959</v>
      </c>
      <c r="C692" s="8">
        <v>8.89</v>
      </c>
      <c r="D692" s="8">
        <v>0.23</v>
      </c>
      <c r="E692">
        <v>4</v>
      </c>
      <c r="F692" s="10">
        <f>(WYNAJEM47[[#This Row],[data_wyjazdu]]-WYNAJEM47[[#This Row],[data_przyjazdu]])</f>
        <v>25</v>
      </c>
      <c r="G692" s="9">
        <f xml:space="preserve"> WYNAJEM47[[#This Row],[energia]] + WYNAJEM47[[#This Row],[woda]]</f>
        <v>9.120000000000001</v>
      </c>
      <c r="I692" s="9"/>
    </row>
    <row r="693" spans="1:9" x14ac:dyDescent="0.25">
      <c r="A693" s="1">
        <v>41934</v>
      </c>
      <c r="B693" s="1">
        <v>41937</v>
      </c>
      <c r="C693" s="8">
        <v>3.94</v>
      </c>
      <c r="D693" s="8">
        <v>0.1</v>
      </c>
      <c r="E693">
        <v>5</v>
      </c>
      <c r="F693" s="10">
        <f>(WYNAJEM47[[#This Row],[data_wyjazdu]]-WYNAJEM47[[#This Row],[data_przyjazdu]])</f>
        <v>3</v>
      </c>
      <c r="G693" s="9">
        <f xml:space="preserve"> WYNAJEM47[[#This Row],[energia]] + WYNAJEM47[[#This Row],[woda]]</f>
        <v>4.04</v>
      </c>
      <c r="I693" s="9"/>
    </row>
    <row r="694" spans="1:9" x14ac:dyDescent="0.25">
      <c r="A694" s="1">
        <v>41934</v>
      </c>
      <c r="B694" s="1">
        <v>41960</v>
      </c>
      <c r="C694" s="8">
        <v>6.23</v>
      </c>
      <c r="D694" s="8">
        <v>0.16</v>
      </c>
      <c r="E694">
        <v>5</v>
      </c>
      <c r="F694" s="10">
        <f>(WYNAJEM47[[#This Row],[data_wyjazdu]]-WYNAJEM47[[#This Row],[data_przyjazdu]])</f>
        <v>26</v>
      </c>
      <c r="G694" s="9">
        <f xml:space="preserve"> WYNAJEM47[[#This Row],[energia]] + WYNAJEM47[[#This Row],[woda]]</f>
        <v>6.3900000000000006</v>
      </c>
      <c r="I694" s="9"/>
    </row>
    <row r="695" spans="1:9" x14ac:dyDescent="0.25">
      <c r="A695" s="1">
        <v>41934</v>
      </c>
      <c r="B695" s="1">
        <v>41961</v>
      </c>
      <c r="C695" s="8">
        <v>9.4600000000000009</v>
      </c>
      <c r="D695" s="8">
        <v>0.25</v>
      </c>
      <c r="E695">
        <v>6</v>
      </c>
      <c r="F695" s="10">
        <f>(WYNAJEM47[[#This Row],[data_wyjazdu]]-WYNAJEM47[[#This Row],[data_przyjazdu]])</f>
        <v>27</v>
      </c>
      <c r="G695" s="9">
        <f xml:space="preserve"> WYNAJEM47[[#This Row],[energia]] + WYNAJEM47[[#This Row],[woda]]</f>
        <v>9.7100000000000009</v>
      </c>
      <c r="I695" s="9"/>
    </row>
    <row r="696" spans="1:9" x14ac:dyDescent="0.25">
      <c r="A696" s="1">
        <v>41934</v>
      </c>
      <c r="B696" s="1">
        <v>41942</v>
      </c>
      <c r="C696" s="8">
        <v>11.42</v>
      </c>
      <c r="D696" s="8">
        <v>0.3</v>
      </c>
      <c r="E696">
        <v>6</v>
      </c>
      <c r="F696" s="10">
        <f>(WYNAJEM47[[#This Row],[data_wyjazdu]]-WYNAJEM47[[#This Row],[data_przyjazdu]])</f>
        <v>8</v>
      </c>
      <c r="G696" s="9">
        <f xml:space="preserve"> WYNAJEM47[[#This Row],[energia]] + WYNAJEM47[[#This Row],[woda]]</f>
        <v>11.72</v>
      </c>
      <c r="I696" s="9"/>
    </row>
    <row r="697" spans="1:9" x14ac:dyDescent="0.25">
      <c r="A697" s="1">
        <v>41934</v>
      </c>
      <c r="B697" s="1">
        <v>41949</v>
      </c>
      <c r="C697" s="8">
        <v>8.84</v>
      </c>
      <c r="D697" s="8">
        <v>0.23</v>
      </c>
      <c r="E697">
        <v>3</v>
      </c>
      <c r="F697" s="10">
        <f>(WYNAJEM47[[#This Row],[data_wyjazdu]]-WYNAJEM47[[#This Row],[data_przyjazdu]])</f>
        <v>15</v>
      </c>
      <c r="G697" s="9">
        <f xml:space="preserve"> WYNAJEM47[[#This Row],[energia]] + WYNAJEM47[[#This Row],[woda]]</f>
        <v>9.07</v>
      </c>
      <c r="I697" s="9"/>
    </row>
    <row r="698" spans="1:9" x14ac:dyDescent="0.25">
      <c r="A698" s="1">
        <v>41934</v>
      </c>
      <c r="B698" s="1">
        <v>41949</v>
      </c>
      <c r="C698" s="8">
        <v>6.34</v>
      </c>
      <c r="D698" s="8">
        <v>0.17</v>
      </c>
      <c r="E698">
        <v>2</v>
      </c>
      <c r="F698" s="10">
        <f>(WYNAJEM47[[#This Row],[data_wyjazdu]]-WYNAJEM47[[#This Row],[data_przyjazdu]])</f>
        <v>15</v>
      </c>
      <c r="G698" s="9">
        <f xml:space="preserve"> WYNAJEM47[[#This Row],[energia]] + WYNAJEM47[[#This Row],[woda]]</f>
        <v>6.51</v>
      </c>
      <c r="I698" s="9"/>
    </row>
    <row r="699" spans="1:9" x14ac:dyDescent="0.25">
      <c r="A699" s="1">
        <v>41934</v>
      </c>
      <c r="B699" s="1">
        <v>41943</v>
      </c>
      <c r="C699" s="8">
        <v>5.67</v>
      </c>
      <c r="D699" s="8">
        <v>0.15</v>
      </c>
      <c r="E699">
        <v>2</v>
      </c>
      <c r="F699" s="10">
        <f>(WYNAJEM47[[#This Row],[data_wyjazdu]]-WYNAJEM47[[#This Row],[data_przyjazdu]])</f>
        <v>9</v>
      </c>
      <c r="G699" s="9">
        <f xml:space="preserve"> WYNAJEM47[[#This Row],[energia]] + WYNAJEM47[[#This Row],[woda]]</f>
        <v>5.82</v>
      </c>
      <c r="I699" s="9"/>
    </row>
    <row r="700" spans="1:9" x14ac:dyDescent="0.25">
      <c r="A700" s="1">
        <v>41934</v>
      </c>
      <c r="B700" s="1">
        <v>41954</v>
      </c>
      <c r="C700" s="8">
        <v>11.78</v>
      </c>
      <c r="D700" s="8">
        <v>0.31</v>
      </c>
      <c r="E700">
        <v>5</v>
      </c>
      <c r="F700" s="10">
        <f>(WYNAJEM47[[#This Row],[data_wyjazdu]]-WYNAJEM47[[#This Row],[data_przyjazdu]])</f>
        <v>20</v>
      </c>
      <c r="G700" s="9">
        <f xml:space="preserve"> WYNAJEM47[[#This Row],[energia]] + WYNAJEM47[[#This Row],[woda]]</f>
        <v>12.09</v>
      </c>
      <c r="I700" s="9"/>
    </row>
    <row r="701" spans="1:9" x14ac:dyDescent="0.25">
      <c r="A701" s="1">
        <v>41934</v>
      </c>
      <c r="B701" s="1">
        <v>41944</v>
      </c>
      <c r="C701" s="8">
        <v>13.82</v>
      </c>
      <c r="D701" s="8">
        <v>0.36</v>
      </c>
      <c r="E701">
        <v>3</v>
      </c>
      <c r="F701" s="10">
        <f>(WYNAJEM47[[#This Row],[data_wyjazdu]]-WYNAJEM47[[#This Row],[data_przyjazdu]])</f>
        <v>10</v>
      </c>
      <c r="G701" s="9">
        <f xml:space="preserve"> WYNAJEM47[[#This Row],[energia]] + WYNAJEM47[[#This Row],[woda]]</f>
        <v>14.18</v>
      </c>
      <c r="I701" s="9"/>
    </row>
    <row r="702" spans="1:9" x14ac:dyDescent="0.25">
      <c r="A702" s="1">
        <v>41934</v>
      </c>
      <c r="B702" s="1">
        <v>41958</v>
      </c>
      <c r="C702" s="8">
        <v>3.57</v>
      </c>
      <c r="D702" s="8">
        <v>0.09</v>
      </c>
      <c r="E702">
        <v>3</v>
      </c>
      <c r="F702" s="10">
        <f>(WYNAJEM47[[#This Row],[data_wyjazdu]]-WYNAJEM47[[#This Row],[data_przyjazdu]])</f>
        <v>24</v>
      </c>
      <c r="G702" s="9">
        <f xml:space="preserve"> WYNAJEM47[[#This Row],[energia]] + WYNAJEM47[[#This Row],[woda]]</f>
        <v>3.6599999999999997</v>
      </c>
      <c r="I702" s="9"/>
    </row>
    <row r="703" spans="1:9" x14ac:dyDescent="0.25">
      <c r="A703" s="1">
        <v>41934</v>
      </c>
      <c r="B703" s="1">
        <v>41954</v>
      </c>
      <c r="C703" s="8">
        <v>6.88</v>
      </c>
      <c r="D703" s="8">
        <v>0.18</v>
      </c>
      <c r="E703">
        <v>3</v>
      </c>
      <c r="F703" s="10">
        <f>(WYNAJEM47[[#This Row],[data_wyjazdu]]-WYNAJEM47[[#This Row],[data_przyjazdu]])</f>
        <v>20</v>
      </c>
      <c r="G703" s="9">
        <f xml:space="preserve"> WYNAJEM47[[#This Row],[energia]] + WYNAJEM47[[#This Row],[woda]]</f>
        <v>7.06</v>
      </c>
      <c r="I703" s="9"/>
    </row>
    <row r="704" spans="1:9" x14ac:dyDescent="0.25">
      <c r="A704" s="1">
        <v>41934</v>
      </c>
      <c r="B704" s="1">
        <v>41958</v>
      </c>
      <c r="C704" s="8">
        <v>7.3</v>
      </c>
      <c r="D704" s="8">
        <v>0.19</v>
      </c>
      <c r="E704">
        <v>5</v>
      </c>
      <c r="F704" s="10">
        <f>(WYNAJEM47[[#This Row],[data_wyjazdu]]-WYNAJEM47[[#This Row],[data_przyjazdu]])</f>
        <v>24</v>
      </c>
      <c r="G704" s="9">
        <f xml:space="preserve"> WYNAJEM47[[#This Row],[energia]] + WYNAJEM47[[#This Row],[woda]]</f>
        <v>7.49</v>
      </c>
      <c r="I704" s="9"/>
    </row>
    <row r="705" spans="1:9" x14ac:dyDescent="0.25">
      <c r="A705" s="1">
        <v>41934</v>
      </c>
      <c r="B705" s="1">
        <v>41955</v>
      </c>
      <c r="C705" s="8">
        <v>9.74</v>
      </c>
      <c r="D705" s="8">
        <v>0.26</v>
      </c>
      <c r="E705">
        <v>2</v>
      </c>
      <c r="F705" s="10">
        <f>(WYNAJEM47[[#This Row],[data_wyjazdu]]-WYNAJEM47[[#This Row],[data_przyjazdu]])</f>
        <v>21</v>
      </c>
      <c r="G705" s="9">
        <f xml:space="preserve"> WYNAJEM47[[#This Row],[energia]] + WYNAJEM47[[#This Row],[woda]]</f>
        <v>10</v>
      </c>
      <c r="I705" s="9"/>
    </row>
    <row r="706" spans="1:9" x14ac:dyDescent="0.25">
      <c r="A706" s="1">
        <v>41934</v>
      </c>
      <c r="B706" s="1">
        <v>41945</v>
      </c>
      <c r="C706" s="8">
        <v>8.65</v>
      </c>
      <c r="D706" s="8">
        <v>0.23</v>
      </c>
      <c r="E706">
        <v>2</v>
      </c>
      <c r="F706" s="10">
        <f>(WYNAJEM47[[#This Row],[data_wyjazdu]]-WYNAJEM47[[#This Row],[data_przyjazdu]])</f>
        <v>11</v>
      </c>
      <c r="G706" s="9">
        <f xml:space="preserve"> WYNAJEM47[[#This Row],[energia]] + WYNAJEM47[[#This Row],[woda]]</f>
        <v>8.8800000000000008</v>
      </c>
      <c r="I706" s="9"/>
    </row>
    <row r="707" spans="1:9" x14ac:dyDescent="0.25">
      <c r="A707" s="1">
        <v>41934</v>
      </c>
      <c r="B707" s="1">
        <v>41954</v>
      </c>
      <c r="C707" s="8">
        <v>3.57</v>
      </c>
      <c r="D707" s="8">
        <v>0.09</v>
      </c>
      <c r="E707">
        <v>5</v>
      </c>
      <c r="F707" s="10">
        <f>(WYNAJEM47[[#This Row],[data_wyjazdu]]-WYNAJEM47[[#This Row],[data_przyjazdu]])</f>
        <v>20</v>
      </c>
      <c r="G707" s="9">
        <f xml:space="preserve"> WYNAJEM47[[#This Row],[energia]] + WYNAJEM47[[#This Row],[woda]]</f>
        <v>3.6599999999999997</v>
      </c>
      <c r="I707" s="9"/>
    </row>
    <row r="708" spans="1:9" x14ac:dyDescent="0.25">
      <c r="A708" s="1">
        <v>41934</v>
      </c>
      <c r="B708" s="1">
        <v>41951</v>
      </c>
      <c r="C708" s="8">
        <v>4.25</v>
      </c>
      <c r="D708" s="8">
        <v>0.11</v>
      </c>
      <c r="E708">
        <v>6</v>
      </c>
      <c r="F708" s="10">
        <f>(WYNAJEM47[[#This Row],[data_wyjazdu]]-WYNAJEM47[[#This Row],[data_przyjazdu]])</f>
        <v>17</v>
      </c>
      <c r="G708" s="9">
        <f xml:space="preserve"> WYNAJEM47[[#This Row],[energia]] + WYNAJEM47[[#This Row],[woda]]</f>
        <v>4.3600000000000003</v>
      </c>
      <c r="I708" s="9"/>
    </row>
    <row r="709" spans="1:9" x14ac:dyDescent="0.25">
      <c r="A709" s="1">
        <v>41934</v>
      </c>
      <c r="B709" s="1">
        <v>41938</v>
      </c>
      <c r="C709" s="8">
        <v>13.02</v>
      </c>
      <c r="D709" s="8">
        <v>0.34</v>
      </c>
      <c r="E709">
        <v>2</v>
      </c>
      <c r="F709" s="10">
        <f>(WYNAJEM47[[#This Row],[data_wyjazdu]]-WYNAJEM47[[#This Row],[data_przyjazdu]])</f>
        <v>4</v>
      </c>
      <c r="G709" s="9">
        <f xml:space="preserve"> WYNAJEM47[[#This Row],[energia]] + WYNAJEM47[[#This Row],[woda]]</f>
        <v>13.36</v>
      </c>
      <c r="I709" s="9"/>
    </row>
    <row r="710" spans="1:9" x14ac:dyDescent="0.25">
      <c r="A710" s="1">
        <v>41935</v>
      </c>
      <c r="B710" s="1">
        <v>41945</v>
      </c>
      <c r="C710" s="8">
        <v>11.44</v>
      </c>
      <c r="D710" s="8">
        <v>0.3</v>
      </c>
      <c r="E710">
        <v>6</v>
      </c>
      <c r="F710" s="10">
        <f>(WYNAJEM47[[#This Row],[data_wyjazdu]]-WYNAJEM47[[#This Row],[data_przyjazdu]])</f>
        <v>10</v>
      </c>
      <c r="G710" s="9">
        <f xml:space="preserve"> WYNAJEM47[[#This Row],[energia]] + WYNAJEM47[[#This Row],[woda]]</f>
        <v>11.74</v>
      </c>
      <c r="I710" s="9"/>
    </row>
    <row r="711" spans="1:9" x14ac:dyDescent="0.25">
      <c r="A711" s="1">
        <v>41935</v>
      </c>
      <c r="B711" s="1">
        <v>41954</v>
      </c>
      <c r="C711" s="8">
        <v>11.78</v>
      </c>
      <c r="D711" s="8">
        <v>0.31</v>
      </c>
      <c r="E711">
        <v>5</v>
      </c>
      <c r="F711" s="10">
        <f>(WYNAJEM47[[#This Row],[data_wyjazdu]]-WYNAJEM47[[#This Row],[data_przyjazdu]])</f>
        <v>19</v>
      </c>
      <c r="G711" s="9">
        <f xml:space="preserve"> WYNAJEM47[[#This Row],[energia]] + WYNAJEM47[[#This Row],[woda]]</f>
        <v>12.09</v>
      </c>
      <c r="I711" s="9"/>
    </row>
    <row r="712" spans="1:9" x14ac:dyDescent="0.25">
      <c r="A712" s="1">
        <v>41935</v>
      </c>
      <c r="B712" s="1">
        <v>41944</v>
      </c>
      <c r="C712" s="8">
        <v>7.31</v>
      </c>
      <c r="D712" s="8">
        <v>0.19</v>
      </c>
      <c r="E712">
        <v>2</v>
      </c>
      <c r="F712" s="10">
        <f>(WYNAJEM47[[#This Row],[data_wyjazdu]]-WYNAJEM47[[#This Row],[data_przyjazdu]])</f>
        <v>9</v>
      </c>
      <c r="G712" s="9">
        <f xml:space="preserve"> WYNAJEM47[[#This Row],[energia]] + WYNAJEM47[[#This Row],[woda]]</f>
        <v>7.5</v>
      </c>
      <c r="I712" s="9"/>
    </row>
    <row r="713" spans="1:9" x14ac:dyDescent="0.25">
      <c r="A713" s="1">
        <v>41935</v>
      </c>
      <c r="B713" s="1">
        <v>41940</v>
      </c>
      <c r="C713" s="8">
        <v>3.79</v>
      </c>
      <c r="D713" s="8">
        <v>0.1</v>
      </c>
      <c r="E713">
        <v>4</v>
      </c>
      <c r="F713" s="10">
        <f>(WYNAJEM47[[#This Row],[data_wyjazdu]]-WYNAJEM47[[#This Row],[data_przyjazdu]])</f>
        <v>5</v>
      </c>
      <c r="G713" s="9">
        <f xml:space="preserve"> WYNAJEM47[[#This Row],[energia]] + WYNAJEM47[[#This Row],[woda]]</f>
        <v>3.89</v>
      </c>
      <c r="I713" s="9"/>
    </row>
    <row r="714" spans="1:9" x14ac:dyDescent="0.25">
      <c r="A714" s="1">
        <v>41935</v>
      </c>
      <c r="B714" s="1">
        <v>41947</v>
      </c>
      <c r="C714" s="8">
        <v>11.42</v>
      </c>
      <c r="D714" s="8">
        <v>0.3</v>
      </c>
      <c r="E714">
        <v>3</v>
      </c>
      <c r="F714" s="10">
        <f>(WYNAJEM47[[#This Row],[data_wyjazdu]]-WYNAJEM47[[#This Row],[data_przyjazdu]])</f>
        <v>12</v>
      </c>
      <c r="G714" s="9">
        <f xml:space="preserve"> WYNAJEM47[[#This Row],[energia]] + WYNAJEM47[[#This Row],[woda]]</f>
        <v>11.72</v>
      </c>
      <c r="I714" s="9"/>
    </row>
    <row r="715" spans="1:9" x14ac:dyDescent="0.25">
      <c r="A715" s="1">
        <v>41935</v>
      </c>
      <c r="B715" s="1">
        <v>41955</v>
      </c>
      <c r="C715" s="8">
        <v>7.31</v>
      </c>
      <c r="D715" s="8">
        <v>0.19</v>
      </c>
      <c r="E715">
        <v>6</v>
      </c>
      <c r="F715" s="10">
        <f>(WYNAJEM47[[#This Row],[data_wyjazdu]]-WYNAJEM47[[#This Row],[data_przyjazdu]])</f>
        <v>20</v>
      </c>
      <c r="G715" s="9">
        <f xml:space="preserve"> WYNAJEM47[[#This Row],[energia]] + WYNAJEM47[[#This Row],[woda]]</f>
        <v>7.5</v>
      </c>
      <c r="I715" s="9"/>
    </row>
    <row r="716" spans="1:9" x14ac:dyDescent="0.25">
      <c r="A716" s="1">
        <v>41935</v>
      </c>
      <c r="B716" s="1">
        <v>41940</v>
      </c>
      <c r="C716" s="8">
        <v>3.73</v>
      </c>
      <c r="D716" s="8">
        <v>0.1</v>
      </c>
      <c r="E716">
        <v>2</v>
      </c>
      <c r="F716" s="10">
        <f>(WYNAJEM47[[#This Row],[data_wyjazdu]]-WYNAJEM47[[#This Row],[data_przyjazdu]])</f>
        <v>5</v>
      </c>
      <c r="G716" s="9">
        <f xml:space="preserve"> WYNAJEM47[[#This Row],[energia]] + WYNAJEM47[[#This Row],[woda]]</f>
        <v>3.83</v>
      </c>
      <c r="I716" s="9"/>
    </row>
    <row r="717" spans="1:9" x14ac:dyDescent="0.25">
      <c r="A717" s="1">
        <v>41935</v>
      </c>
      <c r="B717" s="1">
        <v>41957</v>
      </c>
      <c r="C717" s="8">
        <v>9.06</v>
      </c>
      <c r="D717" s="8">
        <v>0.24</v>
      </c>
      <c r="E717">
        <v>2</v>
      </c>
      <c r="F717" s="10">
        <f>(WYNAJEM47[[#This Row],[data_wyjazdu]]-WYNAJEM47[[#This Row],[data_przyjazdu]])</f>
        <v>22</v>
      </c>
      <c r="G717" s="9">
        <f xml:space="preserve"> WYNAJEM47[[#This Row],[energia]] + WYNAJEM47[[#This Row],[woda]]</f>
        <v>9.3000000000000007</v>
      </c>
      <c r="I717" s="9"/>
    </row>
    <row r="718" spans="1:9" x14ac:dyDescent="0.25">
      <c r="A718" s="1">
        <v>41935</v>
      </c>
      <c r="B718" s="1">
        <v>41956</v>
      </c>
      <c r="C718" s="8">
        <v>11.69</v>
      </c>
      <c r="D718" s="8">
        <v>0.31</v>
      </c>
      <c r="E718">
        <v>2</v>
      </c>
      <c r="F718" s="10">
        <f>(WYNAJEM47[[#This Row],[data_wyjazdu]]-WYNAJEM47[[#This Row],[data_przyjazdu]])</f>
        <v>21</v>
      </c>
      <c r="G718" s="9">
        <f xml:space="preserve"> WYNAJEM47[[#This Row],[energia]] + WYNAJEM47[[#This Row],[woda]]</f>
        <v>12</v>
      </c>
      <c r="I718" s="9"/>
    </row>
    <row r="719" spans="1:9" x14ac:dyDescent="0.25">
      <c r="A719" s="1">
        <v>41935</v>
      </c>
      <c r="B719" s="1">
        <v>41960</v>
      </c>
      <c r="C719" s="8">
        <v>10.79</v>
      </c>
      <c r="D719" s="8">
        <v>0.28000000000000003</v>
      </c>
      <c r="E719">
        <v>3</v>
      </c>
      <c r="F719" s="10">
        <f>(WYNAJEM47[[#This Row],[data_wyjazdu]]-WYNAJEM47[[#This Row],[data_przyjazdu]])</f>
        <v>25</v>
      </c>
      <c r="G719" s="9">
        <f xml:space="preserve"> WYNAJEM47[[#This Row],[energia]] + WYNAJEM47[[#This Row],[woda]]</f>
        <v>11.069999999999999</v>
      </c>
      <c r="I719" s="9"/>
    </row>
    <row r="720" spans="1:9" x14ac:dyDescent="0.25">
      <c r="A720" s="1">
        <v>41935</v>
      </c>
      <c r="B720" s="1">
        <v>41946</v>
      </c>
      <c r="C720" s="8">
        <v>14.13</v>
      </c>
      <c r="D720" s="8">
        <v>0.37</v>
      </c>
      <c r="E720">
        <v>6</v>
      </c>
      <c r="F720" s="10">
        <f>(WYNAJEM47[[#This Row],[data_wyjazdu]]-WYNAJEM47[[#This Row],[data_przyjazdu]])</f>
        <v>11</v>
      </c>
      <c r="G720" s="9">
        <f xml:space="preserve"> WYNAJEM47[[#This Row],[energia]] + WYNAJEM47[[#This Row],[woda]]</f>
        <v>14.5</v>
      </c>
      <c r="I720" s="9"/>
    </row>
    <row r="721" spans="1:9" x14ac:dyDescent="0.25">
      <c r="A721" s="1">
        <v>41935</v>
      </c>
      <c r="B721" s="1">
        <v>41959</v>
      </c>
      <c r="C721" s="8">
        <v>8.7200000000000006</v>
      </c>
      <c r="D721" s="8">
        <v>0.23</v>
      </c>
      <c r="E721">
        <v>2</v>
      </c>
      <c r="F721" s="10">
        <f>(WYNAJEM47[[#This Row],[data_wyjazdu]]-WYNAJEM47[[#This Row],[data_przyjazdu]])</f>
        <v>24</v>
      </c>
      <c r="G721" s="9">
        <f xml:space="preserve"> WYNAJEM47[[#This Row],[energia]] + WYNAJEM47[[#This Row],[woda]]</f>
        <v>8.9500000000000011</v>
      </c>
      <c r="I721" s="9"/>
    </row>
    <row r="722" spans="1:9" x14ac:dyDescent="0.25">
      <c r="A722" s="1">
        <v>41936</v>
      </c>
      <c r="B722" s="1">
        <v>41951</v>
      </c>
      <c r="C722" s="8">
        <v>3.94</v>
      </c>
      <c r="D722" s="8">
        <v>0.1</v>
      </c>
      <c r="E722">
        <v>5</v>
      </c>
      <c r="F722" s="10">
        <f>(WYNAJEM47[[#This Row],[data_wyjazdu]]-WYNAJEM47[[#This Row],[data_przyjazdu]])</f>
        <v>15</v>
      </c>
      <c r="G722" s="9">
        <f xml:space="preserve"> WYNAJEM47[[#This Row],[energia]] + WYNAJEM47[[#This Row],[woda]]</f>
        <v>4.04</v>
      </c>
      <c r="I722" s="9"/>
    </row>
    <row r="723" spans="1:9" x14ac:dyDescent="0.25">
      <c r="A723" s="1">
        <v>41936</v>
      </c>
      <c r="B723" s="1">
        <v>41964</v>
      </c>
      <c r="C723" s="8">
        <v>3.73</v>
      </c>
      <c r="D723" s="8">
        <v>0.1</v>
      </c>
      <c r="E723">
        <v>3</v>
      </c>
      <c r="F723" s="10">
        <f>(WYNAJEM47[[#This Row],[data_wyjazdu]]-WYNAJEM47[[#This Row],[data_przyjazdu]])</f>
        <v>28</v>
      </c>
      <c r="G723" s="9">
        <f xml:space="preserve"> WYNAJEM47[[#This Row],[energia]] + WYNAJEM47[[#This Row],[woda]]</f>
        <v>3.83</v>
      </c>
      <c r="I723" s="9"/>
    </row>
    <row r="724" spans="1:9" x14ac:dyDescent="0.25">
      <c r="A724" s="1">
        <v>41937</v>
      </c>
      <c r="B724" s="1">
        <v>41963</v>
      </c>
      <c r="C724" s="8">
        <v>3.94</v>
      </c>
      <c r="D724" s="8">
        <v>0.1</v>
      </c>
      <c r="E724">
        <v>4</v>
      </c>
      <c r="F724" s="10">
        <f>(WYNAJEM47[[#This Row],[data_wyjazdu]]-WYNAJEM47[[#This Row],[data_przyjazdu]])</f>
        <v>26</v>
      </c>
      <c r="G724" s="9">
        <f xml:space="preserve"> WYNAJEM47[[#This Row],[energia]] + WYNAJEM47[[#This Row],[woda]]</f>
        <v>4.04</v>
      </c>
      <c r="I724" s="9"/>
    </row>
    <row r="725" spans="1:9" x14ac:dyDescent="0.25">
      <c r="A725" s="1">
        <v>41937</v>
      </c>
      <c r="B725" s="1">
        <v>41964</v>
      </c>
      <c r="C725" s="8">
        <v>3.57</v>
      </c>
      <c r="D725" s="8">
        <v>0.09</v>
      </c>
      <c r="E725">
        <v>2</v>
      </c>
      <c r="F725" s="10">
        <f>(WYNAJEM47[[#This Row],[data_wyjazdu]]-WYNAJEM47[[#This Row],[data_przyjazdu]])</f>
        <v>27</v>
      </c>
      <c r="G725" s="9">
        <f xml:space="preserve"> WYNAJEM47[[#This Row],[energia]] + WYNAJEM47[[#This Row],[woda]]</f>
        <v>3.6599999999999997</v>
      </c>
      <c r="I725" s="9"/>
    </row>
    <row r="726" spans="1:9" x14ac:dyDescent="0.25">
      <c r="A726" s="1">
        <v>41937</v>
      </c>
      <c r="B726" s="1">
        <v>41943</v>
      </c>
      <c r="C726" s="8">
        <v>7.31</v>
      </c>
      <c r="D726" s="8">
        <v>0.19</v>
      </c>
      <c r="E726">
        <v>3</v>
      </c>
      <c r="F726" s="10">
        <f>(WYNAJEM47[[#This Row],[data_wyjazdu]]-WYNAJEM47[[#This Row],[data_przyjazdu]])</f>
        <v>6</v>
      </c>
      <c r="G726" s="9">
        <f xml:space="preserve"> WYNAJEM47[[#This Row],[energia]] + WYNAJEM47[[#This Row],[woda]]</f>
        <v>7.5</v>
      </c>
      <c r="I726" s="9"/>
    </row>
    <row r="727" spans="1:9" x14ac:dyDescent="0.25">
      <c r="A727" s="1">
        <v>41938</v>
      </c>
      <c r="B727" s="1">
        <v>41964</v>
      </c>
      <c r="C727" s="8">
        <v>6.58</v>
      </c>
      <c r="D727" s="8">
        <v>0.17</v>
      </c>
      <c r="E727">
        <v>5</v>
      </c>
      <c r="F727" s="10">
        <f>(WYNAJEM47[[#This Row],[data_wyjazdu]]-WYNAJEM47[[#This Row],[data_przyjazdu]])</f>
        <v>26</v>
      </c>
      <c r="G727" s="9">
        <f xml:space="preserve"> WYNAJEM47[[#This Row],[energia]] + WYNAJEM47[[#This Row],[woda]]</f>
        <v>6.75</v>
      </c>
      <c r="I727" s="9"/>
    </row>
    <row r="728" spans="1:9" x14ac:dyDescent="0.25">
      <c r="A728" s="1">
        <v>41939</v>
      </c>
      <c r="B728" s="1">
        <v>41964</v>
      </c>
      <c r="C728" s="8">
        <v>3.94</v>
      </c>
      <c r="D728" s="8">
        <v>0.1</v>
      </c>
      <c r="E728">
        <v>5</v>
      </c>
      <c r="F728" s="10">
        <f>(WYNAJEM47[[#This Row],[data_wyjazdu]]-WYNAJEM47[[#This Row],[data_przyjazdu]])</f>
        <v>25</v>
      </c>
      <c r="G728" s="9">
        <f xml:space="preserve"> WYNAJEM47[[#This Row],[energia]] + WYNAJEM47[[#This Row],[woda]]</f>
        <v>4.04</v>
      </c>
      <c r="I728" s="9"/>
    </row>
    <row r="729" spans="1:9" x14ac:dyDescent="0.25">
      <c r="A729" s="1">
        <v>41940</v>
      </c>
      <c r="B729" s="1">
        <v>41946</v>
      </c>
      <c r="C729" s="8">
        <v>5.47</v>
      </c>
      <c r="D729" s="8">
        <v>0.14000000000000001</v>
      </c>
      <c r="E729">
        <v>5</v>
      </c>
      <c r="F729" s="10">
        <f>(WYNAJEM47[[#This Row],[data_wyjazdu]]-WYNAJEM47[[#This Row],[data_przyjazdu]])</f>
        <v>6</v>
      </c>
      <c r="G729" s="9">
        <f xml:space="preserve"> WYNAJEM47[[#This Row],[energia]] + WYNAJEM47[[#This Row],[woda]]</f>
        <v>5.6099999999999994</v>
      </c>
      <c r="I729" s="9"/>
    </row>
    <row r="730" spans="1:9" x14ac:dyDescent="0.25">
      <c r="A730" s="1">
        <v>41941</v>
      </c>
      <c r="B730" s="1">
        <v>41958</v>
      </c>
      <c r="C730" s="8">
        <v>5.23</v>
      </c>
      <c r="D730" s="8">
        <v>0.14000000000000001</v>
      </c>
      <c r="E730">
        <v>3</v>
      </c>
      <c r="F730" s="10">
        <f>(WYNAJEM47[[#This Row],[data_wyjazdu]]-WYNAJEM47[[#This Row],[data_przyjazdu]])</f>
        <v>17</v>
      </c>
      <c r="G730" s="9">
        <f xml:space="preserve"> WYNAJEM47[[#This Row],[energia]] + WYNAJEM47[[#This Row],[woda]]</f>
        <v>5.37</v>
      </c>
      <c r="I730" s="9"/>
    </row>
    <row r="731" spans="1:9" x14ac:dyDescent="0.25">
      <c r="A731" s="1">
        <v>41941</v>
      </c>
      <c r="B731" s="1">
        <v>41962</v>
      </c>
      <c r="C731" s="8">
        <v>6.58</v>
      </c>
      <c r="D731" s="8">
        <v>0.17</v>
      </c>
      <c r="E731">
        <v>5</v>
      </c>
      <c r="F731" s="10">
        <f>(WYNAJEM47[[#This Row],[data_wyjazdu]]-WYNAJEM47[[#This Row],[data_przyjazdu]])</f>
        <v>21</v>
      </c>
      <c r="G731" s="9">
        <f xml:space="preserve"> WYNAJEM47[[#This Row],[energia]] + WYNAJEM47[[#This Row],[woda]]</f>
        <v>6.75</v>
      </c>
      <c r="I731" s="9"/>
    </row>
    <row r="732" spans="1:9" x14ac:dyDescent="0.25">
      <c r="A732" s="1">
        <v>41941</v>
      </c>
      <c r="B732" s="1">
        <v>41957</v>
      </c>
      <c r="C732" s="8">
        <v>3.79</v>
      </c>
      <c r="D732" s="8">
        <v>0.1</v>
      </c>
      <c r="E732">
        <v>4</v>
      </c>
      <c r="F732" s="10">
        <f>(WYNAJEM47[[#This Row],[data_wyjazdu]]-WYNAJEM47[[#This Row],[data_przyjazdu]])</f>
        <v>16</v>
      </c>
      <c r="G732" s="9">
        <f xml:space="preserve"> WYNAJEM47[[#This Row],[energia]] + WYNAJEM47[[#This Row],[woda]]</f>
        <v>3.89</v>
      </c>
      <c r="I732" s="9"/>
    </row>
    <row r="733" spans="1:9" x14ac:dyDescent="0.25">
      <c r="A733" s="1">
        <v>41941</v>
      </c>
      <c r="B733" s="1">
        <v>41953</v>
      </c>
      <c r="C733" s="8">
        <v>5.64</v>
      </c>
      <c r="D733" s="8">
        <v>0.15</v>
      </c>
      <c r="E733">
        <v>6</v>
      </c>
      <c r="F733" s="10">
        <f>(WYNAJEM47[[#This Row],[data_wyjazdu]]-WYNAJEM47[[#This Row],[data_przyjazdu]])</f>
        <v>12</v>
      </c>
      <c r="G733" s="9">
        <f xml:space="preserve"> WYNAJEM47[[#This Row],[energia]] + WYNAJEM47[[#This Row],[woda]]</f>
        <v>5.79</v>
      </c>
      <c r="I733" s="9"/>
    </row>
    <row r="734" spans="1:9" x14ac:dyDescent="0.25">
      <c r="A734" s="1">
        <v>41941</v>
      </c>
      <c r="B734" s="1">
        <v>41944</v>
      </c>
      <c r="C734" s="8">
        <v>11.37</v>
      </c>
      <c r="D734" s="8">
        <v>0.3</v>
      </c>
      <c r="E734">
        <v>2</v>
      </c>
      <c r="F734" s="10">
        <f>(WYNAJEM47[[#This Row],[data_wyjazdu]]-WYNAJEM47[[#This Row],[data_przyjazdu]])</f>
        <v>3</v>
      </c>
      <c r="G734" s="9">
        <f xml:space="preserve"> WYNAJEM47[[#This Row],[energia]] + WYNAJEM47[[#This Row],[woda]]</f>
        <v>11.67</v>
      </c>
      <c r="I734" s="9"/>
    </row>
    <row r="735" spans="1:9" x14ac:dyDescent="0.25">
      <c r="A735" s="1">
        <v>41941</v>
      </c>
      <c r="B735" s="1">
        <v>41969</v>
      </c>
      <c r="C735" s="8">
        <v>8.9499999999999993</v>
      </c>
      <c r="D735" s="8">
        <v>0.24</v>
      </c>
      <c r="E735">
        <v>2</v>
      </c>
      <c r="F735" s="10">
        <f>(WYNAJEM47[[#This Row],[data_wyjazdu]]-WYNAJEM47[[#This Row],[data_przyjazdu]])</f>
        <v>28</v>
      </c>
      <c r="G735" s="9">
        <f xml:space="preserve"> WYNAJEM47[[#This Row],[energia]] + WYNAJEM47[[#This Row],[woda]]</f>
        <v>9.19</v>
      </c>
      <c r="I735" s="9"/>
    </row>
    <row r="736" spans="1:9" x14ac:dyDescent="0.25">
      <c r="A736" s="1">
        <v>41941</v>
      </c>
      <c r="B736" s="1">
        <v>41961</v>
      </c>
      <c r="C736" s="8">
        <v>3.94</v>
      </c>
      <c r="D736" s="8">
        <v>0.1</v>
      </c>
      <c r="E736">
        <v>5</v>
      </c>
      <c r="F736" s="10">
        <f>(WYNAJEM47[[#This Row],[data_wyjazdu]]-WYNAJEM47[[#This Row],[data_przyjazdu]])</f>
        <v>20</v>
      </c>
      <c r="G736" s="9">
        <f xml:space="preserve"> WYNAJEM47[[#This Row],[energia]] + WYNAJEM47[[#This Row],[woda]]</f>
        <v>4.04</v>
      </c>
      <c r="I736" s="9"/>
    </row>
    <row r="737" spans="1:9" x14ac:dyDescent="0.25">
      <c r="A737" s="1">
        <v>41946</v>
      </c>
      <c r="B737" s="1">
        <v>41962</v>
      </c>
      <c r="C737" s="8">
        <v>3.79</v>
      </c>
      <c r="D737" s="8">
        <v>0.1</v>
      </c>
      <c r="E737">
        <v>5</v>
      </c>
      <c r="F737" s="10">
        <f>(WYNAJEM47[[#This Row],[data_wyjazdu]]-WYNAJEM47[[#This Row],[data_przyjazdu]])</f>
        <v>16</v>
      </c>
      <c r="G737" s="9">
        <f xml:space="preserve"> WYNAJEM47[[#This Row],[energia]] + WYNAJEM47[[#This Row],[woda]]</f>
        <v>3.89</v>
      </c>
      <c r="I737" s="9"/>
    </row>
    <row r="738" spans="1:9" x14ac:dyDescent="0.25">
      <c r="A738" s="1">
        <v>41946</v>
      </c>
      <c r="B738" s="1">
        <v>41971</v>
      </c>
      <c r="C738" s="8">
        <v>6.43</v>
      </c>
      <c r="D738" s="8">
        <v>0.17</v>
      </c>
      <c r="E738">
        <v>2</v>
      </c>
      <c r="F738" s="10">
        <f>(WYNAJEM47[[#This Row],[data_wyjazdu]]-WYNAJEM47[[#This Row],[data_przyjazdu]])</f>
        <v>25</v>
      </c>
      <c r="G738" s="9">
        <f xml:space="preserve"> WYNAJEM47[[#This Row],[energia]] + WYNAJEM47[[#This Row],[woda]]</f>
        <v>6.6</v>
      </c>
      <c r="I738" s="9"/>
    </row>
    <row r="739" spans="1:9" x14ac:dyDescent="0.25">
      <c r="A739" s="1">
        <v>41946</v>
      </c>
      <c r="B739" s="1">
        <v>41948</v>
      </c>
      <c r="C739" s="8">
        <v>8.5399999999999991</v>
      </c>
      <c r="D739" s="8">
        <v>0.22</v>
      </c>
      <c r="E739">
        <v>6</v>
      </c>
      <c r="F739" s="10">
        <f>(WYNAJEM47[[#This Row],[data_wyjazdu]]-WYNAJEM47[[#This Row],[data_przyjazdu]])</f>
        <v>2</v>
      </c>
      <c r="G739" s="9">
        <f xml:space="preserve"> WYNAJEM47[[#This Row],[energia]] + WYNAJEM47[[#This Row],[woda]]</f>
        <v>8.76</v>
      </c>
      <c r="I739" s="9"/>
    </row>
    <row r="740" spans="1:9" x14ac:dyDescent="0.25">
      <c r="A740" s="1">
        <v>41946</v>
      </c>
      <c r="B740" s="1">
        <v>41956</v>
      </c>
      <c r="C740" s="8">
        <v>13.02</v>
      </c>
      <c r="D740" s="8">
        <v>0.34</v>
      </c>
      <c r="E740">
        <v>3</v>
      </c>
      <c r="F740" s="10">
        <f>(WYNAJEM47[[#This Row],[data_wyjazdu]]-WYNAJEM47[[#This Row],[data_przyjazdu]])</f>
        <v>10</v>
      </c>
      <c r="G740" s="9">
        <f xml:space="preserve"> WYNAJEM47[[#This Row],[energia]] + WYNAJEM47[[#This Row],[woda]]</f>
        <v>13.36</v>
      </c>
      <c r="I740" s="9"/>
    </row>
    <row r="741" spans="1:9" x14ac:dyDescent="0.25">
      <c r="A741" s="1">
        <v>41946</v>
      </c>
      <c r="B741" s="1">
        <v>41960</v>
      </c>
      <c r="C741" s="8">
        <v>5.64</v>
      </c>
      <c r="D741" s="8">
        <v>0.15</v>
      </c>
      <c r="E741">
        <v>4</v>
      </c>
      <c r="F741" s="10">
        <f>(WYNAJEM47[[#This Row],[data_wyjazdu]]-WYNAJEM47[[#This Row],[data_przyjazdu]])</f>
        <v>14</v>
      </c>
      <c r="G741" s="9">
        <f xml:space="preserve"> WYNAJEM47[[#This Row],[energia]] + WYNAJEM47[[#This Row],[woda]]</f>
        <v>5.79</v>
      </c>
      <c r="I741" s="9"/>
    </row>
    <row r="742" spans="1:9" x14ac:dyDescent="0.25">
      <c r="A742" s="1">
        <v>41946</v>
      </c>
      <c r="B742" s="1">
        <v>41966</v>
      </c>
      <c r="C742" s="8">
        <v>4.66</v>
      </c>
      <c r="D742" s="8">
        <v>0.12</v>
      </c>
      <c r="E742">
        <v>6</v>
      </c>
      <c r="F742" s="10">
        <f>(WYNAJEM47[[#This Row],[data_wyjazdu]]-WYNAJEM47[[#This Row],[data_przyjazdu]])</f>
        <v>20</v>
      </c>
      <c r="G742" s="9">
        <f xml:space="preserve"> WYNAJEM47[[#This Row],[energia]] + WYNAJEM47[[#This Row],[woda]]</f>
        <v>4.78</v>
      </c>
      <c r="I742" s="9"/>
    </row>
    <row r="743" spans="1:9" x14ac:dyDescent="0.25">
      <c r="A743" s="1">
        <v>41946</v>
      </c>
      <c r="B743" s="1">
        <v>41968</v>
      </c>
      <c r="C743" s="8">
        <v>7.71</v>
      </c>
      <c r="D743" s="8">
        <v>0.2</v>
      </c>
      <c r="E743">
        <v>5</v>
      </c>
      <c r="F743" s="10">
        <f>(WYNAJEM47[[#This Row],[data_wyjazdu]]-WYNAJEM47[[#This Row],[data_przyjazdu]])</f>
        <v>22</v>
      </c>
      <c r="G743" s="9">
        <f xml:space="preserve"> WYNAJEM47[[#This Row],[energia]] + WYNAJEM47[[#This Row],[woda]]</f>
        <v>7.91</v>
      </c>
      <c r="I743" s="9"/>
    </row>
    <row r="744" spans="1:9" x14ac:dyDescent="0.25">
      <c r="A744" s="1">
        <v>41946</v>
      </c>
      <c r="B744" s="1">
        <v>41951</v>
      </c>
      <c r="C744" s="8">
        <v>7.71</v>
      </c>
      <c r="D744" s="8">
        <v>0.2</v>
      </c>
      <c r="E744">
        <v>6</v>
      </c>
      <c r="F744" s="10">
        <f>(WYNAJEM47[[#This Row],[data_wyjazdu]]-WYNAJEM47[[#This Row],[data_przyjazdu]])</f>
        <v>5</v>
      </c>
      <c r="G744" s="9">
        <f xml:space="preserve"> WYNAJEM47[[#This Row],[energia]] + WYNAJEM47[[#This Row],[woda]]</f>
        <v>7.91</v>
      </c>
      <c r="I744" s="9"/>
    </row>
    <row r="745" spans="1:9" x14ac:dyDescent="0.25">
      <c r="A745" s="1">
        <v>41946</v>
      </c>
      <c r="B745" s="1">
        <v>41957</v>
      </c>
      <c r="C745" s="8">
        <v>6.34</v>
      </c>
      <c r="D745" s="8">
        <v>0.17</v>
      </c>
      <c r="E745">
        <v>3</v>
      </c>
      <c r="F745" s="10">
        <f>(WYNAJEM47[[#This Row],[data_wyjazdu]]-WYNAJEM47[[#This Row],[data_przyjazdu]])</f>
        <v>11</v>
      </c>
      <c r="G745" s="9">
        <f xml:space="preserve"> WYNAJEM47[[#This Row],[energia]] + WYNAJEM47[[#This Row],[woda]]</f>
        <v>6.51</v>
      </c>
      <c r="I745" s="9"/>
    </row>
    <row r="746" spans="1:9" x14ac:dyDescent="0.25">
      <c r="A746" s="1">
        <v>41946</v>
      </c>
      <c r="B746" s="1">
        <v>41954</v>
      </c>
      <c r="C746" s="8">
        <v>11.37</v>
      </c>
      <c r="D746" s="8">
        <v>0.3</v>
      </c>
      <c r="E746">
        <v>2</v>
      </c>
      <c r="F746" s="10">
        <f>(WYNAJEM47[[#This Row],[data_wyjazdu]]-WYNAJEM47[[#This Row],[data_przyjazdu]])</f>
        <v>8</v>
      </c>
      <c r="G746" s="9">
        <f xml:space="preserve"> WYNAJEM47[[#This Row],[energia]] + WYNAJEM47[[#This Row],[woda]]</f>
        <v>11.67</v>
      </c>
      <c r="I746" s="9"/>
    </row>
    <row r="747" spans="1:9" x14ac:dyDescent="0.25">
      <c r="A747" s="1">
        <v>41946</v>
      </c>
      <c r="B747" s="1">
        <v>41953</v>
      </c>
      <c r="C747" s="8">
        <v>6.34</v>
      </c>
      <c r="D747" s="8">
        <v>0.17</v>
      </c>
      <c r="E747">
        <v>2</v>
      </c>
      <c r="F747" s="10">
        <f>(WYNAJEM47[[#This Row],[data_wyjazdu]]-WYNAJEM47[[#This Row],[data_przyjazdu]])</f>
        <v>7</v>
      </c>
      <c r="G747" s="9">
        <f xml:space="preserve"> WYNAJEM47[[#This Row],[energia]] + WYNAJEM47[[#This Row],[woda]]</f>
        <v>6.51</v>
      </c>
      <c r="I747" s="9"/>
    </row>
    <row r="748" spans="1:9" x14ac:dyDescent="0.25">
      <c r="A748" s="1">
        <v>41946</v>
      </c>
      <c r="B748" s="1">
        <v>41955</v>
      </c>
      <c r="C748" s="8">
        <v>3.57</v>
      </c>
      <c r="D748" s="8">
        <v>0.09</v>
      </c>
      <c r="E748">
        <v>6</v>
      </c>
      <c r="F748" s="10">
        <f>(WYNAJEM47[[#This Row],[data_wyjazdu]]-WYNAJEM47[[#This Row],[data_przyjazdu]])</f>
        <v>9</v>
      </c>
      <c r="G748" s="9">
        <f xml:space="preserve"> WYNAJEM47[[#This Row],[energia]] + WYNAJEM47[[#This Row],[woda]]</f>
        <v>3.6599999999999997</v>
      </c>
      <c r="I748" s="9"/>
    </row>
    <row r="749" spans="1:9" x14ac:dyDescent="0.25">
      <c r="A749" s="1">
        <v>41946</v>
      </c>
      <c r="B749" s="1">
        <v>41964</v>
      </c>
      <c r="C749" s="8">
        <v>7.31</v>
      </c>
      <c r="D749" s="8">
        <v>0.19</v>
      </c>
      <c r="E749">
        <v>3</v>
      </c>
      <c r="F749" s="10">
        <f>(WYNAJEM47[[#This Row],[data_wyjazdu]]-WYNAJEM47[[#This Row],[data_przyjazdu]])</f>
        <v>18</v>
      </c>
      <c r="G749" s="9">
        <f xml:space="preserve"> WYNAJEM47[[#This Row],[energia]] + WYNAJEM47[[#This Row],[woda]]</f>
        <v>7.5</v>
      </c>
      <c r="I749" s="9"/>
    </row>
    <row r="750" spans="1:9" x14ac:dyDescent="0.25">
      <c r="A750" s="1">
        <v>41946</v>
      </c>
      <c r="B750" s="1">
        <v>41966</v>
      </c>
      <c r="C750" s="8">
        <v>5.64</v>
      </c>
      <c r="D750" s="8">
        <v>0.15</v>
      </c>
      <c r="E750">
        <v>6</v>
      </c>
      <c r="F750" s="10">
        <f>(WYNAJEM47[[#This Row],[data_wyjazdu]]-WYNAJEM47[[#This Row],[data_przyjazdu]])</f>
        <v>20</v>
      </c>
      <c r="G750" s="9">
        <f xml:space="preserve"> WYNAJEM47[[#This Row],[energia]] + WYNAJEM47[[#This Row],[woda]]</f>
        <v>5.79</v>
      </c>
      <c r="I750" s="9"/>
    </row>
    <row r="751" spans="1:9" x14ac:dyDescent="0.25">
      <c r="A751" s="1">
        <v>41946</v>
      </c>
      <c r="B751" s="1">
        <v>41964</v>
      </c>
      <c r="C751" s="8">
        <v>4.25</v>
      </c>
      <c r="D751" s="8">
        <v>0.11</v>
      </c>
      <c r="E751">
        <v>6</v>
      </c>
      <c r="F751" s="10">
        <f>(WYNAJEM47[[#This Row],[data_wyjazdu]]-WYNAJEM47[[#This Row],[data_przyjazdu]])</f>
        <v>18</v>
      </c>
      <c r="G751" s="9">
        <f xml:space="preserve"> WYNAJEM47[[#This Row],[energia]] + WYNAJEM47[[#This Row],[woda]]</f>
        <v>4.3600000000000003</v>
      </c>
      <c r="I751" s="9"/>
    </row>
    <row r="752" spans="1:9" x14ac:dyDescent="0.25">
      <c r="A752" s="1">
        <v>41946</v>
      </c>
      <c r="B752" s="1">
        <v>41953</v>
      </c>
      <c r="C752" s="8">
        <v>9.1300000000000008</v>
      </c>
      <c r="D752" s="8">
        <v>0.24</v>
      </c>
      <c r="E752">
        <v>5</v>
      </c>
      <c r="F752" s="10">
        <f>(WYNAJEM47[[#This Row],[data_wyjazdu]]-WYNAJEM47[[#This Row],[data_przyjazdu]])</f>
        <v>7</v>
      </c>
      <c r="G752" s="9">
        <f xml:space="preserve"> WYNAJEM47[[#This Row],[energia]] + WYNAJEM47[[#This Row],[woda]]</f>
        <v>9.370000000000001</v>
      </c>
      <c r="I752" s="9"/>
    </row>
    <row r="753" spans="1:9" x14ac:dyDescent="0.25">
      <c r="A753" s="1">
        <v>41946</v>
      </c>
      <c r="B753" s="1">
        <v>41956</v>
      </c>
      <c r="C753" s="8">
        <v>3.79</v>
      </c>
      <c r="D753" s="8">
        <v>0.1</v>
      </c>
      <c r="E753">
        <v>6</v>
      </c>
      <c r="F753" s="10">
        <f>(WYNAJEM47[[#This Row],[data_wyjazdu]]-WYNAJEM47[[#This Row],[data_przyjazdu]])</f>
        <v>10</v>
      </c>
      <c r="G753" s="9">
        <f xml:space="preserve"> WYNAJEM47[[#This Row],[energia]] + WYNAJEM47[[#This Row],[woda]]</f>
        <v>3.89</v>
      </c>
      <c r="I753" s="9"/>
    </row>
    <row r="754" spans="1:9" x14ac:dyDescent="0.25">
      <c r="A754" s="1">
        <v>41946</v>
      </c>
      <c r="B754" s="1">
        <v>41948</v>
      </c>
      <c r="C754" s="8">
        <v>9.1300000000000008</v>
      </c>
      <c r="D754" s="8">
        <v>0.24</v>
      </c>
      <c r="E754">
        <v>4</v>
      </c>
      <c r="F754" s="10">
        <f>(WYNAJEM47[[#This Row],[data_wyjazdu]]-WYNAJEM47[[#This Row],[data_przyjazdu]])</f>
        <v>2</v>
      </c>
      <c r="G754" s="9">
        <f xml:space="preserve"> WYNAJEM47[[#This Row],[energia]] + WYNAJEM47[[#This Row],[woda]]</f>
        <v>9.370000000000001</v>
      </c>
      <c r="I754" s="9"/>
    </row>
    <row r="755" spans="1:9" x14ac:dyDescent="0.25">
      <c r="A755" s="1">
        <v>41947</v>
      </c>
      <c r="B755" s="1">
        <v>41960</v>
      </c>
      <c r="C755" s="8">
        <v>11.44</v>
      </c>
      <c r="D755" s="8">
        <v>0.3</v>
      </c>
      <c r="E755">
        <v>6</v>
      </c>
      <c r="F755" s="10">
        <f>(WYNAJEM47[[#This Row],[data_wyjazdu]]-WYNAJEM47[[#This Row],[data_przyjazdu]])</f>
        <v>13</v>
      </c>
      <c r="G755" s="9">
        <f xml:space="preserve"> WYNAJEM47[[#This Row],[energia]] + WYNAJEM47[[#This Row],[woda]]</f>
        <v>11.74</v>
      </c>
      <c r="I755" s="9"/>
    </row>
    <row r="756" spans="1:9" x14ac:dyDescent="0.25">
      <c r="A756" s="1">
        <v>41947</v>
      </c>
      <c r="B756" s="1">
        <v>41972</v>
      </c>
      <c r="C756" s="8">
        <v>5.47</v>
      </c>
      <c r="D756" s="8">
        <v>0.14000000000000001</v>
      </c>
      <c r="E756">
        <v>6</v>
      </c>
      <c r="F756" s="10">
        <f>(WYNAJEM47[[#This Row],[data_wyjazdu]]-WYNAJEM47[[#This Row],[data_przyjazdu]])</f>
        <v>25</v>
      </c>
      <c r="G756" s="9">
        <f xml:space="preserve"> WYNAJEM47[[#This Row],[energia]] + WYNAJEM47[[#This Row],[woda]]</f>
        <v>5.6099999999999994</v>
      </c>
      <c r="I756" s="9"/>
    </row>
    <row r="757" spans="1:9" x14ac:dyDescent="0.25">
      <c r="A757" s="1">
        <v>41947</v>
      </c>
      <c r="B757" s="1">
        <v>41968</v>
      </c>
      <c r="C757" s="8">
        <v>14.13</v>
      </c>
      <c r="D757" s="8">
        <v>0.37</v>
      </c>
      <c r="E757">
        <v>2</v>
      </c>
      <c r="F757" s="10">
        <f>(WYNAJEM47[[#This Row],[data_wyjazdu]]-WYNAJEM47[[#This Row],[data_przyjazdu]])</f>
        <v>21</v>
      </c>
      <c r="G757" s="9">
        <f xml:space="preserve"> WYNAJEM47[[#This Row],[energia]] + WYNAJEM47[[#This Row],[woda]]</f>
        <v>14.5</v>
      </c>
      <c r="I757" s="9"/>
    </row>
    <row r="758" spans="1:9" x14ac:dyDescent="0.25">
      <c r="A758" s="1">
        <v>41947</v>
      </c>
      <c r="B758" s="1">
        <v>41956</v>
      </c>
      <c r="C758" s="8">
        <v>11.69</v>
      </c>
      <c r="D758" s="8">
        <v>0.31</v>
      </c>
      <c r="E758">
        <v>3</v>
      </c>
      <c r="F758" s="10">
        <f>(WYNAJEM47[[#This Row],[data_wyjazdu]]-WYNAJEM47[[#This Row],[data_przyjazdu]])</f>
        <v>9</v>
      </c>
      <c r="G758" s="9">
        <f xml:space="preserve"> WYNAJEM47[[#This Row],[energia]] + WYNAJEM47[[#This Row],[woda]]</f>
        <v>12</v>
      </c>
      <c r="I758" s="9"/>
    </row>
    <row r="759" spans="1:9" x14ac:dyDescent="0.25">
      <c r="A759" s="1">
        <v>41947</v>
      </c>
      <c r="B759" s="1">
        <v>41970</v>
      </c>
      <c r="C759" s="8">
        <v>6.75</v>
      </c>
      <c r="D759" s="8">
        <v>0.18</v>
      </c>
      <c r="E759">
        <v>2</v>
      </c>
      <c r="F759" s="10">
        <f>(WYNAJEM47[[#This Row],[data_wyjazdu]]-WYNAJEM47[[#This Row],[data_przyjazdu]])</f>
        <v>23</v>
      </c>
      <c r="G759" s="9">
        <f xml:space="preserve"> WYNAJEM47[[#This Row],[energia]] + WYNAJEM47[[#This Row],[woda]]</f>
        <v>6.93</v>
      </c>
      <c r="I759" s="9"/>
    </row>
    <row r="760" spans="1:9" x14ac:dyDescent="0.25">
      <c r="A760" s="1">
        <v>41947</v>
      </c>
      <c r="B760" s="1">
        <v>41962</v>
      </c>
      <c r="C760" s="8">
        <v>8.65</v>
      </c>
      <c r="D760" s="8">
        <v>0.23</v>
      </c>
      <c r="E760">
        <v>6</v>
      </c>
      <c r="F760" s="10">
        <f>(WYNAJEM47[[#This Row],[data_wyjazdu]]-WYNAJEM47[[#This Row],[data_przyjazdu]])</f>
        <v>15</v>
      </c>
      <c r="G760" s="9">
        <f xml:space="preserve"> WYNAJEM47[[#This Row],[energia]] + WYNAJEM47[[#This Row],[woda]]</f>
        <v>8.8800000000000008</v>
      </c>
      <c r="I760" s="9"/>
    </row>
    <row r="761" spans="1:9" x14ac:dyDescent="0.25">
      <c r="A761" s="1">
        <v>41947</v>
      </c>
      <c r="B761" s="1">
        <v>41975</v>
      </c>
      <c r="C761" s="8">
        <v>10.93</v>
      </c>
      <c r="D761" s="8">
        <v>0.28999999999999998</v>
      </c>
      <c r="E761">
        <v>5</v>
      </c>
      <c r="F761" s="10">
        <f>(WYNAJEM47[[#This Row],[data_wyjazdu]]-WYNAJEM47[[#This Row],[data_przyjazdu]])</f>
        <v>28</v>
      </c>
      <c r="G761" s="9">
        <f xml:space="preserve"> WYNAJEM47[[#This Row],[energia]] + WYNAJEM47[[#This Row],[woda]]</f>
        <v>11.219999999999999</v>
      </c>
      <c r="I761" s="9"/>
    </row>
    <row r="762" spans="1:9" x14ac:dyDescent="0.25">
      <c r="A762" s="1">
        <v>41947</v>
      </c>
      <c r="B762" s="1">
        <v>41962</v>
      </c>
      <c r="C762" s="8">
        <v>16.55</v>
      </c>
      <c r="D762" s="8">
        <v>0.44</v>
      </c>
      <c r="E762">
        <v>6</v>
      </c>
      <c r="F762" s="10">
        <f>(WYNAJEM47[[#This Row],[data_wyjazdu]]-WYNAJEM47[[#This Row],[data_przyjazdu]])</f>
        <v>15</v>
      </c>
      <c r="G762" s="9">
        <f xml:space="preserve"> WYNAJEM47[[#This Row],[energia]] + WYNAJEM47[[#This Row],[woda]]</f>
        <v>16.990000000000002</v>
      </c>
      <c r="I762" s="9"/>
    </row>
    <row r="763" spans="1:9" x14ac:dyDescent="0.25">
      <c r="A763" s="1">
        <v>41947</v>
      </c>
      <c r="B763" s="1">
        <v>41960</v>
      </c>
      <c r="C763" s="8">
        <v>9.06</v>
      </c>
      <c r="D763" s="8">
        <v>0.24</v>
      </c>
      <c r="E763">
        <v>4</v>
      </c>
      <c r="F763" s="10">
        <f>(WYNAJEM47[[#This Row],[data_wyjazdu]]-WYNAJEM47[[#This Row],[data_przyjazdu]])</f>
        <v>13</v>
      </c>
      <c r="G763" s="9">
        <f xml:space="preserve"> WYNAJEM47[[#This Row],[energia]] + WYNAJEM47[[#This Row],[woda]]</f>
        <v>9.3000000000000007</v>
      </c>
      <c r="I763" s="9"/>
    </row>
    <row r="764" spans="1:9" x14ac:dyDescent="0.25">
      <c r="A764" s="1">
        <v>41947</v>
      </c>
      <c r="B764" s="1">
        <v>41974</v>
      </c>
      <c r="C764" s="8">
        <v>9.06</v>
      </c>
      <c r="D764" s="8">
        <v>0.24</v>
      </c>
      <c r="E764">
        <v>4</v>
      </c>
      <c r="F764" s="10">
        <f>(WYNAJEM47[[#This Row],[data_wyjazdu]]-WYNAJEM47[[#This Row],[data_przyjazdu]])</f>
        <v>27</v>
      </c>
      <c r="G764" s="9">
        <f xml:space="preserve"> WYNAJEM47[[#This Row],[energia]] + WYNAJEM47[[#This Row],[woda]]</f>
        <v>9.3000000000000007</v>
      </c>
      <c r="I764" s="9"/>
    </row>
    <row r="765" spans="1:9" x14ac:dyDescent="0.25">
      <c r="A765" s="1">
        <v>41947</v>
      </c>
      <c r="B765" s="1">
        <v>41969</v>
      </c>
      <c r="C765" s="8">
        <v>6.43</v>
      </c>
      <c r="D765" s="8">
        <v>0.17</v>
      </c>
      <c r="E765">
        <v>2</v>
      </c>
      <c r="F765" s="10">
        <f>(WYNAJEM47[[#This Row],[data_wyjazdu]]-WYNAJEM47[[#This Row],[data_przyjazdu]])</f>
        <v>22</v>
      </c>
      <c r="G765" s="9">
        <f xml:space="preserve"> WYNAJEM47[[#This Row],[energia]] + WYNAJEM47[[#This Row],[woda]]</f>
        <v>6.6</v>
      </c>
      <c r="I765" s="9"/>
    </row>
    <row r="766" spans="1:9" x14ac:dyDescent="0.25">
      <c r="A766" s="1">
        <v>41947</v>
      </c>
      <c r="B766" s="1">
        <v>41954</v>
      </c>
      <c r="C766" s="8">
        <v>6.23</v>
      </c>
      <c r="D766" s="8">
        <v>0.16</v>
      </c>
      <c r="E766">
        <v>3</v>
      </c>
      <c r="F766" s="10">
        <f>(WYNAJEM47[[#This Row],[data_wyjazdu]]-WYNAJEM47[[#This Row],[data_przyjazdu]])</f>
        <v>7</v>
      </c>
      <c r="G766" s="9">
        <f xml:space="preserve"> WYNAJEM47[[#This Row],[energia]] + WYNAJEM47[[#This Row],[woda]]</f>
        <v>6.3900000000000006</v>
      </c>
      <c r="I766" s="9"/>
    </row>
    <row r="767" spans="1:9" x14ac:dyDescent="0.25">
      <c r="A767" s="1">
        <v>41947</v>
      </c>
      <c r="B767" s="1">
        <v>41952</v>
      </c>
      <c r="C767" s="8">
        <v>6.75</v>
      </c>
      <c r="D767" s="8">
        <v>0.18</v>
      </c>
      <c r="E767">
        <v>3</v>
      </c>
      <c r="F767" s="10">
        <f>(WYNAJEM47[[#This Row],[data_wyjazdu]]-WYNAJEM47[[#This Row],[data_przyjazdu]])</f>
        <v>5</v>
      </c>
      <c r="G767" s="9">
        <f xml:space="preserve"> WYNAJEM47[[#This Row],[energia]] + WYNAJEM47[[#This Row],[woda]]</f>
        <v>6.93</v>
      </c>
      <c r="I767" s="9"/>
    </row>
    <row r="768" spans="1:9" x14ac:dyDescent="0.25">
      <c r="A768" s="1">
        <v>41947</v>
      </c>
      <c r="B768" s="1">
        <v>41953</v>
      </c>
      <c r="C768" s="8">
        <v>10.79</v>
      </c>
      <c r="D768" s="8">
        <v>0.28000000000000003</v>
      </c>
      <c r="E768">
        <v>6</v>
      </c>
      <c r="F768" s="10">
        <f>(WYNAJEM47[[#This Row],[data_wyjazdu]]-WYNAJEM47[[#This Row],[data_przyjazdu]])</f>
        <v>6</v>
      </c>
      <c r="G768" s="9">
        <f xml:space="preserve"> WYNAJEM47[[#This Row],[energia]] + WYNAJEM47[[#This Row],[woda]]</f>
        <v>11.069999999999999</v>
      </c>
      <c r="I768" s="9"/>
    </row>
    <row r="769" spans="1:9" x14ac:dyDescent="0.25">
      <c r="A769" s="1">
        <v>41949</v>
      </c>
      <c r="B769" s="1">
        <v>41956</v>
      </c>
      <c r="C769" s="8">
        <v>5.67</v>
      </c>
      <c r="D769" s="8">
        <v>0.15</v>
      </c>
      <c r="E769">
        <v>4</v>
      </c>
      <c r="F769" s="10">
        <f>(WYNAJEM47[[#This Row],[data_wyjazdu]]-WYNAJEM47[[#This Row],[data_przyjazdu]])</f>
        <v>7</v>
      </c>
      <c r="G769" s="9">
        <f xml:space="preserve"> WYNAJEM47[[#This Row],[energia]] + WYNAJEM47[[#This Row],[woda]]</f>
        <v>5.82</v>
      </c>
      <c r="I769" s="9"/>
    </row>
    <row r="770" spans="1:9" x14ac:dyDescent="0.25">
      <c r="A770" s="1">
        <v>41949</v>
      </c>
      <c r="B770" s="1">
        <v>41959</v>
      </c>
      <c r="C770" s="8">
        <v>11.44</v>
      </c>
      <c r="D770" s="8">
        <v>0.3</v>
      </c>
      <c r="E770">
        <v>4</v>
      </c>
      <c r="F770" s="10">
        <f>(WYNAJEM47[[#This Row],[data_wyjazdu]]-WYNAJEM47[[#This Row],[data_przyjazdu]])</f>
        <v>10</v>
      </c>
      <c r="G770" s="9">
        <f xml:space="preserve"> WYNAJEM47[[#This Row],[energia]] + WYNAJEM47[[#This Row],[woda]]</f>
        <v>11.74</v>
      </c>
      <c r="I770" s="9"/>
    </row>
    <row r="771" spans="1:9" x14ac:dyDescent="0.25">
      <c r="A771" s="1">
        <v>41950</v>
      </c>
      <c r="B771" s="1">
        <v>41977</v>
      </c>
      <c r="C771" s="8">
        <v>4.25</v>
      </c>
      <c r="D771" s="8">
        <v>0.11</v>
      </c>
      <c r="E771">
        <v>5</v>
      </c>
      <c r="F771" s="10">
        <f>(WYNAJEM47[[#This Row],[data_wyjazdu]]-WYNAJEM47[[#This Row],[data_przyjazdu]])</f>
        <v>27</v>
      </c>
      <c r="G771" s="9">
        <f xml:space="preserve"> WYNAJEM47[[#This Row],[energia]] + WYNAJEM47[[#This Row],[woda]]</f>
        <v>4.3600000000000003</v>
      </c>
      <c r="I771" s="9"/>
    </row>
    <row r="772" spans="1:9" x14ac:dyDescent="0.25">
      <c r="A772" s="1">
        <v>41950</v>
      </c>
      <c r="B772" s="1">
        <v>41953</v>
      </c>
      <c r="C772" s="8">
        <v>3.94</v>
      </c>
      <c r="D772" s="8">
        <v>0.1</v>
      </c>
      <c r="E772">
        <v>2</v>
      </c>
      <c r="F772" s="10">
        <f>(WYNAJEM47[[#This Row],[data_wyjazdu]]-WYNAJEM47[[#This Row],[data_przyjazdu]])</f>
        <v>3</v>
      </c>
      <c r="G772" s="9">
        <f xml:space="preserve"> WYNAJEM47[[#This Row],[energia]] + WYNAJEM47[[#This Row],[woda]]</f>
        <v>4.04</v>
      </c>
      <c r="I772" s="9"/>
    </row>
    <row r="773" spans="1:9" x14ac:dyDescent="0.25">
      <c r="A773" s="1">
        <v>41950</v>
      </c>
      <c r="B773" s="1">
        <v>41972</v>
      </c>
      <c r="C773" s="8">
        <v>3.57</v>
      </c>
      <c r="D773" s="8">
        <v>0.09</v>
      </c>
      <c r="E773">
        <v>4</v>
      </c>
      <c r="F773" s="10">
        <f>(WYNAJEM47[[#This Row],[data_wyjazdu]]-WYNAJEM47[[#This Row],[data_przyjazdu]])</f>
        <v>22</v>
      </c>
      <c r="G773" s="9">
        <f xml:space="preserve"> WYNAJEM47[[#This Row],[energia]] + WYNAJEM47[[#This Row],[woda]]</f>
        <v>3.6599999999999997</v>
      </c>
      <c r="I773" s="9"/>
    </row>
    <row r="774" spans="1:9" x14ac:dyDescent="0.25">
      <c r="A774" s="1">
        <v>41950</v>
      </c>
      <c r="B774" s="1">
        <v>41952</v>
      </c>
      <c r="C774" s="8">
        <v>5.67</v>
      </c>
      <c r="D774" s="8">
        <v>0.15</v>
      </c>
      <c r="E774">
        <v>6</v>
      </c>
      <c r="F774" s="10">
        <f>(WYNAJEM47[[#This Row],[data_wyjazdu]]-WYNAJEM47[[#This Row],[data_przyjazdu]])</f>
        <v>2</v>
      </c>
      <c r="G774" s="9">
        <f xml:space="preserve"> WYNAJEM47[[#This Row],[energia]] + WYNAJEM47[[#This Row],[woda]]</f>
        <v>5.82</v>
      </c>
      <c r="I774" s="9"/>
    </row>
    <row r="775" spans="1:9" x14ac:dyDescent="0.25">
      <c r="A775" s="1">
        <v>41950</v>
      </c>
      <c r="B775" s="1">
        <v>41967</v>
      </c>
      <c r="C775" s="8">
        <v>5.67</v>
      </c>
      <c r="D775" s="8">
        <v>0.15</v>
      </c>
      <c r="E775">
        <v>4</v>
      </c>
      <c r="F775" s="10">
        <f>(WYNAJEM47[[#This Row],[data_wyjazdu]]-WYNAJEM47[[#This Row],[data_przyjazdu]])</f>
        <v>17</v>
      </c>
      <c r="G775" s="9">
        <f xml:space="preserve"> WYNAJEM47[[#This Row],[energia]] + WYNAJEM47[[#This Row],[woda]]</f>
        <v>5.82</v>
      </c>
      <c r="I775" s="9"/>
    </row>
    <row r="776" spans="1:9" x14ac:dyDescent="0.25">
      <c r="A776" s="1">
        <v>41953</v>
      </c>
      <c r="B776" s="1">
        <v>41978</v>
      </c>
      <c r="C776" s="8">
        <v>16.829999999999998</v>
      </c>
      <c r="D776" s="8">
        <v>0.44</v>
      </c>
      <c r="E776">
        <v>6</v>
      </c>
      <c r="F776" s="10">
        <f>(WYNAJEM47[[#This Row],[data_wyjazdu]]-WYNAJEM47[[#This Row],[data_przyjazdu]])</f>
        <v>25</v>
      </c>
      <c r="G776" s="9">
        <f xml:space="preserve"> WYNAJEM47[[#This Row],[energia]] + WYNAJEM47[[#This Row],[woda]]</f>
        <v>17.27</v>
      </c>
      <c r="I776" s="9"/>
    </row>
    <row r="777" spans="1:9" x14ac:dyDescent="0.25">
      <c r="A777" s="1">
        <v>41956</v>
      </c>
      <c r="B777" s="1">
        <v>41958</v>
      </c>
      <c r="C777" s="8">
        <v>5.23</v>
      </c>
      <c r="D777" s="8">
        <v>0.14000000000000001</v>
      </c>
      <c r="E777">
        <v>4</v>
      </c>
      <c r="F777" s="10">
        <f>(WYNAJEM47[[#This Row],[data_wyjazdu]]-WYNAJEM47[[#This Row],[data_przyjazdu]])</f>
        <v>2</v>
      </c>
      <c r="G777" s="9">
        <f xml:space="preserve"> WYNAJEM47[[#This Row],[energia]] + WYNAJEM47[[#This Row],[woda]]</f>
        <v>5.37</v>
      </c>
      <c r="I777" s="9"/>
    </row>
    <row r="778" spans="1:9" x14ac:dyDescent="0.25">
      <c r="A778" s="1">
        <v>41957</v>
      </c>
      <c r="B778" s="1">
        <v>41966</v>
      </c>
      <c r="C778" s="8">
        <v>3.73</v>
      </c>
      <c r="D778" s="8">
        <v>0.1</v>
      </c>
      <c r="E778">
        <v>3</v>
      </c>
      <c r="F778" s="10">
        <f>(WYNAJEM47[[#This Row],[data_wyjazdu]]-WYNAJEM47[[#This Row],[data_przyjazdu]])</f>
        <v>9</v>
      </c>
      <c r="G778" s="9">
        <f xml:space="preserve"> WYNAJEM47[[#This Row],[energia]] + WYNAJEM47[[#This Row],[woda]]</f>
        <v>3.83</v>
      </c>
      <c r="I778" s="9"/>
    </row>
    <row r="779" spans="1:9" x14ac:dyDescent="0.25">
      <c r="A779" s="1">
        <v>41958</v>
      </c>
      <c r="B779" s="1">
        <v>41985</v>
      </c>
      <c r="C779" s="8">
        <v>8.7200000000000006</v>
      </c>
      <c r="D779" s="8">
        <v>0.23</v>
      </c>
      <c r="E779">
        <v>6</v>
      </c>
      <c r="F779" s="10">
        <f>(WYNAJEM47[[#This Row],[data_wyjazdu]]-WYNAJEM47[[#This Row],[data_przyjazdu]])</f>
        <v>27</v>
      </c>
      <c r="G779" s="9">
        <f xml:space="preserve"> WYNAJEM47[[#This Row],[energia]] + WYNAJEM47[[#This Row],[woda]]</f>
        <v>8.9500000000000011</v>
      </c>
      <c r="I779" s="9"/>
    </row>
    <row r="780" spans="1:9" x14ac:dyDescent="0.25">
      <c r="A780" s="1">
        <v>41958</v>
      </c>
      <c r="B780" s="1">
        <v>41975</v>
      </c>
      <c r="C780" s="8">
        <v>19.54</v>
      </c>
      <c r="D780" s="8">
        <v>0.51</v>
      </c>
      <c r="E780">
        <v>2</v>
      </c>
      <c r="F780" s="10">
        <f>(WYNAJEM47[[#This Row],[data_wyjazdu]]-WYNAJEM47[[#This Row],[data_przyjazdu]])</f>
        <v>17</v>
      </c>
      <c r="G780" s="9">
        <f xml:space="preserve"> WYNAJEM47[[#This Row],[energia]] + WYNAJEM47[[#This Row],[woda]]</f>
        <v>20.05</v>
      </c>
      <c r="I780" s="9"/>
    </row>
    <row r="781" spans="1:9" x14ac:dyDescent="0.25">
      <c r="A781" s="1">
        <v>41958</v>
      </c>
      <c r="B781" s="1">
        <v>41980</v>
      </c>
      <c r="C781" s="8">
        <v>2.29</v>
      </c>
      <c r="D781" s="8">
        <v>0.06</v>
      </c>
      <c r="E781">
        <v>4</v>
      </c>
      <c r="F781" s="10">
        <f>(WYNAJEM47[[#This Row],[data_wyjazdu]]-WYNAJEM47[[#This Row],[data_przyjazdu]])</f>
        <v>22</v>
      </c>
      <c r="G781" s="9">
        <f xml:space="preserve"> WYNAJEM47[[#This Row],[energia]] + WYNAJEM47[[#This Row],[woda]]</f>
        <v>2.35</v>
      </c>
      <c r="I781" s="9"/>
    </row>
    <row r="782" spans="1:9" x14ac:dyDescent="0.25">
      <c r="A782" s="1">
        <v>41958</v>
      </c>
      <c r="B782" s="1">
        <v>41986</v>
      </c>
      <c r="C782" s="8">
        <v>8.9499999999999993</v>
      </c>
      <c r="D782" s="8">
        <v>0.24</v>
      </c>
      <c r="E782">
        <v>6</v>
      </c>
      <c r="F782" s="10">
        <f>(WYNAJEM47[[#This Row],[data_wyjazdu]]-WYNAJEM47[[#This Row],[data_przyjazdu]])</f>
        <v>28</v>
      </c>
      <c r="G782" s="9">
        <f xml:space="preserve"> WYNAJEM47[[#This Row],[energia]] + WYNAJEM47[[#This Row],[woda]]</f>
        <v>9.19</v>
      </c>
      <c r="I782" s="9"/>
    </row>
    <row r="783" spans="1:9" x14ac:dyDescent="0.25">
      <c r="A783" s="1">
        <v>41958</v>
      </c>
      <c r="B783" s="1">
        <v>41969</v>
      </c>
      <c r="C783" s="8">
        <v>5.67</v>
      </c>
      <c r="D783" s="8">
        <v>0.15</v>
      </c>
      <c r="E783">
        <v>6</v>
      </c>
      <c r="F783" s="10">
        <f>(WYNAJEM47[[#This Row],[data_wyjazdu]]-WYNAJEM47[[#This Row],[data_przyjazdu]])</f>
        <v>11</v>
      </c>
      <c r="G783" s="9">
        <f xml:space="preserve"> WYNAJEM47[[#This Row],[energia]] + WYNAJEM47[[#This Row],[woda]]</f>
        <v>5.82</v>
      </c>
      <c r="I783" s="9"/>
    </row>
    <row r="784" spans="1:9" x14ac:dyDescent="0.25">
      <c r="A784" s="1">
        <v>41958</v>
      </c>
      <c r="B784" s="1">
        <v>41982</v>
      </c>
      <c r="C784" s="8">
        <v>8.83</v>
      </c>
      <c r="D784" s="8">
        <v>0.23</v>
      </c>
      <c r="E784">
        <v>4</v>
      </c>
      <c r="F784" s="10">
        <f>(WYNAJEM47[[#This Row],[data_wyjazdu]]-WYNAJEM47[[#This Row],[data_przyjazdu]])</f>
        <v>24</v>
      </c>
      <c r="G784" s="9">
        <f xml:space="preserve"> WYNAJEM47[[#This Row],[energia]] + WYNAJEM47[[#This Row],[woda]]</f>
        <v>9.06</v>
      </c>
      <c r="I784" s="9"/>
    </row>
    <row r="785" spans="1:9" x14ac:dyDescent="0.25">
      <c r="A785" s="1">
        <v>41958</v>
      </c>
      <c r="B785" s="1">
        <v>41963</v>
      </c>
      <c r="C785" s="8">
        <v>10.79</v>
      </c>
      <c r="D785" s="8">
        <v>0.28000000000000003</v>
      </c>
      <c r="E785">
        <v>4</v>
      </c>
      <c r="F785" s="10">
        <f>(WYNAJEM47[[#This Row],[data_wyjazdu]]-WYNAJEM47[[#This Row],[data_przyjazdu]])</f>
        <v>5</v>
      </c>
      <c r="G785" s="9">
        <f xml:space="preserve"> WYNAJEM47[[#This Row],[energia]] + WYNAJEM47[[#This Row],[woda]]</f>
        <v>11.069999999999999</v>
      </c>
      <c r="I785" s="9"/>
    </row>
    <row r="786" spans="1:9" x14ac:dyDescent="0.25">
      <c r="A786" s="1">
        <v>41958</v>
      </c>
      <c r="B786" s="1">
        <v>41961</v>
      </c>
      <c r="C786" s="8">
        <v>5.67</v>
      </c>
      <c r="D786" s="8">
        <v>0.15</v>
      </c>
      <c r="E786">
        <v>6</v>
      </c>
      <c r="F786" s="10">
        <f>(WYNAJEM47[[#This Row],[data_wyjazdu]]-WYNAJEM47[[#This Row],[data_przyjazdu]])</f>
        <v>3</v>
      </c>
      <c r="G786" s="9">
        <f xml:space="preserve"> WYNAJEM47[[#This Row],[energia]] + WYNAJEM47[[#This Row],[woda]]</f>
        <v>5.82</v>
      </c>
      <c r="I786" s="9"/>
    </row>
    <row r="787" spans="1:9" x14ac:dyDescent="0.25">
      <c r="A787" s="1">
        <v>41958</v>
      </c>
      <c r="B787" s="1">
        <v>41972</v>
      </c>
      <c r="C787" s="8">
        <v>14.31</v>
      </c>
      <c r="D787" s="8">
        <v>0.38</v>
      </c>
      <c r="E787">
        <v>5</v>
      </c>
      <c r="F787" s="10">
        <f>(WYNAJEM47[[#This Row],[data_wyjazdu]]-WYNAJEM47[[#This Row],[data_przyjazdu]])</f>
        <v>14</v>
      </c>
      <c r="G787" s="9">
        <f xml:space="preserve"> WYNAJEM47[[#This Row],[energia]] + WYNAJEM47[[#This Row],[woda]]</f>
        <v>14.690000000000001</v>
      </c>
      <c r="I787" s="9"/>
    </row>
    <row r="788" spans="1:9" x14ac:dyDescent="0.25">
      <c r="A788" s="1">
        <v>41958</v>
      </c>
      <c r="B788" s="1">
        <v>41976</v>
      </c>
      <c r="C788" s="8">
        <v>5.67</v>
      </c>
      <c r="D788" s="8">
        <v>0.15</v>
      </c>
      <c r="E788">
        <v>6</v>
      </c>
      <c r="F788" s="10">
        <f>(WYNAJEM47[[#This Row],[data_wyjazdu]]-WYNAJEM47[[#This Row],[data_przyjazdu]])</f>
        <v>18</v>
      </c>
      <c r="G788" s="9">
        <f xml:space="preserve"> WYNAJEM47[[#This Row],[energia]] + WYNAJEM47[[#This Row],[woda]]</f>
        <v>5.82</v>
      </c>
      <c r="I788" s="9"/>
    </row>
    <row r="789" spans="1:9" x14ac:dyDescent="0.25">
      <c r="A789" s="1">
        <v>41958</v>
      </c>
      <c r="B789" s="1">
        <v>41961</v>
      </c>
      <c r="C789" s="8">
        <v>6.75</v>
      </c>
      <c r="D789" s="8">
        <v>0.18</v>
      </c>
      <c r="E789">
        <v>6</v>
      </c>
      <c r="F789" s="10">
        <f>(WYNAJEM47[[#This Row],[data_wyjazdu]]-WYNAJEM47[[#This Row],[data_przyjazdu]])</f>
        <v>3</v>
      </c>
      <c r="G789" s="9">
        <f xml:space="preserve"> WYNAJEM47[[#This Row],[energia]] + WYNAJEM47[[#This Row],[woda]]</f>
        <v>6.93</v>
      </c>
      <c r="I789" s="9"/>
    </row>
    <row r="790" spans="1:9" x14ac:dyDescent="0.25">
      <c r="A790" s="1">
        <v>41958</v>
      </c>
      <c r="B790" s="1">
        <v>41964</v>
      </c>
      <c r="C790" s="8">
        <v>12.01</v>
      </c>
      <c r="D790" s="8">
        <v>0.32</v>
      </c>
      <c r="E790">
        <v>4</v>
      </c>
      <c r="F790" s="10">
        <f>(WYNAJEM47[[#This Row],[data_wyjazdu]]-WYNAJEM47[[#This Row],[data_przyjazdu]])</f>
        <v>6</v>
      </c>
      <c r="G790" s="9">
        <f xml:space="preserve"> WYNAJEM47[[#This Row],[energia]] + WYNAJEM47[[#This Row],[woda]]</f>
        <v>12.33</v>
      </c>
      <c r="I790" s="9"/>
    </row>
    <row r="791" spans="1:9" x14ac:dyDescent="0.25">
      <c r="A791" s="1">
        <v>41958</v>
      </c>
      <c r="B791" s="1">
        <v>41973</v>
      </c>
      <c r="C791" s="8">
        <v>5.23</v>
      </c>
      <c r="D791" s="8">
        <v>0.14000000000000001</v>
      </c>
      <c r="E791">
        <v>6</v>
      </c>
      <c r="F791" s="10">
        <f>(WYNAJEM47[[#This Row],[data_wyjazdu]]-WYNAJEM47[[#This Row],[data_przyjazdu]])</f>
        <v>15</v>
      </c>
      <c r="G791" s="9">
        <f xml:space="preserve"> WYNAJEM47[[#This Row],[energia]] + WYNAJEM47[[#This Row],[woda]]</f>
        <v>5.37</v>
      </c>
      <c r="I791" s="9"/>
    </row>
    <row r="792" spans="1:9" x14ac:dyDescent="0.25">
      <c r="A792" s="1">
        <v>41958</v>
      </c>
      <c r="B792" s="1">
        <v>41978</v>
      </c>
      <c r="C792" s="8">
        <v>13.81</v>
      </c>
      <c r="D792" s="8">
        <v>0.36</v>
      </c>
      <c r="E792">
        <v>4</v>
      </c>
      <c r="F792" s="10">
        <f>(WYNAJEM47[[#This Row],[data_wyjazdu]]-WYNAJEM47[[#This Row],[data_przyjazdu]])</f>
        <v>20</v>
      </c>
      <c r="G792" s="9">
        <f xml:space="preserve"> WYNAJEM47[[#This Row],[energia]] + WYNAJEM47[[#This Row],[woda]]</f>
        <v>14.17</v>
      </c>
      <c r="I792" s="9"/>
    </row>
    <row r="793" spans="1:9" x14ac:dyDescent="0.25">
      <c r="A793" s="1">
        <v>41958</v>
      </c>
      <c r="B793" s="1">
        <v>41970</v>
      </c>
      <c r="C793" s="8">
        <v>5.23</v>
      </c>
      <c r="D793" s="8">
        <v>0.14000000000000001</v>
      </c>
      <c r="E793">
        <v>3</v>
      </c>
      <c r="F793" s="10">
        <f>(WYNAJEM47[[#This Row],[data_wyjazdu]]-WYNAJEM47[[#This Row],[data_przyjazdu]])</f>
        <v>12</v>
      </c>
      <c r="G793" s="9">
        <f xml:space="preserve"> WYNAJEM47[[#This Row],[energia]] + WYNAJEM47[[#This Row],[woda]]</f>
        <v>5.37</v>
      </c>
      <c r="I793" s="9"/>
    </row>
    <row r="794" spans="1:9" x14ac:dyDescent="0.25">
      <c r="A794" s="1">
        <v>41959</v>
      </c>
      <c r="B794" s="1">
        <v>41968</v>
      </c>
      <c r="C794" s="8">
        <v>4.25</v>
      </c>
      <c r="D794" s="8">
        <v>0.11</v>
      </c>
      <c r="E794">
        <v>6</v>
      </c>
      <c r="F794" s="10">
        <f>(WYNAJEM47[[#This Row],[data_wyjazdu]]-WYNAJEM47[[#This Row],[data_przyjazdu]])</f>
        <v>9</v>
      </c>
      <c r="G794" s="9">
        <f xml:space="preserve"> WYNAJEM47[[#This Row],[energia]] + WYNAJEM47[[#This Row],[woda]]</f>
        <v>4.3600000000000003</v>
      </c>
      <c r="I794" s="9"/>
    </row>
    <row r="795" spans="1:9" x14ac:dyDescent="0.25">
      <c r="A795" s="1">
        <v>41959</v>
      </c>
      <c r="B795" s="1">
        <v>41984</v>
      </c>
      <c r="C795" s="8">
        <v>5.23</v>
      </c>
      <c r="D795" s="8">
        <v>0.14000000000000001</v>
      </c>
      <c r="E795">
        <v>4</v>
      </c>
      <c r="F795" s="10">
        <f>(WYNAJEM47[[#This Row],[data_wyjazdu]]-WYNAJEM47[[#This Row],[data_przyjazdu]])</f>
        <v>25</v>
      </c>
      <c r="G795" s="9">
        <f xml:space="preserve"> WYNAJEM47[[#This Row],[energia]] + WYNAJEM47[[#This Row],[woda]]</f>
        <v>5.37</v>
      </c>
      <c r="I795" s="9"/>
    </row>
    <row r="796" spans="1:9" x14ac:dyDescent="0.25">
      <c r="A796" s="1">
        <v>41959</v>
      </c>
      <c r="B796" s="1">
        <v>41983</v>
      </c>
      <c r="C796" s="8">
        <v>6.23</v>
      </c>
      <c r="D796" s="8">
        <v>0.16</v>
      </c>
      <c r="E796">
        <v>2</v>
      </c>
      <c r="F796" s="10">
        <f>(WYNAJEM47[[#This Row],[data_wyjazdu]]-WYNAJEM47[[#This Row],[data_przyjazdu]])</f>
        <v>24</v>
      </c>
      <c r="G796" s="9">
        <f xml:space="preserve"> WYNAJEM47[[#This Row],[energia]] + WYNAJEM47[[#This Row],[woda]]</f>
        <v>6.3900000000000006</v>
      </c>
      <c r="I796" s="9"/>
    </row>
    <row r="797" spans="1:9" x14ac:dyDescent="0.25">
      <c r="A797" s="1">
        <v>41959</v>
      </c>
      <c r="B797" s="1">
        <v>41971</v>
      </c>
      <c r="C797" s="8">
        <v>16.55</v>
      </c>
      <c r="D797" s="8">
        <v>0.44</v>
      </c>
      <c r="E797">
        <v>5</v>
      </c>
      <c r="F797" s="10">
        <f>(WYNAJEM47[[#This Row],[data_wyjazdu]]-WYNAJEM47[[#This Row],[data_przyjazdu]])</f>
        <v>12</v>
      </c>
      <c r="G797" s="9">
        <f xml:space="preserve"> WYNAJEM47[[#This Row],[energia]] + WYNAJEM47[[#This Row],[woda]]</f>
        <v>16.990000000000002</v>
      </c>
      <c r="I797" s="9"/>
    </row>
    <row r="798" spans="1:9" x14ac:dyDescent="0.25">
      <c r="A798" s="1">
        <v>41959</v>
      </c>
      <c r="B798" s="1">
        <v>41966</v>
      </c>
      <c r="C798" s="8">
        <v>5.78</v>
      </c>
      <c r="D798" s="8">
        <v>0.15</v>
      </c>
      <c r="E798">
        <v>6</v>
      </c>
      <c r="F798" s="10">
        <f>(WYNAJEM47[[#This Row],[data_wyjazdu]]-WYNAJEM47[[#This Row],[data_przyjazdu]])</f>
        <v>7</v>
      </c>
      <c r="G798" s="9">
        <f xml:space="preserve"> WYNAJEM47[[#This Row],[energia]] + WYNAJEM47[[#This Row],[woda]]</f>
        <v>5.9300000000000006</v>
      </c>
      <c r="I798" s="9"/>
    </row>
    <row r="799" spans="1:9" x14ac:dyDescent="0.25">
      <c r="A799" s="1">
        <v>41959</v>
      </c>
      <c r="B799" s="1">
        <v>41978</v>
      </c>
      <c r="C799" s="8">
        <v>11.69</v>
      </c>
      <c r="D799" s="8">
        <v>0.31</v>
      </c>
      <c r="E799">
        <v>5</v>
      </c>
      <c r="F799" s="10">
        <f>(WYNAJEM47[[#This Row],[data_wyjazdu]]-WYNAJEM47[[#This Row],[data_przyjazdu]])</f>
        <v>19</v>
      </c>
      <c r="G799" s="9">
        <f xml:space="preserve"> WYNAJEM47[[#This Row],[energia]] + WYNAJEM47[[#This Row],[woda]]</f>
        <v>12</v>
      </c>
      <c r="I799" s="9"/>
    </row>
    <row r="800" spans="1:9" x14ac:dyDescent="0.25">
      <c r="A800" s="1">
        <v>41959</v>
      </c>
      <c r="B800" s="1">
        <v>41985</v>
      </c>
      <c r="C800" s="8">
        <v>11.78</v>
      </c>
      <c r="D800" s="8">
        <v>0.31</v>
      </c>
      <c r="E800">
        <v>2</v>
      </c>
      <c r="F800" s="10">
        <f>(WYNAJEM47[[#This Row],[data_wyjazdu]]-WYNAJEM47[[#This Row],[data_przyjazdu]])</f>
        <v>26</v>
      </c>
      <c r="G800" s="9">
        <f xml:space="preserve"> WYNAJEM47[[#This Row],[energia]] + WYNAJEM47[[#This Row],[woda]]</f>
        <v>12.09</v>
      </c>
      <c r="I800" s="9"/>
    </row>
    <row r="801" spans="1:9" x14ac:dyDescent="0.25">
      <c r="A801" s="1">
        <v>41959</v>
      </c>
      <c r="B801" s="1">
        <v>41974</v>
      </c>
      <c r="C801" s="8">
        <v>8.39</v>
      </c>
      <c r="D801" s="8">
        <v>0.22</v>
      </c>
      <c r="E801">
        <v>6</v>
      </c>
      <c r="F801" s="10">
        <f>(WYNAJEM47[[#This Row],[data_wyjazdu]]-WYNAJEM47[[#This Row],[data_przyjazdu]])</f>
        <v>15</v>
      </c>
      <c r="G801" s="9">
        <f xml:space="preserve"> WYNAJEM47[[#This Row],[energia]] + WYNAJEM47[[#This Row],[woda]]</f>
        <v>8.6100000000000012</v>
      </c>
      <c r="I801" s="9"/>
    </row>
    <row r="802" spans="1:9" x14ac:dyDescent="0.25">
      <c r="A802" s="1">
        <v>41959</v>
      </c>
      <c r="B802" s="1">
        <v>41976</v>
      </c>
      <c r="C802" s="8">
        <v>6.75</v>
      </c>
      <c r="D802" s="8">
        <v>0.18</v>
      </c>
      <c r="E802">
        <v>6</v>
      </c>
      <c r="F802" s="10">
        <f>(WYNAJEM47[[#This Row],[data_wyjazdu]]-WYNAJEM47[[#This Row],[data_przyjazdu]])</f>
        <v>17</v>
      </c>
      <c r="G802" s="9">
        <f xml:space="preserve"> WYNAJEM47[[#This Row],[energia]] + WYNAJEM47[[#This Row],[woda]]</f>
        <v>6.93</v>
      </c>
      <c r="I802" s="9"/>
    </row>
    <row r="803" spans="1:9" x14ac:dyDescent="0.25">
      <c r="A803" s="1">
        <v>41960</v>
      </c>
      <c r="B803" s="1">
        <v>41964</v>
      </c>
      <c r="C803" s="8">
        <v>3.94</v>
      </c>
      <c r="D803" s="8">
        <v>0.1</v>
      </c>
      <c r="E803">
        <v>6</v>
      </c>
      <c r="F803" s="10">
        <f>(WYNAJEM47[[#This Row],[data_wyjazdu]]-WYNAJEM47[[#This Row],[data_przyjazdu]])</f>
        <v>4</v>
      </c>
      <c r="G803" s="9">
        <f xml:space="preserve"> WYNAJEM47[[#This Row],[energia]] + WYNAJEM47[[#This Row],[woda]]</f>
        <v>4.04</v>
      </c>
      <c r="I803" s="9"/>
    </row>
    <row r="804" spans="1:9" x14ac:dyDescent="0.25">
      <c r="A804" s="1">
        <v>41960</v>
      </c>
      <c r="B804" s="1">
        <v>41980</v>
      </c>
      <c r="C804" s="8">
        <v>3.57</v>
      </c>
      <c r="D804" s="8">
        <v>0.09</v>
      </c>
      <c r="E804">
        <v>6</v>
      </c>
      <c r="F804" s="10">
        <f>(WYNAJEM47[[#This Row],[data_wyjazdu]]-WYNAJEM47[[#This Row],[data_przyjazdu]])</f>
        <v>20</v>
      </c>
      <c r="G804" s="9">
        <f xml:space="preserve"> WYNAJEM47[[#This Row],[energia]] + WYNAJEM47[[#This Row],[woda]]</f>
        <v>3.6599999999999997</v>
      </c>
      <c r="I804" s="9"/>
    </row>
    <row r="805" spans="1:9" x14ac:dyDescent="0.25">
      <c r="A805" s="1">
        <v>41960</v>
      </c>
      <c r="B805" s="1">
        <v>41980</v>
      </c>
      <c r="C805" s="8">
        <v>14.13</v>
      </c>
      <c r="D805" s="8">
        <v>0.37</v>
      </c>
      <c r="E805">
        <v>5</v>
      </c>
      <c r="F805" s="10">
        <f>(WYNAJEM47[[#This Row],[data_wyjazdu]]-WYNAJEM47[[#This Row],[data_przyjazdu]])</f>
        <v>20</v>
      </c>
      <c r="G805" s="9">
        <f xml:space="preserve"> WYNAJEM47[[#This Row],[energia]] + WYNAJEM47[[#This Row],[woda]]</f>
        <v>14.5</v>
      </c>
      <c r="I805" s="9"/>
    </row>
    <row r="806" spans="1:9" x14ac:dyDescent="0.25">
      <c r="A806" s="1">
        <v>41960</v>
      </c>
      <c r="B806" s="1">
        <v>41967</v>
      </c>
      <c r="C806" s="8">
        <v>5.57</v>
      </c>
      <c r="D806" s="8">
        <v>0.15</v>
      </c>
      <c r="E806">
        <v>2</v>
      </c>
      <c r="F806" s="10">
        <f>(WYNAJEM47[[#This Row],[data_wyjazdu]]-WYNAJEM47[[#This Row],[data_przyjazdu]])</f>
        <v>7</v>
      </c>
      <c r="G806" s="9">
        <f xml:space="preserve"> WYNAJEM47[[#This Row],[energia]] + WYNAJEM47[[#This Row],[woda]]</f>
        <v>5.7200000000000006</v>
      </c>
      <c r="I806" s="9"/>
    </row>
    <row r="807" spans="1:9" x14ac:dyDescent="0.25">
      <c r="A807" s="1">
        <v>41960</v>
      </c>
      <c r="B807" s="1">
        <v>41979</v>
      </c>
      <c r="C807" s="8">
        <v>8.7200000000000006</v>
      </c>
      <c r="D807" s="8">
        <v>0.23</v>
      </c>
      <c r="E807">
        <v>2</v>
      </c>
      <c r="F807" s="10">
        <f>(WYNAJEM47[[#This Row],[data_wyjazdu]]-WYNAJEM47[[#This Row],[data_przyjazdu]])</f>
        <v>19</v>
      </c>
      <c r="G807" s="9">
        <f xml:space="preserve"> WYNAJEM47[[#This Row],[energia]] + WYNAJEM47[[#This Row],[woda]]</f>
        <v>8.9500000000000011</v>
      </c>
      <c r="I807" s="9"/>
    </row>
    <row r="808" spans="1:9" x14ac:dyDescent="0.25">
      <c r="A808" s="1">
        <v>41961</v>
      </c>
      <c r="B808" s="1">
        <v>41987</v>
      </c>
      <c r="C808" s="8">
        <v>5.67</v>
      </c>
      <c r="D808" s="8">
        <v>0.15</v>
      </c>
      <c r="E808">
        <v>3</v>
      </c>
      <c r="F808" s="10">
        <f>(WYNAJEM47[[#This Row],[data_wyjazdu]]-WYNAJEM47[[#This Row],[data_przyjazdu]])</f>
        <v>26</v>
      </c>
      <c r="G808" s="9">
        <f xml:space="preserve"> WYNAJEM47[[#This Row],[energia]] + WYNAJEM47[[#This Row],[woda]]</f>
        <v>5.82</v>
      </c>
      <c r="I808" s="9"/>
    </row>
    <row r="809" spans="1:9" x14ac:dyDescent="0.25">
      <c r="A809" s="1">
        <v>41961</v>
      </c>
      <c r="B809" s="1">
        <v>41972</v>
      </c>
      <c r="C809" s="8">
        <v>3.94</v>
      </c>
      <c r="D809" s="8">
        <v>0.1</v>
      </c>
      <c r="E809">
        <v>4</v>
      </c>
      <c r="F809" s="10">
        <f>(WYNAJEM47[[#This Row],[data_wyjazdu]]-WYNAJEM47[[#This Row],[data_przyjazdu]])</f>
        <v>11</v>
      </c>
      <c r="G809" s="9">
        <f xml:space="preserve"> WYNAJEM47[[#This Row],[energia]] + WYNAJEM47[[#This Row],[woda]]</f>
        <v>4.04</v>
      </c>
      <c r="I809" s="9"/>
    </row>
    <row r="810" spans="1:9" x14ac:dyDescent="0.25">
      <c r="A810" s="1">
        <v>41961</v>
      </c>
      <c r="B810" s="1">
        <v>41966</v>
      </c>
      <c r="C810" s="8">
        <v>5.67</v>
      </c>
      <c r="D810" s="8">
        <v>0.15</v>
      </c>
      <c r="E810">
        <v>3</v>
      </c>
      <c r="F810" s="10">
        <f>(WYNAJEM47[[#This Row],[data_wyjazdu]]-WYNAJEM47[[#This Row],[data_przyjazdu]])</f>
        <v>5</v>
      </c>
      <c r="G810" s="9">
        <f xml:space="preserve"> WYNAJEM47[[#This Row],[energia]] + WYNAJEM47[[#This Row],[woda]]</f>
        <v>5.82</v>
      </c>
      <c r="I810" s="9"/>
    </row>
    <row r="811" spans="1:9" x14ac:dyDescent="0.25">
      <c r="A811" s="1">
        <v>41962</v>
      </c>
      <c r="B811" s="1">
        <v>41984</v>
      </c>
      <c r="C811" s="8">
        <v>6.34</v>
      </c>
      <c r="D811" s="8">
        <v>0.17</v>
      </c>
      <c r="E811">
        <v>6</v>
      </c>
      <c r="F811" s="10">
        <f>(WYNAJEM47[[#This Row],[data_wyjazdu]]-WYNAJEM47[[#This Row],[data_przyjazdu]])</f>
        <v>22</v>
      </c>
      <c r="G811" s="9">
        <f xml:space="preserve"> WYNAJEM47[[#This Row],[energia]] + WYNAJEM47[[#This Row],[woda]]</f>
        <v>6.51</v>
      </c>
      <c r="I811" s="9"/>
    </row>
    <row r="812" spans="1:9" x14ac:dyDescent="0.25">
      <c r="A812" s="1">
        <v>41962</v>
      </c>
      <c r="B812" s="1">
        <v>41970</v>
      </c>
      <c r="C812" s="8">
        <v>2.0099999999999998</v>
      </c>
      <c r="D812" s="8">
        <v>0.05</v>
      </c>
      <c r="E812">
        <v>4</v>
      </c>
      <c r="F812" s="10">
        <f>(WYNAJEM47[[#This Row],[data_wyjazdu]]-WYNAJEM47[[#This Row],[data_przyjazdu]])</f>
        <v>8</v>
      </c>
      <c r="G812" s="9">
        <f xml:space="preserve"> WYNAJEM47[[#This Row],[energia]] + WYNAJEM47[[#This Row],[woda]]</f>
        <v>2.0599999999999996</v>
      </c>
      <c r="I812" s="9"/>
    </row>
    <row r="813" spans="1:9" x14ac:dyDescent="0.25">
      <c r="A813" s="1">
        <v>41962</v>
      </c>
      <c r="B813" s="1">
        <v>41972</v>
      </c>
      <c r="C813" s="8">
        <v>5.67</v>
      </c>
      <c r="D813" s="8">
        <v>0.15</v>
      </c>
      <c r="E813">
        <v>3</v>
      </c>
      <c r="F813" s="10">
        <f>(WYNAJEM47[[#This Row],[data_wyjazdu]]-WYNAJEM47[[#This Row],[data_przyjazdu]])</f>
        <v>10</v>
      </c>
      <c r="G813" s="9">
        <f xml:space="preserve"> WYNAJEM47[[#This Row],[energia]] + WYNAJEM47[[#This Row],[woda]]</f>
        <v>5.82</v>
      </c>
      <c r="I813" s="9"/>
    </row>
    <row r="814" spans="1:9" x14ac:dyDescent="0.25">
      <c r="A814" s="1">
        <v>41962</v>
      </c>
      <c r="B814" s="1">
        <v>41969</v>
      </c>
      <c r="C814" s="8">
        <v>6.43</v>
      </c>
      <c r="D814" s="8">
        <v>0.17</v>
      </c>
      <c r="E814">
        <v>5</v>
      </c>
      <c r="F814" s="10">
        <f>(WYNAJEM47[[#This Row],[data_wyjazdu]]-WYNAJEM47[[#This Row],[data_przyjazdu]])</f>
        <v>7</v>
      </c>
      <c r="G814" s="9">
        <f xml:space="preserve"> WYNAJEM47[[#This Row],[energia]] + WYNAJEM47[[#This Row],[woda]]</f>
        <v>6.6</v>
      </c>
      <c r="I814" s="9"/>
    </row>
    <row r="815" spans="1:9" x14ac:dyDescent="0.25">
      <c r="A815" s="1">
        <v>41963</v>
      </c>
      <c r="B815" s="1">
        <v>41971</v>
      </c>
      <c r="C815" s="8">
        <v>8.39</v>
      </c>
      <c r="D815" s="8">
        <v>0.22</v>
      </c>
      <c r="E815">
        <v>6</v>
      </c>
      <c r="F815" s="10">
        <f>(WYNAJEM47[[#This Row],[data_wyjazdu]]-WYNAJEM47[[#This Row],[data_przyjazdu]])</f>
        <v>8</v>
      </c>
      <c r="G815" s="9">
        <f xml:space="preserve"> WYNAJEM47[[#This Row],[energia]] + WYNAJEM47[[#This Row],[woda]]</f>
        <v>8.6100000000000012</v>
      </c>
      <c r="I815" s="9"/>
    </row>
    <row r="816" spans="1:9" x14ac:dyDescent="0.25">
      <c r="A816" s="1">
        <v>41963</v>
      </c>
      <c r="B816" s="1">
        <v>41968</v>
      </c>
      <c r="C816" s="8">
        <v>5.67</v>
      </c>
      <c r="D816" s="8">
        <v>0.15</v>
      </c>
      <c r="E816">
        <v>5</v>
      </c>
      <c r="F816" s="10">
        <f>(WYNAJEM47[[#This Row],[data_wyjazdu]]-WYNAJEM47[[#This Row],[data_przyjazdu]])</f>
        <v>5</v>
      </c>
      <c r="G816" s="9">
        <f xml:space="preserve"> WYNAJEM47[[#This Row],[energia]] + WYNAJEM47[[#This Row],[woda]]</f>
        <v>5.82</v>
      </c>
      <c r="I816" s="9"/>
    </row>
    <row r="817" spans="1:9" x14ac:dyDescent="0.25">
      <c r="A817" s="1">
        <v>41963</v>
      </c>
      <c r="B817" s="1">
        <v>41965</v>
      </c>
      <c r="C817" s="8">
        <v>2.72</v>
      </c>
      <c r="D817" s="8">
        <v>7.0000000000000007E-2</v>
      </c>
      <c r="E817">
        <v>2</v>
      </c>
      <c r="F817" s="10">
        <f>(WYNAJEM47[[#This Row],[data_wyjazdu]]-WYNAJEM47[[#This Row],[data_przyjazdu]])</f>
        <v>2</v>
      </c>
      <c r="G817" s="9">
        <f xml:space="preserve"> WYNAJEM47[[#This Row],[energia]] + WYNAJEM47[[#This Row],[woda]]</f>
        <v>2.79</v>
      </c>
      <c r="I817" s="9"/>
    </row>
    <row r="818" spans="1:9" x14ac:dyDescent="0.25">
      <c r="A818" s="1">
        <v>41964</v>
      </c>
      <c r="B818" s="1">
        <v>41980</v>
      </c>
      <c r="C818" s="8">
        <v>7.31</v>
      </c>
      <c r="D818" s="8">
        <v>0.19</v>
      </c>
      <c r="E818">
        <v>4</v>
      </c>
      <c r="F818" s="10">
        <f>(WYNAJEM47[[#This Row],[data_wyjazdu]]-WYNAJEM47[[#This Row],[data_przyjazdu]])</f>
        <v>16</v>
      </c>
      <c r="G818" s="9">
        <f xml:space="preserve"> WYNAJEM47[[#This Row],[energia]] + WYNAJEM47[[#This Row],[woda]]</f>
        <v>7.5</v>
      </c>
      <c r="I818" s="9"/>
    </row>
    <row r="819" spans="1:9" x14ac:dyDescent="0.25">
      <c r="A819" s="1">
        <v>41964</v>
      </c>
      <c r="B819" s="1">
        <v>41990</v>
      </c>
      <c r="C819" s="8">
        <v>5.23</v>
      </c>
      <c r="D819" s="8">
        <v>0.14000000000000001</v>
      </c>
      <c r="E819">
        <v>6</v>
      </c>
      <c r="F819" s="10">
        <f>(WYNAJEM47[[#This Row],[data_wyjazdu]]-WYNAJEM47[[#This Row],[data_przyjazdu]])</f>
        <v>26</v>
      </c>
      <c r="G819" s="9">
        <f xml:space="preserve"> WYNAJEM47[[#This Row],[energia]] + WYNAJEM47[[#This Row],[woda]]</f>
        <v>5.37</v>
      </c>
      <c r="I819" s="9"/>
    </row>
    <row r="820" spans="1:9" x14ac:dyDescent="0.25">
      <c r="A820" s="1">
        <v>41965</v>
      </c>
      <c r="B820" s="1">
        <v>41968</v>
      </c>
      <c r="C820" s="8">
        <v>8.83</v>
      </c>
      <c r="D820" s="8">
        <v>0.23</v>
      </c>
      <c r="E820">
        <v>6</v>
      </c>
      <c r="F820" s="10">
        <f>(WYNAJEM47[[#This Row],[data_wyjazdu]]-WYNAJEM47[[#This Row],[data_przyjazdu]])</f>
        <v>3</v>
      </c>
      <c r="G820" s="9">
        <f xml:space="preserve"> WYNAJEM47[[#This Row],[energia]] + WYNAJEM47[[#This Row],[woda]]</f>
        <v>9.06</v>
      </c>
      <c r="I820" s="9"/>
    </row>
    <row r="821" spans="1:9" x14ac:dyDescent="0.25">
      <c r="A821" s="1">
        <v>41965</v>
      </c>
      <c r="B821" s="1">
        <v>41971</v>
      </c>
      <c r="C821" s="8">
        <v>2.0099999999999998</v>
      </c>
      <c r="D821" s="8">
        <v>0.05</v>
      </c>
      <c r="E821">
        <v>5</v>
      </c>
      <c r="F821" s="10">
        <f>(WYNAJEM47[[#This Row],[data_wyjazdu]]-WYNAJEM47[[#This Row],[data_przyjazdu]])</f>
        <v>6</v>
      </c>
      <c r="G821" s="9">
        <f xml:space="preserve"> WYNAJEM47[[#This Row],[energia]] + WYNAJEM47[[#This Row],[woda]]</f>
        <v>2.0599999999999996</v>
      </c>
      <c r="I821" s="9"/>
    </row>
    <row r="822" spans="1:9" x14ac:dyDescent="0.25">
      <c r="A822" s="1">
        <v>41965</v>
      </c>
      <c r="B822" s="1">
        <v>41983</v>
      </c>
      <c r="C822" s="8">
        <v>8.89</v>
      </c>
      <c r="D822" s="8">
        <v>0.23</v>
      </c>
      <c r="E822">
        <v>6</v>
      </c>
      <c r="F822" s="10">
        <f>(WYNAJEM47[[#This Row],[data_wyjazdu]]-WYNAJEM47[[#This Row],[data_przyjazdu]])</f>
        <v>18</v>
      </c>
      <c r="G822" s="9">
        <f xml:space="preserve"> WYNAJEM47[[#This Row],[energia]] + WYNAJEM47[[#This Row],[woda]]</f>
        <v>9.120000000000001</v>
      </c>
      <c r="I822" s="9"/>
    </row>
    <row r="823" spans="1:9" x14ac:dyDescent="0.25">
      <c r="A823" s="1">
        <v>41965</v>
      </c>
      <c r="B823" s="1">
        <v>41984</v>
      </c>
      <c r="C823" s="8">
        <v>6.34</v>
      </c>
      <c r="D823" s="8">
        <v>0.17</v>
      </c>
      <c r="E823">
        <v>6</v>
      </c>
      <c r="F823" s="10">
        <f>(WYNAJEM47[[#This Row],[data_wyjazdu]]-WYNAJEM47[[#This Row],[data_przyjazdu]])</f>
        <v>19</v>
      </c>
      <c r="G823" s="9">
        <f xml:space="preserve"> WYNAJEM47[[#This Row],[energia]] + WYNAJEM47[[#This Row],[woda]]</f>
        <v>6.51</v>
      </c>
      <c r="I823" s="9"/>
    </row>
    <row r="824" spans="1:9" x14ac:dyDescent="0.25">
      <c r="A824" s="1">
        <v>41965</v>
      </c>
      <c r="B824" s="1">
        <v>41968</v>
      </c>
      <c r="C824" s="8">
        <v>14.31</v>
      </c>
      <c r="D824" s="8">
        <v>0.38</v>
      </c>
      <c r="E824">
        <v>3</v>
      </c>
      <c r="F824" s="10">
        <f>(WYNAJEM47[[#This Row],[data_wyjazdu]]-WYNAJEM47[[#This Row],[data_przyjazdu]])</f>
        <v>3</v>
      </c>
      <c r="G824" s="9">
        <f xml:space="preserve"> WYNAJEM47[[#This Row],[energia]] + WYNAJEM47[[#This Row],[woda]]</f>
        <v>14.690000000000001</v>
      </c>
      <c r="I824" s="9"/>
    </row>
    <row r="825" spans="1:9" x14ac:dyDescent="0.25">
      <c r="A825" s="1">
        <v>41965</v>
      </c>
      <c r="B825" s="1">
        <v>41973</v>
      </c>
      <c r="C825" s="8">
        <v>11.42</v>
      </c>
      <c r="D825" s="8">
        <v>0.3</v>
      </c>
      <c r="E825">
        <v>6</v>
      </c>
      <c r="F825" s="10">
        <f>(WYNAJEM47[[#This Row],[data_wyjazdu]]-WYNAJEM47[[#This Row],[data_przyjazdu]])</f>
        <v>8</v>
      </c>
      <c r="G825" s="9">
        <f xml:space="preserve"> WYNAJEM47[[#This Row],[energia]] + WYNAJEM47[[#This Row],[woda]]</f>
        <v>11.72</v>
      </c>
      <c r="I825" s="9"/>
    </row>
    <row r="826" spans="1:9" x14ac:dyDescent="0.25">
      <c r="A826" s="1">
        <v>41965</v>
      </c>
      <c r="B826" s="1">
        <v>41969</v>
      </c>
      <c r="C826" s="8">
        <v>9.4600000000000009</v>
      </c>
      <c r="D826" s="8">
        <v>0.25</v>
      </c>
      <c r="E826">
        <v>4</v>
      </c>
      <c r="F826" s="10">
        <f>(WYNAJEM47[[#This Row],[data_wyjazdu]]-WYNAJEM47[[#This Row],[data_przyjazdu]])</f>
        <v>4</v>
      </c>
      <c r="G826" s="9">
        <f xml:space="preserve"> WYNAJEM47[[#This Row],[energia]] + WYNAJEM47[[#This Row],[woda]]</f>
        <v>9.7100000000000009</v>
      </c>
      <c r="I826" s="9"/>
    </row>
    <row r="827" spans="1:9" x14ac:dyDescent="0.25">
      <c r="A827" s="1">
        <v>41966</v>
      </c>
      <c r="B827" s="1">
        <v>41984</v>
      </c>
      <c r="C827" s="8">
        <v>6.58</v>
      </c>
      <c r="D827" s="8">
        <v>0.17</v>
      </c>
      <c r="E827">
        <v>5</v>
      </c>
      <c r="F827" s="10">
        <f>(WYNAJEM47[[#This Row],[data_wyjazdu]]-WYNAJEM47[[#This Row],[data_przyjazdu]])</f>
        <v>18</v>
      </c>
      <c r="G827" s="9">
        <f xml:space="preserve"> WYNAJEM47[[#This Row],[energia]] + WYNAJEM47[[#This Row],[woda]]</f>
        <v>6.75</v>
      </c>
      <c r="I827" s="9"/>
    </row>
    <row r="828" spans="1:9" x14ac:dyDescent="0.25">
      <c r="A828" s="1">
        <v>41967</v>
      </c>
      <c r="B828" s="1">
        <v>41991</v>
      </c>
      <c r="C828" s="8">
        <v>11.42</v>
      </c>
      <c r="D828" s="8">
        <v>0.3</v>
      </c>
      <c r="E828">
        <v>4</v>
      </c>
      <c r="F828" s="10">
        <f>(WYNAJEM47[[#This Row],[data_wyjazdu]]-WYNAJEM47[[#This Row],[data_przyjazdu]])</f>
        <v>24</v>
      </c>
      <c r="G828" s="9">
        <f xml:space="preserve"> WYNAJEM47[[#This Row],[energia]] + WYNAJEM47[[#This Row],[woda]]</f>
        <v>11.72</v>
      </c>
      <c r="I828" s="9"/>
    </row>
    <row r="829" spans="1:9" x14ac:dyDescent="0.25">
      <c r="A829" s="1">
        <v>41967</v>
      </c>
      <c r="B829" s="1">
        <v>41988</v>
      </c>
      <c r="C829" s="8">
        <v>2.29</v>
      </c>
      <c r="D829" s="8">
        <v>0.06</v>
      </c>
      <c r="E829">
        <v>6</v>
      </c>
      <c r="F829" s="10">
        <f>(WYNAJEM47[[#This Row],[data_wyjazdu]]-WYNAJEM47[[#This Row],[data_przyjazdu]])</f>
        <v>21</v>
      </c>
      <c r="G829" s="9">
        <f xml:space="preserve"> WYNAJEM47[[#This Row],[energia]] + WYNAJEM47[[#This Row],[woda]]</f>
        <v>2.35</v>
      </c>
      <c r="I829" s="9"/>
    </row>
    <row r="830" spans="1:9" x14ac:dyDescent="0.25">
      <c r="A830" s="1">
        <v>41968</v>
      </c>
      <c r="B830" s="1">
        <v>41993</v>
      </c>
      <c r="C830" s="8">
        <v>8.7200000000000006</v>
      </c>
      <c r="D830" s="8">
        <v>0.23</v>
      </c>
      <c r="E830">
        <v>3</v>
      </c>
      <c r="F830" s="10">
        <f>(WYNAJEM47[[#This Row],[data_wyjazdu]]-WYNAJEM47[[#This Row],[data_przyjazdu]])</f>
        <v>25</v>
      </c>
      <c r="G830" s="9">
        <f xml:space="preserve"> WYNAJEM47[[#This Row],[energia]] + WYNAJEM47[[#This Row],[woda]]</f>
        <v>8.9500000000000011</v>
      </c>
      <c r="I830" s="9"/>
    </row>
    <row r="831" spans="1:9" x14ac:dyDescent="0.25">
      <c r="A831" s="1">
        <v>41968</v>
      </c>
      <c r="B831" s="1">
        <v>41974</v>
      </c>
      <c r="C831" s="8">
        <v>2.29</v>
      </c>
      <c r="D831" s="8">
        <v>0.06</v>
      </c>
      <c r="E831">
        <v>3</v>
      </c>
      <c r="F831" s="10">
        <f>(WYNAJEM47[[#This Row],[data_wyjazdu]]-WYNAJEM47[[#This Row],[data_przyjazdu]])</f>
        <v>6</v>
      </c>
      <c r="G831" s="9">
        <f xml:space="preserve"> WYNAJEM47[[#This Row],[energia]] + WYNAJEM47[[#This Row],[woda]]</f>
        <v>2.35</v>
      </c>
      <c r="I831" s="9"/>
    </row>
    <row r="832" spans="1:9" x14ac:dyDescent="0.25">
      <c r="A832" s="1">
        <v>41968</v>
      </c>
      <c r="B832" s="1">
        <v>41975</v>
      </c>
      <c r="C832" s="8">
        <v>6.58</v>
      </c>
      <c r="D832" s="8">
        <v>0.17</v>
      </c>
      <c r="E832">
        <v>3</v>
      </c>
      <c r="F832" s="10">
        <f>(WYNAJEM47[[#This Row],[data_wyjazdu]]-WYNAJEM47[[#This Row],[data_przyjazdu]])</f>
        <v>7</v>
      </c>
      <c r="G832" s="9">
        <f xml:space="preserve"> WYNAJEM47[[#This Row],[energia]] + WYNAJEM47[[#This Row],[woda]]</f>
        <v>6.75</v>
      </c>
      <c r="I832" s="9"/>
    </row>
    <row r="833" spans="1:9" x14ac:dyDescent="0.25">
      <c r="A833" s="1">
        <v>41970</v>
      </c>
      <c r="B833" s="1">
        <v>41972</v>
      </c>
      <c r="C833" s="8">
        <v>7.35</v>
      </c>
      <c r="D833" s="8">
        <v>0.19</v>
      </c>
      <c r="E833">
        <v>6</v>
      </c>
      <c r="F833" s="10">
        <f>(WYNAJEM47[[#This Row],[data_wyjazdu]]-WYNAJEM47[[#This Row],[data_przyjazdu]])</f>
        <v>2</v>
      </c>
      <c r="G833" s="9">
        <f xml:space="preserve"> WYNAJEM47[[#This Row],[energia]] + WYNAJEM47[[#This Row],[woda]]</f>
        <v>7.54</v>
      </c>
      <c r="I833" s="9"/>
    </row>
    <row r="834" spans="1:9" x14ac:dyDescent="0.25">
      <c r="A834" s="1">
        <v>41970</v>
      </c>
      <c r="B834" s="1">
        <v>41982</v>
      </c>
      <c r="C834" s="8">
        <v>6.43</v>
      </c>
      <c r="D834" s="8">
        <v>0.17</v>
      </c>
      <c r="E834">
        <v>4</v>
      </c>
      <c r="F834" s="10">
        <f>(WYNAJEM47[[#This Row],[data_wyjazdu]]-WYNAJEM47[[#This Row],[data_przyjazdu]])</f>
        <v>12</v>
      </c>
      <c r="G834" s="9">
        <f xml:space="preserve"> WYNAJEM47[[#This Row],[energia]] + WYNAJEM47[[#This Row],[woda]]</f>
        <v>6.6</v>
      </c>
      <c r="I834" s="9"/>
    </row>
    <row r="835" spans="1:9" x14ac:dyDescent="0.25">
      <c r="A835" s="1">
        <v>41970</v>
      </c>
      <c r="B835" s="1">
        <v>41987</v>
      </c>
      <c r="C835" s="8">
        <v>8.65</v>
      </c>
      <c r="D835" s="8">
        <v>0.23</v>
      </c>
      <c r="E835">
        <v>3</v>
      </c>
      <c r="F835" s="10">
        <f>(WYNAJEM47[[#This Row],[data_wyjazdu]]-WYNAJEM47[[#This Row],[data_przyjazdu]])</f>
        <v>17</v>
      </c>
      <c r="G835" s="9">
        <f xml:space="preserve"> WYNAJEM47[[#This Row],[energia]] + WYNAJEM47[[#This Row],[woda]]</f>
        <v>8.8800000000000008</v>
      </c>
      <c r="I835" s="9"/>
    </row>
    <row r="836" spans="1:9" x14ac:dyDescent="0.25">
      <c r="A836" s="1">
        <v>41970</v>
      </c>
      <c r="B836" s="1">
        <v>41994</v>
      </c>
      <c r="C836" s="8">
        <v>13.82</v>
      </c>
      <c r="D836" s="8">
        <v>0.36</v>
      </c>
      <c r="E836">
        <v>3</v>
      </c>
      <c r="F836" s="10">
        <f>(WYNAJEM47[[#This Row],[data_wyjazdu]]-WYNAJEM47[[#This Row],[data_przyjazdu]])</f>
        <v>24</v>
      </c>
      <c r="G836" s="9">
        <f xml:space="preserve"> WYNAJEM47[[#This Row],[energia]] + WYNAJEM47[[#This Row],[woda]]</f>
        <v>14.18</v>
      </c>
      <c r="I836" s="9"/>
    </row>
    <row r="837" spans="1:9" x14ac:dyDescent="0.25">
      <c r="A837" s="1">
        <v>41970</v>
      </c>
      <c r="B837" s="1">
        <v>41992</v>
      </c>
      <c r="C837" s="8">
        <v>5.67</v>
      </c>
      <c r="D837" s="8">
        <v>0.15</v>
      </c>
      <c r="E837">
        <v>4</v>
      </c>
      <c r="F837" s="10">
        <f>(WYNAJEM47[[#This Row],[data_wyjazdu]]-WYNAJEM47[[#This Row],[data_przyjazdu]])</f>
        <v>22</v>
      </c>
      <c r="G837" s="9">
        <f xml:space="preserve"> WYNAJEM47[[#This Row],[energia]] + WYNAJEM47[[#This Row],[woda]]</f>
        <v>5.82</v>
      </c>
      <c r="I837" s="9"/>
    </row>
    <row r="838" spans="1:9" x14ac:dyDescent="0.25">
      <c r="A838" s="1">
        <v>41970</v>
      </c>
      <c r="B838" s="1">
        <v>41986</v>
      </c>
      <c r="C838" s="8">
        <v>6.75</v>
      </c>
      <c r="D838" s="8">
        <v>0.18</v>
      </c>
      <c r="E838">
        <v>2</v>
      </c>
      <c r="F838" s="10">
        <f>(WYNAJEM47[[#This Row],[data_wyjazdu]]-WYNAJEM47[[#This Row],[data_przyjazdu]])</f>
        <v>16</v>
      </c>
      <c r="G838" s="9">
        <f xml:space="preserve"> WYNAJEM47[[#This Row],[energia]] + WYNAJEM47[[#This Row],[woda]]</f>
        <v>6.93</v>
      </c>
      <c r="I838" s="9"/>
    </row>
    <row r="839" spans="1:9" x14ac:dyDescent="0.25">
      <c r="A839" s="1">
        <v>41970</v>
      </c>
      <c r="B839" s="1">
        <v>41992</v>
      </c>
      <c r="C839" s="8">
        <v>5.67</v>
      </c>
      <c r="D839" s="8">
        <v>0.15</v>
      </c>
      <c r="E839">
        <v>5</v>
      </c>
      <c r="F839" s="10">
        <f>(WYNAJEM47[[#This Row],[data_wyjazdu]]-WYNAJEM47[[#This Row],[data_przyjazdu]])</f>
        <v>22</v>
      </c>
      <c r="G839" s="9">
        <f xml:space="preserve"> WYNAJEM47[[#This Row],[energia]] + WYNAJEM47[[#This Row],[woda]]</f>
        <v>5.82</v>
      </c>
      <c r="I839" s="9"/>
    </row>
    <row r="840" spans="1:9" x14ac:dyDescent="0.25">
      <c r="A840" s="1">
        <v>41970</v>
      </c>
      <c r="B840" s="1">
        <v>41987</v>
      </c>
      <c r="C840" s="8">
        <v>14.31</v>
      </c>
      <c r="D840" s="8">
        <v>0.38</v>
      </c>
      <c r="E840">
        <v>3</v>
      </c>
      <c r="F840" s="10">
        <f>(WYNAJEM47[[#This Row],[data_wyjazdu]]-WYNAJEM47[[#This Row],[data_przyjazdu]])</f>
        <v>17</v>
      </c>
      <c r="G840" s="9">
        <f xml:space="preserve"> WYNAJEM47[[#This Row],[energia]] + WYNAJEM47[[#This Row],[woda]]</f>
        <v>14.690000000000001</v>
      </c>
      <c r="I840" s="9"/>
    </row>
    <row r="841" spans="1:9" x14ac:dyDescent="0.25">
      <c r="A841" s="1">
        <v>41970</v>
      </c>
      <c r="B841" s="1">
        <v>41979</v>
      </c>
      <c r="C841" s="8">
        <v>16.55</v>
      </c>
      <c r="D841" s="8">
        <v>0.44</v>
      </c>
      <c r="E841">
        <v>4</v>
      </c>
      <c r="F841" s="10">
        <f>(WYNAJEM47[[#This Row],[data_wyjazdu]]-WYNAJEM47[[#This Row],[data_przyjazdu]])</f>
        <v>9</v>
      </c>
      <c r="G841" s="9">
        <f xml:space="preserve"> WYNAJEM47[[#This Row],[energia]] + WYNAJEM47[[#This Row],[woda]]</f>
        <v>16.990000000000002</v>
      </c>
      <c r="I841" s="9"/>
    </row>
    <row r="842" spans="1:9" x14ac:dyDescent="0.25">
      <c r="A842" s="1">
        <v>41970</v>
      </c>
      <c r="B842" s="1">
        <v>41974</v>
      </c>
      <c r="C842" s="8">
        <v>11.44</v>
      </c>
      <c r="D842" s="8">
        <v>0.3</v>
      </c>
      <c r="E842">
        <v>4</v>
      </c>
      <c r="F842" s="10">
        <f>(WYNAJEM47[[#This Row],[data_wyjazdu]]-WYNAJEM47[[#This Row],[data_przyjazdu]])</f>
        <v>4</v>
      </c>
      <c r="G842" s="9">
        <f xml:space="preserve"> WYNAJEM47[[#This Row],[energia]] + WYNAJEM47[[#This Row],[woda]]</f>
        <v>11.74</v>
      </c>
      <c r="I842" s="9"/>
    </row>
    <row r="843" spans="1:9" x14ac:dyDescent="0.25">
      <c r="A843" s="1">
        <v>41970</v>
      </c>
      <c r="B843" s="1">
        <v>41992</v>
      </c>
      <c r="C843" s="8">
        <v>4.66</v>
      </c>
      <c r="D843" s="8">
        <v>0.12</v>
      </c>
      <c r="E843">
        <v>4</v>
      </c>
      <c r="F843" s="10">
        <f>(WYNAJEM47[[#This Row],[data_wyjazdu]]-WYNAJEM47[[#This Row],[data_przyjazdu]])</f>
        <v>22</v>
      </c>
      <c r="G843" s="9">
        <f xml:space="preserve"> WYNAJEM47[[#This Row],[energia]] + WYNAJEM47[[#This Row],[woda]]</f>
        <v>4.78</v>
      </c>
      <c r="I843" s="9"/>
    </row>
    <row r="844" spans="1:9" x14ac:dyDescent="0.25">
      <c r="A844" s="1">
        <v>41970</v>
      </c>
      <c r="B844" s="1">
        <v>41995</v>
      </c>
      <c r="C844" s="8">
        <v>3.73</v>
      </c>
      <c r="D844" s="8">
        <v>0.1</v>
      </c>
      <c r="E844">
        <v>6</v>
      </c>
      <c r="F844" s="10">
        <f>(WYNAJEM47[[#This Row],[data_wyjazdu]]-WYNAJEM47[[#This Row],[data_przyjazdu]])</f>
        <v>25</v>
      </c>
      <c r="G844" s="9">
        <f xml:space="preserve"> WYNAJEM47[[#This Row],[energia]] + WYNAJEM47[[#This Row],[woda]]</f>
        <v>3.83</v>
      </c>
      <c r="I844" s="9"/>
    </row>
    <row r="845" spans="1:9" x14ac:dyDescent="0.25">
      <c r="A845" s="1">
        <v>41970</v>
      </c>
      <c r="B845" s="1">
        <v>41982</v>
      </c>
      <c r="C845" s="8">
        <v>6.75</v>
      </c>
      <c r="D845" s="8">
        <v>0.18</v>
      </c>
      <c r="E845">
        <v>3</v>
      </c>
      <c r="F845" s="10">
        <f>(WYNAJEM47[[#This Row],[data_wyjazdu]]-WYNAJEM47[[#This Row],[data_przyjazdu]])</f>
        <v>12</v>
      </c>
      <c r="G845" s="9">
        <f xml:space="preserve"> WYNAJEM47[[#This Row],[energia]] + WYNAJEM47[[#This Row],[woda]]</f>
        <v>6.93</v>
      </c>
      <c r="I845" s="9"/>
    </row>
    <row r="846" spans="1:9" x14ac:dyDescent="0.25">
      <c r="A846" s="1">
        <v>41970</v>
      </c>
      <c r="B846" s="1">
        <v>41981</v>
      </c>
      <c r="C846" s="8">
        <v>2.72</v>
      </c>
      <c r="D846" s="8">
        <v>7.0000000000000007E-2</v>
      </c>
      <c r="E846">
        <v>6</v>
      </c>
      <c r="F846" s="10">
        <f>(WYNAJEM47[[#This Row],[data_wyjazdu]]-WYNAJEM47[[#This Row],[data_przyjazdu]])</f>
        <v>11</v>
      </c>
      <c r="G846" s="9">
        <f xml:space="preserve"> WYNAJEM47[[#This Row],[energia]] + WYNAJEM47[[#This Row],[woda]]</f>
        <v>2.79</v>
      </c>
      <c r="I846" s="9"/>
    </row>
    <row r="847" spans="1:9" x14ac:dyDescent="0.25">
      <c r="A847" s="1">
        <v>41970</v>
      </c>
      <c r="B847" s="1">
        <v>41990</v>
      </c>
      <c r="C847" s="8">
        <v>7.71</v>
      </c>
      <c r="D847" s="8">
        <v>0.2</v>
      </c>
      <c r="E847">
        <v>6</v>
      </c>
      <c r="F847" s="10">
        <f>(WYNAJEM47[[#This Row],[data_wyjazdu]]-WYNAJEM47[[#This Row],[data_przyjazdu]])</f>
        <v>20</v>
      </c>
      <c r="G847" s="9">
        <f xml:space="preserve"> WYNAJEM47[[#This Row],[energia]] + WYNAJEM47[[#This Row],[woda]]</f>
        <v>7.91</v>
      </c>
      <c r="I847" s="9"/>
    </row>
    <row r="848" spans="1:9" x14ac:dyDescent="0.25">
      <c r="A848" s="1">
        <v>41970</v>
      </c>
      <c r="B848" s="1">
        <v>41972</v>
      </c>
      <c r="C848" s="8">
        <v>6.58</v>
      </c>
      <c r="D848" s="8">
        <v>0.17</v>
      </c>
      <c r="E848">
        <v>6</v>
      </c>
      <c r="F848" s="10">
        <f>(WYNAJEM47[[#This Row],[data_wyjazdu]]-WYNAJEM47[[#This Row],[data_przyjazdu]])</f>
        <v>2</v>
      </c>
      <c r="G848" s="9">
        <f xml:space="preserve"> WYNAJEM47[[#This Row],[energia]] + WYNAJEM47[[#This Row],[woda]]</f>
        <v>6.75</v>
      </c>
      <c r="I848" s="9"/>
    </row>
    <row r="849" spans="1:9" x14ac:dyDescent="0.25">
      <c r="A849" s="1">
        <v>41970</v>
      </c>
      <c r="B849" s="1">
        <v>41986</v>
      </c>
      <c r="C849" s="8">
        <v>8.89</v>
      </c>
      <c r="D849" s="8">
        <v>0.23</v>
      </c>
      <c r="E849">
        <v>2</v>
      </c>
      <c r="F849" s="10">
        <f>(WYNAJEM47[[#This Row],[data_wyjazdu]]-WYNAJEM47[[#This Row],[data_przyjazdu]])</f>
        <v>16</v>
      </c>
      <c r="G849" s="9">
        <f xml:space="preserve"> WYNAJEM47[[#This Row],[energia]] + WYNAJEM47[[#This Row],[woda]]</f>
        <v>9.120000000000001</v>
      </c>
      <c r="I849" s="9"/>
    </row>
    <row r="850" spans="1:9" x14ac:dyDescent="0.25">
      <c r="A850" s="1">
        <v>41970</v>
      </c>
      <c r="B850" s="1">
        <v>41986</v>
      </c>
      <c r="C850" s="8">
        <v>5.47</v>
      </c>
      <c r="D850" s="8">
        <v>0.14000000000000001</v>
      </c>
      <c r="E850">
        <v>4</v>
      </c>
      <c r="F850" s="10">
        <f>(WYNAJEM47[[#This Row],[data_wyjazdu]]-WYNAJEM47[[#This Row],[data_przyjazdu]])</f>
        <v>16</v>
      </c>
      <c r="G850" s="9">
        <f xml:space="preserve"> WYNAJEM47[[#This Row],[energia]] + WYNAJEM47[[#This Row],[woda]]</f>
        <v>5.6099999999999994</v>
      </c>
      <c r="I850" s="9"/>
    </row>
    <row r="851" spans="1:9" x14ac:dyDescent="0.25">
      <c r="A851" s="1">
        <v>41971</v>
      </c>
      <c r="B851" s="1">
        <v>41987</v>
      </c>
      <c r="C851" s="8">
        <v>12.01</v>
      </c>
      <c r="D851" s="8">
        <v>0.32</v>
      </c>
      <c r="E851">
        <v>2</v>
      </c>
      <c r="F851" s="10">
        <f>(WYNAJEM47[[#This Row],[data_wyjazdu]]-WYNAJEM47[[#This Row],[data_przyjazdu]])</f>
        <v>16</v>
      </c>
      <c r="G851" s="9">
        <f xml:space="preserve"> WYNAJEM47[[#This Row],[energia]] + WYNAJEM47[[#This Row],[woda]]</f>
        <v>12.33</v>
      </c>
      <c r="I851" s="9"/>
    </row>
    <row r="852" spans="1:9" x14ac:dyDescent="0.25">
      <c r="A852" s="1">
        <v>41971</v>
      </c>
      <c r="B852" s="1">
        <v>41976</v>
      </c>
      <c r="C852" s="8">
        <v>11.44</v>
      </c>
      <c r="D852" s="8">
        <v>0.3</v>
      </c>
      <c r="E852">
        <v>3</v>
      </c>
      <c r="F852" s="10">
        <f>(WYNAJEM47[[#This Row],[data_wyjazdu]]-WYNAJEM47[[#This Row],[data_przyjazdu]])</f>
        <v>5</v>
      </c>
      <c r="G852" s="9">
        <f xml:space="preserve"> WYNAJEM47[[#This Row],[energia]] + WYNAJEM47[[#This Row],[woda]]</f>
        <v>11.74</v>
      </c>
      <c r="I852" s="9"/>
    </row>
    <row r="853" spans="1:9" x14ac:dyDescent="0.25">
      <c r="A853" s="1">
        <v>41971</v>
      </c>
      <c r="B853" s="1">
        <v>41986</v>
      </c>
      <c r="C853" s="8">
        <v>14.13</v>
      </c>
      <c r="D853" s="8">
        <v>0.37</v>
      </c>
      <c r="E853">
        <v>3</v>
      </c>
      <c r="F853" s="10">
        <f>(WYNAJEM47[[#This Row],[data_wyjazdu]]-WYNAJEM47[[#This Row],[data_przyjazdu]])</f>
        <v>15</v>
      </c>
      <c r="G853" s="9">
        <f xml:space="preserve"> WYNAJEM47[[#This Row],[energia]] + WYNAJEM47[[#This Row],[woda]]</f>
        <v>14.5</v>
      </c>
      <c r="I853" s="9"/>
    </row>
    <row r="854" spans="1:9" x14ac:dyDescent="0.25">
      <c r="A854" s="1">
        <v>41971</v>
      </c>
      <c r="B854" s="1">
        <v>41983</v>
      </c>
      <c r="C854" s="8">
        <v>8.9499999999999993</v>
      </c>
      <c r="D854" s="8">
        <v>0.24</v>
      </c>
      <c r="E854">
        <v>6</v>
      </c>
      <c r="F854" s="10">
        <f>(WYNAJEM47[[#This Row],[data_wyjazdu]]-WYNAJEM47[[#This Row],[data_przyjazdu]])</f>
        <v>12</v>
      </c>
      <c r="G854" s="9">
        <f xml:space="preserve"> WYNAJEM47[[#This Row],[energia]] + WYNAJEM47[[#This Row],[woda]]</f>
        <v>9.19</v>
      </c>
      <c r="I854" s="9"/>
    </row>
    <row r="855" spans="1:9" x14ac:dyDescent="0.25">
      <c r="A855" s="1">
        <v>41971</v>
      </c>
      <c r="B855" s="1">
        <v>41973</v>
      </c>
      <c r="C855" s="8">
        <v>8.89</v>
      </c>
      <c r="D855" s="8">
        <v>0.23</v>
      </c>
      <c r="E855">
        <v>2</v>
      </c>
      <c r="F855" s="10">
        <f>(WYNAJEM47[[#This Row],[data_wyjazdu]]-WYNAJEM47[[#This Row],[data_przyjazdu]])</f>
        <v>2</v>
      </c>
      <c r="G855" s="9">
        <f xml:space="preserve"> WYNAJEM47[[#This Row],[energia]] + WYNAJEM47[[#This Row],[woda]]</f>
        <v>9.120000000000001</v>
      </c>
      <c r="I855" s="9"/>
    </row>
    <row r="856" spans="1:9" x14ac:dyDescent="0.25">
      <c r="A856" s="1">
        <v>41971</v>
      </c>
      <c r="B856" s="1">
        <v>41975</v>
      </c>
      <c r="C856" s="8">
        <v>6.43</v>
      </c>
      <c r="D856" s="8">
        <v>0.17</v>
      </c>
      <c r="E856">
        <v>5</v>
      </c>
      <c r="F856" s="10">
        <f>(WYNAJEM47[[#This Row],[data_wyjazdu]]-WYNAJEM47[[#This Row],[data_przyjazdu]])</f>
        <v>4</v>
      </c>
      <c r="G856" s="9">
        <f xml:space="preserve"> WYNAJEM47[[#This Row],[energia]] + WYNAJEM47[[#This Row],[woda]]</f>
        <v>6.6</v>
      </c>
      <c r="I856" s="9"/>
    </row>
    <row r="857" spans="1:9" x14ac:dyDescent="0.25">
      <c r="A857" s="1">
        <v>41971</v>
      </c>
      <c r="B857" s="1">
        <v>41974</v>
      </c>
      <c r="C857" s="8">
        <v>3.94</v>
      </c>
      <c r="D857" s="8">
        <v>0.1</v>
      </c>
      <c r="E857">
        <v>3</v>
      </c>
      <c r="F857" s="10">
        <f>(WYNAJEM47[[#This Row],[data_wyjazdu]]-WYNAJEM47[[#This Row],[data_przyjazdu]])</f>
        <v>3</v>
      </c>
      <c r="G857" s="9">
        <f xml:space="preserve"> WYNAJEM47[[#This Row],[energia]] + WYNAJEM47[[#This Row],[woda]]</f>
        <v>4.04</v>
      </c>
      <c r="I857" s="9"/>
    </row>
    <row r="858" spans="1:9" x14ac:dyDescent="0.25">
      <c r="A858" s="1">
        <v>41971</v>
      </c>
      <c r="B858" s="1">
        <v>41973</v>
      </c>
      <c r="C858" s="8">
        <v>6.23</v>
      </c>
      <c r="D858" s="8">
        <v>0.16</v>
      </c>
      <c r="E858">
        <v>3</v>
      </c>
      <c r="F858" s="10">
        <f>(WYNAJEM47[[#This Row],[data_wyjazdu]]-WYNAJEM47[[#This Row],[data_przyjazdu]])</f>
        <v>2</v>
      </c>
      <c r="G858" s="9">
        <f xml:space="preserve"> WYNAJEM47[[#This Row],[energia]] + WYNAJEM47[[#This Row],[woda]]</f>
        <v>6.3900000000000006</v>
      </c>
      <c r="I858" s="9"/>
    </row>
    <row r="859" spans="1:9" x14ac:dyDescent="0.25">
      <c r="A859" s="1">
        <v>41971</v>
      </c>
      <c r="B859" s="1">
        <v>41999</v>
      </c>
      <c r="C859" s="8">
        <v>13.82</v>
      </c>
      <c r="D859" s="8">
        <v>0.36</v>
      </c>
      <c r="E859">
        <v>3</v>
      </c>
      <c r="F859" s="10">
        <f>(WYNAJEM47[[#This Row],[data_wyjazdu]]-WYNAJEM47[[#This Row],[data_przyjazdu]])</f>
        <v>28</v>
      </c>
      <c r="G859" s="9">
        <f xml:space="preserve"> WYNAJEM47[[#This Row],[energia]] + WYNAJEM47[[#This Row],[woda]]</f>
        <v>14.18</v>
      </c>
      <c r="I859" s="9"/>
    </row>
    <row r="860" spans="1:9" x14ac:dyDescent="0.25">
      <c r="A860" s="1">
        <v>41971</v>
      </c>
      <c r="B860" s="1">
        <v>41987</v>
      </c>
      <c r="C860" s="8">
        <v>4.66</v>
      </c>
      <c r="D860" s="8">
        <v>0.12</v>
      </c>
      <c r="E860">
        <v>4</v>
      </c>
      <c r="F860" s="10">
        <f>(WYNAJEM47[[#This Row],[data_wyjazdu]]-WYNAJEM47[[#This Row],[data_przyjazdu]])</f>
        <v>16</v>
      </c>
      <c r="G860" s="9">
        <f xml:space="preserve"> WYNAJEM47[[#This Row],[energia]] + WYNAJEM47[[#This Row],[woda]]</f>
        <v>4.78</v>
      </c>
      <c r="I860" s="9"/>
    </row>
    <row r="861" spans="1:9" x14ac:dyDescent="0.25">
      <c r="A861" s="1">
        <v>41971</v>
      </c>
      <c r="B861" s="1">
        <v>41998</v>
      </c>
      <c r="C861" s="8">
        <v>6.58</v>
      </c>
      <c r="D861" s="8">
        <v>0.17</v>
      </c>
      <c r="E861">
        <v>6</v>
      </c>
      <c r="F861" s="10">
        <f>(WYNAJEM47[[#This Row],[data_wyjazdu]]-WYNAJEM47[[#This Row],[data_przyjazdu]])</f>
        <v>27</v>
      </c>
      <c r="G861" s="9">
        <f xml:space="preserve"> WYNAJEM47[[#This Row],[energia]] + WYNAJEM47[[#This Row],[woda]]</f>
        <v>6.75</v>
      </c>
      <c r="I861" s="9"/>
    </row>
    <row r="862" spans="1:9" x14ac:dyDescent="0.25">
      <c r="A862" s="1">
        <v>41971</v>
      </c>
      <c r="B862" s="1">
        <v>41987</v>
      </c>
      <c r="C862" s="8">
        <v>5.23</v>
      </c>
      <c r="D862" s="8">
        <v>0.14000000000000001</v>
      </c>
      <c r="E862">
        <v>2</v>
      </c>
      <c r="F862" s="10">
        <f>(WYNAJEM47[[#This Row],[data_wyjazdu]]-WYNAJEM47[[#This Row],[data_przyjazdu]])</f>
        <v>16</v>
      </c>
      <c r="G862" s="9">
        <f xml:space="preserve"> WYNAJEM47[[#This Row],[energia]] + WYNAJEM47[[#This Row],[woda]]</f>
        <v>5.37</v>
      </c>
      <c r="I862" s="9"/>
    </row>
    <row r="863" spans="1:9" x14ac:dyDescent="0.25">
      <c r="A863" s="1">
        <v>41971</v>
      </c>
      <c r="B863" s="1">
        <v>41999</v>
      </c>
      <c r="C863" s="8">
        <v>14</v>
      </c>
      <c r="D863" s="8">
        <v>0.37</v>
      </c>
      <c r="E863">
        <v>6</v>
      </c>
      <c r="F863" s="10">
        <f>(WYNAJEM47[[#This Row],[data_wyjazdu]]-WYNAJEM47[[#This Row],[data_przyjazdu]])</f>
        <v>28</v>
      </c>
      <c r="G863" s="9">
        <f xml:space="preserve"> WYNAJEM47[[#This Row],[energia]] + WYNAJEM47[[#This Row],[woda]]</f>
        <v>14.37</v>
      </c>
      <c r="I863" s="9"/>
    </row>
    <row r="864" spans="1:9" x14ac:dyDescent="0.25">
      <c r="A864" s="1">
        <v>41971</v>
      </c>
      <c r="B864" s="1">
        <v>41993</v>
      </c>
      <c r="C864" s="8">
        <v>8.65</v>
      </c>
      <c r="D864" s="8">
        <v>0.23</v>
      </c>
      <c r="E864">
        <v>2</v>
      </c>
      <c r="F864" s="10">
        <f>(WYNAJEM47[[#This Row],[data_wyjazdu]]-WYNAJEM47[[#This Row],[data_przyjazdu]])</f>
        <v>22</v>
      </c>
      <c r="G864" s="9">
        <f xml:space="preserve"> WYNAJEM47[[#This Row],[energia]] + WYNAJEM47[[#This Row],[woda]]</f>
        <v>8.8800000000000008</v>
      </c>
      <c r="I864" s="9"/>
    </row>
    <row r="865" spans="1:9" x14ac:dyDescent="0.25">
      <c r="A865" s="1">
        <v>41971</v>
      </c>
      <c r="B865" s="1">
        <v>41988</v>
      </c>
      <c r="C865" s="8">
        <v>19.54</v>
      </c>
      <c r="D865" s="8">
        <v>0.51</v>
      </c>
      <c r="E865">
        <v>6</v>
      </c>
      <c r="F865" s="10">
        <f>(WYNAJEM47[[#This Row],[data_wyjazdu]]-WYNAJEM47[[#This Row],[data_przyjazdu]])</f>
        <v>17</v>
      </c>
      <c r="G865" s="9">
        <f xml:space="preserve"> WYNAJEM47[[#This Row],[energia]] + WYNAJEM47[[#This Row],[woda]]</f>
        <v>20.05</v>
      </c>
      <c r="I865" s="9"/>
    </row>
    <row r="866" spans="1:9" x14ac:dyDescent="0.25">
      <c r="A866" s="1">
        <v>41971</v>
      </c>
      <c r="B866" s="1">
        <v>41994</v>
      </c>
      <c r="C866" s="8">
        <v>8.83</v>
      </c>
      <c r="D866" s="8">
        <v>0.23</v>
      </c>
      <c r="E866">
        <v>2</v>
      </c>
      <c r="F866" s="10">
        <f>(WYNAJEM47[[#This Row],[data_wyjazdu]]-WYNAJEM47[[#This Row],[data_przyjazdu]])</f>
        <v>23</v>
      </c>
      <c r="G866" s="9">
        <f xml:space="preserve"> WYNAJEM47[[#This Row],[energia]] + WYNAJEM47[[#This Row],[woda]]</f>
        <v>9.06</v>
      </c>
      <c r="I866" s="9"/>
    </row>
    <row r="867" spans="1:9" x14ac:dyDescent="0.25">
      <c r="A867" s="1">
        <v>41971</v>
      </c>
      <c r="B867" s="1">
        <v>41994</v>
      </c>
      <c r="C867" s="8">
        <v>5.64</v>
      </c>
      <c r="D867" s="8">
        <v>0.15</v>
      </c>
      <c r="E867">
        <v>3</v>
      </c>
      <c r="F867" s="10">
        <f>(WYNAJEM47[[#This Row],[data_wyjazdu]]-WYNAJEM47[[#This Row],[data_przyjazdu]])</f>
        <v>23</v>
      </c>
      <c r="G867" s="9">
        <f xml:space="preserve"> WYNAJEM47[[#This Row],[energia]] + WYNAJEM47[[#This Row],[woda]]</f>
        <v>5.79</v>
      </c>
      <c r="I867" s="9"/>
    </row>
    <row r="868" spans="1:9" x14ac:dyDescent="0.25">
      <c r="A868" s="1">
        <v>41971</v>
      </c>
      <c r="B868" s="1">
        <v>41995</v>
      </c>
      <c r="C868" s="8">
        <v>8.89</v>
      </c>
      <c r="D868" s="8">
        <v>0.23</v>
      </c>
      <c r="E868">
        <v>4</v>
      </c>
      <c r="F868" s="10">
        <f>(WYNAJEM47[[#This Row],[data_wyjazdu]]-WYNAJEM47[[#This Row],[data_przyjazdu]])</f>
        <v>24</v>
      </c>
      <c r="G868" s="9">
        <f xml:space="preserve"> WYNAJEM47[[#This Row],[energia]] + WYNAJEM47[[#This Row],[woda]]</f>
        <v>9.120000000000001</v>
      </c>
      <c r="I868" s="9"/>
    </row>
    <row r="869" spans="1:9" x14ac:dyDescent="0.25">
      <c r="A869" s="1">
        <v>41971</v>
      </c>
      <c r="B869" s="1">
        <v>41981</v>
      </c>
      <c r="C869" s="8">
        <v>16.829999999999998</v>
      </c>
      <c r="D869" s="8">
        <v>0.44</v>
      </c>
      <c r="E869">
        <v>2</v>
      </c>
      <c r="F869" s="10">
        <f>(WYNAJEM47[[#This Row],[data_wyjazdu]]-WYNAJEM47[[#This Row],[data_przyjazdu]])</f>
        <v>10</v>
      </c>
      <c r="G869" s="9">
        <f xml:space="preserve"> WYNAJEM47[[#This Row],[energia]] + WYNAJEM47[[#This Row],[woda]]</f>
        <v>17.27</v>
      </c>
      <c r="I869" s="9"/>
    </row>
    <row r="870" spans="1:9" x14ac:dyDescent="0.25">
      <c r="A870" s="1">
        <v>41971</v>
      </c>
      <c r="B870" s="1">
        <v>41982</v>
      </c>
      <c r="C870" s="8">
        <v>11.42</v>
      </c>
      <c r="D870" s="8">
        <v>0.3</v>
      </c>
      <c r="E870">
        <v>2</v>
      </c>
      <c r="F870" s="10">
        <f>(WYNAJEM47[[#This Row],[data_wyjazdu]]-WYNAJEM47[[#This Row],[data_przyjazdu]])</f>
        <v>11</v>
      </c>
      <c r="G870" s="9">
        <f xml:space="preserve"> WYNAJEM47[[#This Row],[energia]] + WYNAJEM47[[#This Row],[woda]]</f>
        <v>11.72</v>
      </c>
      <c r="I870" s="9"/>
    </row>
    <row r="871" spans="1:9" x14ac:dyDescent="0.25">
      <c r="A871" s="1">
        <v>41972</v>
      </c>
      <c r="B871" s="1">
        <v>41979</v>
      </c>
      <c r="C871" s="8">
        <v>5.64</v>
      </c>
      <c r="D871" s="8">
        <v>0.15</v>
      </c>
      <c r="E871">
        <v>3</v>
      </c>
      <c r="F871" s="10">
        <f>(WYNAJEM47[[#This Row],[data_wyjazdu]]-WYNAJEM47[[#This Row],[data_przyjazdu]])</f>
        <v>7</v>
      </c>
      <c r="G871" s="9">
        <f xml:space="preserve"> WYNAJEM47[[#This Row],[energia]] + WYNAJEM47[[#This Row],[woda]]</f>
        <v>5.79</v>
      </c>
      <c r="I871" s="9"/>
    </row>
    <row r="872" spans="1:9" x14ac:dyDescent="0.25">
      <c r="A872" s="1">
        <v>41974</v>
      </c>
      <c r="B872" s="1">
        <v>41985</v>
      </c>
      <c r="C872" s="8">
        <v>8.7200000000000006</v>
      </c>
      <c r="D872" s="8">
        <v>0.23</v>
      </c>
      <c r="E872">
        <v>6</v>
      </c>
      <c r="F872" s="10">
        <f>(WYNAJEM47[[#This Row],[data_wyjazdu]]-WYNAJEM47[[#This Row],[data_przyjazdu]])</f>
        <v>11</v>
      </c>
      <c r="G872" s="9">
        <f xml:space="preserve"> WYNAJEM47[[#This Row],[energia]] + WYNAJEM47[[#This Row],[woda]]</f>
        <v>8.9500000000000011</v>
      </c>
      <c r="I872" s="9"/>
    </row>
    <row r="873" spans="1:9" x14ac:dyDescent="0.25">
      <c r="A873" s="1">
        <v>41974</v>
      </c>
      <c r="B873" s="1">
        <v>41994</v>
      </c>
      <c r="C873" s="8">
        <v>5.67</v>
      </c>
      <c r="D873" s="8">
        <v>0.15</v>
      </c>
      <c r="E873">
        <v>5</v>
      </c>
      <c r="F873" s="10">
        <f>(WYNAJEM47[[#This Row],[data_wyjazdu]]-WYNAJEM47[[#This Row],[data_przyjazdu]])</f>
        <v>20</v>
      </c>
      <c r="G873" s="9">
        <f xml:space="preserve"> WYNAJEM47[[#This Row],[energia]] + WYNAJEM47[[#This Row],[woda]]</f>
        <v>5.82</v>
      </c>
      <c r="I873" s="9"/>
    </row>
    <row r="874" spans="1:9" x14ac:dyDescent="0.25">
      <c r="A874" s="1">
        <v>41974</v>
      </c>
      <c r="B874" s="1">
        <v>41995</v>
      </c>
      <c r="C874" s="8">
        <v>3.88</v>
      </c>
      <c r="D874" s="8">
        <v>0.1</v>
      </c>
      <c r="E874">
        <v>5</v>
      </c>
      <c r="F874" s="10">
        <f>(WYNAJEM47[[#This Row],[data_wyjazdu]]-WYNAJEM47[[#This Row],[data_przyjazdu]])</f>
        <v>21</v>
      </c>
      <c r="G874" s="9">
        <f xml:space="preserve"> WYNAJEM47[[#This Row],[energia]] + WYNAJEM47[[#This Row],[woda]]</f>
        <v>3.98</v>
      </c>
      <c r="I874" s="9"/>
    </row>
    <row r="875" spans="1:9" x14ac:dyDescent="0.25">
      <c r="A875" s="1">
        <v>41974</v>
      </c>
      <c r="B875" s="1">
        <v>41989</v>
      </c>
      <c r="C875" s="8">
        <v>6.58</v>
      </c>
      <c r="D875" s="8">
        <v>0.17</v>
      </c>
      <c r="E875">
        <v>5</v>
      </c>
      <c r="F875" s="10">
        <f>(WYNAJEM47[[#This Row],[data_wyjazdu]]-WYNAJEM47[[#This Row],[data_przyjazdu]])</f>
        <v>15</v>
      </c>
      <c r="G875" s="9">
        <f xml:space="preserve"> WYNAJEM47[[#This Row],[energia]] + WYNAJEM47[[#This Row],[woda]]</f>
        <v>6.75</v>
      </c>
      <c r="I875" s="9"/>
    </row>
    <row r="876" spans="1:9" x14ac:dyDescent="0.25">
      <c r="A876" s="1">
        <v>41974</v>
      </c>
      <c r="B876" s="1">
        <v>41994</v>
      </c>
      <c r="C876" s="8">
        <v>5.67</v>
      </c>
      <c r="D876" s="8">
        <v>0.15</v>
      </c>
      <c r="E876">
        <v>2</v>
      </c>
      <c r="F876" s="10">
        <f>(WYNAJEM47[[#This Row],[data_wyjazdu]]-WYNAJEM47[[#This Row],[data_przyjazdu]])</f>
        <v>20</v>
      </c>
      <c r="G876" s="9">
        <f xml:space="preserve"> WYNAJEM47[[#This Row],[energia]] + WYNAJEM47[[#This Row],[woda]]</f>
        <v>5.82</v>
      </c>
      <c r="I876" s="9"/>
    </row>
    <row r="877" spans="1:9" x14ac:dyDescent="0.25">
      <c r="A877" s="1">
        <v>41974</v>
      </c>
      <c r="B877" s="1">
        <v>41994</v>
      </c>
      <c r="C877" s="8">
        <v>6.34</v>
      </c>
      <c r="D877" s="8">
        <v>0.17</v>
      </c>
      <c r="E877">
        <v>6</v>
      </c>
      <c r="F877" s="10">
        <f>(WYNAJEM47[[#This Row],[data_wyjazdu]]-WYNAJEM47[[#This Row],[data_przyjazdu]])</f>
        <v>20</v>
      </c>
      <c r="G877" s="9">
        <f xml:space="preserve"> WYNAJEM47[[#This Row],[energia]] + WYNAJEM47[[#This Row],[woda]]</f>
        <v>6.51</v>
      </c>
      <c r="I877" s="9"/>
    </row>
    <row r="878" spans="1:9" x14ac:dyDescent="0.25">
      <c r="A878" s="1">
        <v>41974</v>
      </c>
      <c r="B878" s="1">
        <v>41985</v>
      </c>
      <c r="C878" s="8">
        <v>6.58</v>
      </c>
      <c r="D878" s="8">
        <v>0.17</v>
      </c>
      <c r="E878">
        <v>6</v>
      </c>
      <c r="F878" s="10">
        <f>(WYNAJEM47[[#This Row],[data_wyjazdu]]-WYNAJEM47[[#This Row],[data_przyjazdu]])</f>
        <v>11</v>
      </c>
      <c r="G878" s="9">
        <f xml:space="preserve"> WYNAJEM47[[#This Row],[energia]] + WYNAJEM47[[#This Row],[woda]]</f>
        <v>6.75</v>
      </c>
      <c r="I878" s="9"/>
    </row>
    <row r="879" spans="1:9" x14ac:dyDescent="0.25">
      <c r="A879" s="1">
        <v>41975</v>
      </c>
      <c r="B879" s="1">
        <v>41977</v>
      </c>
      <c r="C879" s="8">
        <v>5.67</v>
      </c>
      <c r="D879" s="8">
        <v>0.15</v>
      </c>
      <c r="E879">
        <v>3</v>
      </c>
      <c r="F879" s="10">
        <f>(WYNAJEM47[[#This Row],[data_wyjazdu]]-WYNAJEM47[[#This Row],[data_przyjazdu]])</f>
        <v>2</v>
      </c>
      <c r="G879" s="9">
        <f xml:space="preserve"> WYNAJEM47[[#This Row],[energia]] + WYNAJEM47[[#This Row],[woda]]</f>
        <v>5.82</v>
      </c>
      <c r="I879" s="9"/>
    </row>
    <row r="880" spans="1:9" x14ac:dyDescent="0.25">
      <c r="A880" s="1">
        <v>41975</v>
      </c>
      <c r="B880" s="1">
        <v>41981</v>
      </c>
      <c r="C880" s="8">
        <v>4.25</v>
      </c>
      <c r="D880" s="8">
        <v>0.11</v>
      </c>
      <c r="E880">
        <v>3</v>
      </c>
      <c r="F880" s="10">
        <f>(WYNAJEM47[[#This Row],[data_wyjazdu]]-WYNAJEM47[[#This Row],[data_przyjazdu]])</f>
        <v>6</v>
      </c>
      <c r="G880" s="9">
        <f xml:space="preserve"> WYNAJEM47[[#This Row],[energia]] + WYNAJEM47[[#This Row],[woda]]</f>
        <v>4.3600000000000003</v>
      </c>
      <c r="I880" s="9"/>
    </row>
    <row r="881" spans="1:9" x14ac:dyDescent="0.25">
      <c r="A881" s="1">
        <v>41975</v>
      </c>
      <c r="B881" s="1">
        <v>41992</v>
      </c>
      <c r="C881" s="8">
        <v>8.84</v>
      </c>
      <c r="D881" s="8">
        <v>0.23</v>
      </c>
      <c r="E881">
        <v>3</v>
      </c>
      <c r="F881" s="10">
        <f>(WYNAJEM47[[#This Row],[data_wyjazdu]]-WYNAJEM47[[#This Row],[data_przyjazdu]])</f>
        <v>17</v>
      </c>
      <c r="G881" s="9">
        <f xml:space="preserve"> WYNAJEM47[[#This Row],[energia]] + WYNAJEM47[[#This Row],[woda]]</f>
        <v>9.07</v>
      </c>
      <c r="I881" s="9"/>
    </row>
    <row r="882" spans="1:9" x14ac:dyDescent="0.25">
      <c r="A882" s="1">
        <v>41975</v>
      </c>
      <c r="B882" s="1">
        <v>41990</v>
      </c>
      <c r="C882" s="8">
        <v>3.57</v>
      </c>
      <c r="D882" s="8">
        <v>0.09</v>
      </c>
      <c r="E882">
        <v>5</v>
      </c>
      <c r="F882" s="10">
        <f>(WYNAJEM47[[#This Row],[data_wyjazdu]]-WYNAJEM47[[#This Row],[data_przyjazdu]])</f>
        <v>15</v>
      </c>
      <c r="G882" s="9">
        <f xml:space="preserve"> WYNAJEM47[[#This Row],[energia]] + WYNAJEM47[[#This Row],[woda]]</f>
        <v>3.6599999999999997</v>
      </c>
      <c r="I882" s="9"/>
    </row>
    <row r="883" spans="1:9" x14ac:dyDescent="0.25">
      <c r="A883" s="1">
        <v>41975</v>
      </c>
      <c r="B883" s="1">
        <v>41990</v>
      </c>
      <c r="C883" s="8">
        <v>2.0099999999999998</v>
      </c>
      <c r="D883" s="8">
        <v>0.05</v>
      </c>
      <c r="E883">
        <v>2</v>
      </c>
      <c r="F883" s="10">
        <f>(WYNAJEM47[[#This Row],[data_wyjazdu]]-WYNAJEM47[[#This Row],[data_przyjazdu]])</f>
        <v>15</v>
      </c>
      <c r="G883" s="9">
        <f xml:space="preserve"> WYNAJEM47[[#This Row],[energia]] + WYNAJEM47[[#This Row],[woda]]</f>
        <v>2.0599999999999996</v>
      </c>
      <c r="I883" s="9"/>
    </row>
    <row r="884" spans="1:9" x14ac:dyDescent="0.25">
      <c r="A884" s="1">
        <v>41975</v>
      </c>
      <c r="B884" s="1">
        <v>41992</v>
      </c>
      <c r="C884" s="8">
        <v>3.73</v>
      </c>
      <c r="D884" s="8">
        <v>0.1</v>
      </c>
      <c r="E884">
        <v>3</v>
      </c>
      <c r="F884" s="10">
        <f>(WYNAJEM47[[#This Row],[data_wyjazdu]]-WYNAJEM47[[#This Row],[data_przyjazdu]])</f>
        <v>17</v>
      </c>
      <c r="G884" s="9">
        <f xml:space="preserve"> WYNAJEM47[[#This Row],[energia]] + WYNAJEM47[[#This Row],[woda]]</f>
        <v>3.83</v>
      </c>
      <c r="I884" s="9"/>
    </row>
    <row r="885" spans="1:9" x14ac:dyDescent="0.25">
      <c r="A885" s="1">
        <v>41976</v>
      </c>
      <c r="B885" s="1">
        <v>41978</v>
      </c>
      <c r="C885" s="8">
        <v>3.57</v>
      </c>
      <c r="D885" s="8">
        <v>0.09</v>
      </c>
      <c r="E885">
        <v>5</v>
      </c>
      <c r="F885" s="10">
        <f>(WYNAJEM47[[#This Row],[data_wyjazdu]]-WYNAJEM47[[#This Row],[data_przyjazdu]])</f>
        <v>2</v>
      </c>
      <c r="G885" s="9">
        <f xml:space="preserve"> WYNAJEM47[[#This Row],[energia]] + WYNAJEM47[[#This Row],[woda]]</f>
        <v>3.6599999999999997</v>
      </c>
      <c r="I885" s="9"/>
    </row>
    <row r="886" spans="1:9" x14ac:dyDescent="0.25">
      <c r="A886" s="1">
        <v>41977</v>
      </c>
      <c r="B886" s="1">
        <v>41993</v>
      </c>
      <c r="C886" s="8">
        <v>6.58</v>
      </c>
      <c r="D886" s="8">
        <v>0.17</v>
      </c>
      <c r="E886">
        <v>4</v>
      </c>
      <c r="F886" s="10">
        <f>(WYNAJEM47[[#This Row],[data_wyjazdu]]-WYNAJEM47[[#This Row],[data_przyjazdu]])</f>
        <v>16</v>
      </c>
      <c r="G886" s="9">
        <f xml:space="preserve"> WYNAJEM47[[#This Row],[energia]] + WYNAJEM47[[#This Row],[woda]]</f>
        <v>6.75</v>
      </c>
      <c r="I886" s="9"/>
    </row>
    <row r="887" spans="1:9" x14ac:dyDescent="0.25">
      <c r="A887" s="1">
        <v>41977</v>
      </c>
      <c r="B887" s="1">
        <v>42005</v>
      </c>
      <c r="C887" s="8">
        <v>5.64</v>
      </c>
      <c r="D887" s="8">
        <v>0.15</v>
      </c>
      <c r="E887">
        <v>6</v>
      </c>
      <c r="F887" s="10">
        <f>(WYNAJEM47[[#This Row],[data_wyjazdu]]-WYNAJEM47[[#This Row],[data_przyjazdu]])</f>
        <v>28</v>
      </c>
      <c r="G887" s="9">
        <f xml:space="preserve"> WYNAJEM47[[#This Row],[energia]] + WYNAJEM47[[#This Row],[woda]]</f>
        <v>5.79</v>
      </c>
      <c r="I887" s="9"/>
    </row>
    <row r="888" spans="1:9" x14ac:dyDescent="0.25">
      <c r="A888" s="1">
        <v>41977</v>
      </c>
      <c r="B888" s="1">
        <v>41989</v>
      </c>
      <c r="C888" s="8">
        <v>3.88</v>
      </c>
      <c r="D888" s="8">
        <v>0.1</v>
      </c>
      <c r="E888">
        <v>2</v>
      </c>
      <c r="F888" s="10">
        <f>(WYNAJEM47[[#This Row],[data_wyjazdu]]-WYNAJEM47[[#This Row],[data_przyjazdu]])</f>
        <v>12</v>
      </c>
      <c r="G888" s="9">
        <f xml:space="preserve"> WYNAJEM47[[#This Row],[energia]] + WYNAJEM47[[#This Row],[woda]]</f>
        <v>3.98</v>
      </c>
      <c r="I888" s="9"/>
    </row>
    <row r="889" spans="1:9" x14ac:dyDescent="0.25">
      <c r="A889" s="1">
        <v>41977</v>
      </c>
      <c r="B889" s="1">
        <v>42000</v>
      </c>
      <c r="C889" s="8">
        <v>3.79</v>
      </c>
      <c r="D889" s="8">
        <v>0.1</v>
      </c>
      <c r="E889">
        <v>6</v>
      </c>
      <c r="F889" s="10">
        <f>(WYNAJEM47[[#This Row],[data_wyjazdu]]-WYNAJEM47[[#This Row],[data_przyjazdu]])</f>
        <v>23</v>
      </c>
      <c r="G889" s="9">
        <f xml:space="preserve"> WYNAJEM47[[#This Row],[energia]] + WYNAJEM47[[#This Row],[woda]]</f>
        <v>3.89</v>
      </c>
      <c r="I889" s="9"/>
    </row>
    <row r="890" spans="1:9" x14ac:dyDescent="0.25">
      <c r="A890" s="1">
        <v>41977</v>
      </c>
      <c r="B890" s="1">
        <v>41984</v>
      </c>
      <c r="C890" s="8">
        <v>11.37</v>
      </c>
      <c r="D890" s="8">
        <v>0.3</v>
      </c>
      <c r="E890">
        <v>2</v>
      </c>
      <c r="F890" s="10">
        <f>(WYNAJEM47[[#This Row],[data_wyjazdu]]-WYNAJEM47[[#This Row],[data_przyjazdu]])</f>
        <v>7</v>
      </c>
      <c r="G890" s="9">
        <f xml:space="preserve"> WYNAJEM47[[#This Row],[energia]] + WYNAJEM47[[#This Row],[woda]]</f>
        <v>11.67</v>
      </c>
      <c r="I890" s="9"/>
    </row>
    <row r="891" spans="1:9" x14ac:dyDescent="0.25">
      <c r="A891" s="1">
        <v>41977</v>
      </c>
      <c r="B891" s="1">
        <v>41994</v>
      </c>
      <c r="C891" s="8">
        <v>16.55</v>
      </c>
      <c r="D891" s="8">
        <v>0.44</v>
      </c>
      <c r="E891">
        <v>6</v>
      </c>
      <c r="F891" s="10">
        <f>(WYNAJEM47[[#This Row],[data_wyjazdu]]-WYNAJEM47[[#This Row],[data_przyjazdu]])</f>
        <v>17</v>
      </c>
      <c r="G891" s="9">
        <f xml:space="preserve"> WYNAJEM47[[#This Row],[energia]] + WYNAJEM47[[#This Row],[woda]]</f>
        <v>16.990000000000002</v>
      </c>
      <c r="I891" s="9"/>
    </row>
    <row r="892" spans="1:9" x14ac:dyDescent="0.25">
      <c r="A892" s="1">
        <v>41977</v>
      </c>
      <c r="B892" s="1">
        <v>42001</v>
      </c>
      <c r="C892" s="8">
        <v>6.88</v>
      </c>
      <c r="D892" s="8">
        <v>0.18</v>
      </c>
      <c r="E892">
        <v>4</v>
      </c>
      <c r="F892" s="10">
        <f>(WYNAJEM47[[#This Row],[data_wyjazdu]]-WYNAJEM47[[#This Row],[data_przyjazdu]])</f>
        <v>24</v>
      </c>
      <c r="G892" s="9">
        <f xml:space="preserve"> WYNAJEM47[[#This Row],[energia]] + WYNAJEM47[[#This Row],[woda]]</f>
        <v>7.06</v>
      </c>
      <c r="I892" s="9"/>
    </row>
    <row r="893" spans="1:9" x14ac:dyDescent="0.25">
      <c r="A893" s="1">
        <v>41982</v>
      </c>
      <c r="B893" s="1">
        <v>42001</v>
      </c>
      <c r="C893" s="8">
        <v>5.64</v>
      </c>
      <c r="D893" s="8">
        <v>0.15</v>
      </c>
      <c r="E893">
        <v>4</v>
      </c>
      <c r="F893" s="10">
        <f>(WYNAJEM47[[#This Row],[data_wyjazdu]]-WYNAJEM47[[#This Row],[data_przyjazdu]])</f>
        <v>19</v>
      </c>
      <c r="G893" s="9">
        <f xml:space="preserve"> WYNAJEM47[[#This Row],[energia]] + WYNAJEM47[[#This Row],[woda]]</f>
        <v>5.79</v>
      </c>
      <c r="I893" s="9"/>
    </row>
    <row r="894" spans="1:9" x14ac:dyDescent="0.25">
      <c r="A894" s="1">
        <v>41982</v>
      </c>
      <c r="B894" s="1">
        <v>42004</v>
      </c>
      <c r="C894" s="8">
        <v>3.57</v>
      </c>
      <c r="D894" s="8">
        <v>0.09</v>
      </c>
      <c r="E894">
        <v>4</v>
      </c>
      <c r="F894" s="10">
        <f>(WYNAJEM47[[#This Row],[data_wyjazdu]]-WYNAJEM47[[#This Row],[data_przyjazdu]])</f>
        <v>22</v>
      </c>
      <c r="G894" s="9">
        <f xml:space="preserve"> WYNAJEM47[[#This Row],[energia]] + WYNAJEM47[[#This Row],[woda]]</f>
        <v>3.6599999999999997</v>
      </c>
      <c r="I894" s="9"/>
    </row>
    <row r="895" spans="1:9" x14ac:dyDescent="0.25">
      <c r="A895" s="1">
        <v>41982</v>
      </c>
      <c r="B895" s="1">
        <v>42007</v>
      </c>
      <c r="C895" s="8">
        <v>9.4600000000000009</v>
      </c>
      <c r="D895" s="8">
        <v>0.25</v>
      </c>
      <c r="E895">
        <v>6</v>
      </c>
      <c r="F895" s="10">
        <f>(WYNAJEM47[[#This Row],[data_wyjazdu]]-WYNAJEM47[[#This Row],[data_przyjazdu]])</f>
        <v>25</v>
      </c>
      <c r="G895" s="9">
        <f xml:space="preserve"> WYNAJEM47[[#This Row],[energia]] + WYNAJEM47[[#This Row],[woda]]</f>
        <v>9.7100000000000009</v>
      </c>
      <c r="I895" s="9"/>
    </row>
    <row r="896" spans="1:9" x14ac:dyDescent="0.25">
      <c r="A896" s="1">
        <v>41982</v>
      </c>
      <c r="B896" s="1">
        <v>41992</v>
      </c>
      <c r="C896" s="8">
        <v>4.25</v>
      </c>
      <c r="D896" s="8">
        <v>0.11</v>
      </c>
      <c r="E896">
        <v>5</v>
      </c>
      <c r="F896" s="10">
        <f>(WYNAJEM47[[#This Row],[data_wyjazdu]]-WYNAJEM47[[#This Row],[data_przyjazdu]])</f>
        <v>10</v>
      </c>
      <c r="G896" s="9">
        <f xml:space="preserve"> WYNAJEM47[[#This Row],[energia]] + WYNAJEM47[[#This Row],[woda]]</f>
        <v>4.3600000000000003</v>
      </c>
      <c r="I896" s="9"/>
    </row>
    <row r="897" spans="1:9" x14ac:dyDescent="0.25">
      <c r="A897" s="1">
        <v>41982</v>
      </c>
      <c r="B897" s="1">
        <v>41988</v>
      </c>
      <c r="C897" s="8">
        <v>5.67</v>
      </c>
      <c r="D897" s="8">
        <v>0.15</v>
      </c>
      <c r="E897">
        <v>5</v>
      </c>
      <c r="F897" s="10">
        <f>(WYNAJEM47[[#This Row],[data_wyjazdu]]-WYNAJEM47[[#This Row],[data_przyjazdu]])</f>
        <v>6</v>
      </c>
      <c r="G897" s="9">
        <f xml:space="preserve"> WYNAJEM47[[#This Row],[energia]] + WYNAJEM47[[#This Row],[woda]]</f>
        <v>5.82</v>
      </c>
      <c r="I897" s="9"/>
    </row>
    <row r="898" spans="1:9" x14ac:dyDescent="0.25">
      <c r="A898" s="1">
        <v>41982</v>
      </c>
      <c r="B898" s="1">
        <v>41999</v>
      </c>
      <c r="C898" s="8">
        <v>6.34</v>
      </c>
      <c r="D898" s="8">
        <v>0.17</v>
      </c>
      <c r="E898">
        <v>2</v>
      </c>
      <c r="F898" s="10">
        <f>(WYNAJEM47[[#This Row],[data_wyjazdu]]-WYNAJEM47[[#This Row],[data_przyjazdu]])</f>
        <v>17</v>
      </c>
      <c r="G898" s="9">
        <f xml:space="preserve"> WYNAJEM47[[#This Row],[energia]] + WYNAJEM47[[#This Row],[woda]]</f>
        <v>6.51</v>
      </c>
      <c r="I898" s="9"/>
    </row>
    <row r="899" spans="1:9" x14ac:dyDescent="0.25">
      <c r="A899" s="1">
        <v>41982</v>
      </c>
      <c r="B899" s="1">
        <v>41991</v>
      </c>
      <c r="C899" s="8">
        <v>14.13</v>
      </c>
      <c r="D899" s="8">
        <v>0.37</v>
      </c>
      <c r="E899">
        <v>6</v>
      </c>
      <c r="F899" s="10">
        <f>(WYNAJEM47[[#This Row],[data_wyjazdu]]-WYNAJEM47[[#This Row],[data_przyjazdu]])</f>
        <v>9</v>
      </c>
      <c r="G899" s="9">
        <f xml:space="preserve"> WYNAJEM47[[#This Row],[energia]] + WYNAJEM47[[#This Row],[woda]]</f>
        <v>14.5</v>
      </c>
      <c r="I899" s="9"/>
    </row>
    <row r="900" spans="1:9" x14ac:dyDescent="0.25">
      <c r="A900" s="1">
        <v>41982</v>
      </c>
      <c r="B900" s="1">
        <v>42007</v>
      </c>
      <c r="C900" s="8">
        <v>8.83</v>
      </c>
      <c r="D900" s="8">
        <v>0.23</v>
      </c>
      <c r="E900">
        <v>5</v>
      </c>
      <c r="F900" s="10">
        <f>(WYNAJEM47[[#This Row],[data_wyjazdu]]-WYNAJEM47[[#This Row],[data_przyjazdu]])</f>
        <v>25</v>
      </c>
      <c r="G900" s="9">
        <f xml:space="preserve"> WYNAJEM47[[#This Row],[energia]] + WYNAJEM47[[#This Row],[woda]]</f>
        <v>9.06</v>
      </c>
      <c r="I900" s="9"/>
    </row>
    <row r="901" spans="1:9" x14ac:dyDescent="0.25">
      <c r="A901" s="1">
        <v>41982</v>
      </c>
      <c r="B901" s="1">
        <v>42003</v>
      </c>
      <c r="C901" s="8">
        <v>7.31</v>
      </c>
      <c r="D901" s="8">
        <v>0.19</v>
      </c>
      <c r="E901">
        <v>2</v>
      </c>
      <c r="F901" s="10">
        <f>(WYNAJEM47[[#This Row],[data_wyjazdu]]-WYNAJEM47[[#This Row],[data_przyjazdu]])</f>
        <v>21</v>
      </c>
      <c r="G901" s="9">
        <f xml:space="preserve"> WYNAJEM47[[#This Row],[energia]] + WYNAJEM47[[#This Row],[woda]]</f>
        <v>7.5</v>
      </c>
      <c r="I901" s="9"/>
    </row>
    <row r="902" spans="1:9" x14ac:dyDescent="0.25">
      <c r="A902" s="1">
        <v>41982</v>
      </c>
      <c r="B902" s="1">
        <v>41997</v>
      </c>
      <c r="C902" s="8">
        <v>9.74</v>
      </c>
      <c r="D902" s="8">
        <v>0.26</v>
      </c>
      <c r="E902">
        <v>6</v>
      </c>
      <c r="F902" s="10">
        <f>(WYNAJEM47[[#This Row],[data_wyjazdu]]-WYNAJEM47[[#This Row],[data_przyjazdu]])</f>
        <v>15</v>
      </c>
      <c r="G902" s="9">
        <f xml:space="preserve"> WYNAJEM47[[#This Row],[energia]] + WYNAJEM47[[#This Row],[woda]]</f>
        <v>10</v>
      </c>
      <c r="I902" s="9"/>
    </row>
    <row r="903" spans="1:9" x14ac:dyDescent="0.25">
      <c r="A903" s="1">
        <v>41982</v>
      </c>
      <c r="B903" s="1">
        <v>42006</v>
      </c>
      <c r="C903" s="8">
        <v>11.42</v>
      </c>
      <c r="D903" s="8">
        <v>0.3</v>
      </c>
      <c r="E903">
        <v>4</v>
      </c>
      <c r="F903" s="10">
        <f>(WYNAJEM47[[#This Row],[data_wyjazdu]]-WYNAJEM47[[#This Row],[data_przyjazdu]])</f>
        <v>24</v>
      </c>
      <c r="G903" s="9">
        <f xml:space="preserve"> WYNAJEM47[[#This Row],[energia]] + WYNAJEM47[[#This Row],[woda]]</f>
        <v>11.72</v>
      </c>
      <c r="I903" s="9"/>
    </row>
    <row r="904" spans="1:9" x14ac:dyDescent="0.25">
      <c r="A904" s="1">
        <v>41982</v>
      </c>
      <c r="B904" s="1">
        <v>41995</v>
      </c>
      <c r="C904" s="8">
        <v>11.44</v>
      </c>
      <c r="D904" s="8">
        <v>0.3</v>
      </c>
      <c r="E904">
        <v>4</v>
      </c>
      <c r="F904" s="10">
        <f>(WYNAJEM47[[#This Row],[data_wyjazdu]]-WYNAJEM47[[#This Row],[data_przyjazdu]])</f>
        <v>13</v>
      </c>
      <c r="G904" s="9">
        <f xml:space="preserve"> WYNAJEM47[[#This Row],[energia]] + WYNAJEM47[[#This Row],[woda]]</f>
        <v>11.74</v>
      </c>
      <c r="I904" s="9"/>
    </row>
    <row r="905" spans="1:9" x14ac:dyDescent="0.25">
      <c r="A905" s="1">
        <v>41982</v>
      </c>
      <c r="B905" s="1">
        <v>41988</v>
      </c>
      <c r="C905" s="8">
        <v>7.35</v>
      </c>
      <c r="D905" s="8">
        <v>0.19</v>
      </c>
      <c r="E905">
        <v>3</v>
      </c>
      <c r="F905" s="10">
        <f>(WYNAJEM47[[#This Row],[data_wyjazdu]]-WYNAJEM47[[#This Row],[data_przyjazdu]])</f>
        <v>6</v>
      </c>
      <c r="G905" s="9">
        <f xml:space="preserve"> WYNAJEM47[[#This Row],[energia]] + WYNAJEM47[[#This Row],[woda]]</f>
        <v>7.54</v>
      </c>
      <c r="I905" s="9"/>
    </row>
    <row r="906" spans="1:9" x14ac:dyDescent="0.25">
      <c r="A906" s="1">
        <v>41982</v>
      </c>
      <c r="B906" s="1">
        <v>41993</v>
      </c>
      <c r="C906" s="8">
        <v>7.3</v>
      </c>
      <c r="D906" s="8">
        <v>0.19</v>
      </c>
      <c r="E906">
        <v>2</v>
      </c>
      <c r="F906" s="10">
        <f>(WYNAJEM47[[#This Row],[data_wyjazdu]]-WYNAJEM47[[#This Row],[data_przyjazdu]])</f>
        <v>11</v>
      </c>
      <c r="G906" s="9">
        <f xml:space="preserve"> WYNAJEM47[[#This Row],[energia]] + WYNAJEM47[[#This Row],[woda]]</f>
        <v>7.49</v>
      </c>
      <c r="I906" s="9"/>
    </row>
    <row r="907" spans="1:9" x14ac:dyDescent="0.25">
      <c r="A907" s="1">
        <v>41982</v>
      </c>
      <c r="B907" s="1">
        <v>41989</v>
      </c>
      <c r="C907" s="8">
        <v>8.65</v>
      </c>
      <c r="D907" s="8">
        <v>0.23</v>
      </c>
      <c r="E907">
        <v>4</v>
      </c>
      <c r="F907" s="10">
        <f>(WYNAJEM47[[#This Row],[data_wyjazdu]]-WYNAJEM47[[#This Row],[data_przyjazdu]])</f>
        <v>7</v>
      </c>
      <c r="G907" s="9">
        <f xml:space="preserve"> WYNAJEM47[[#This Row],[energia]] + WYNAJEM47[[#This Row],[woda]]</f>
        <v>8.8800000000000008</v>
      </c>
      <c r="I907" s="9"/>
    </row>
    <row r="908" spans="1:9" x14ac:dyDescent="0.25">
      <c r="A908" s="1">
        <v>41982</v>
      </c>
      <c r="B908" s="1">
        <v>41991</v>
      </c>
      <c r="C908" s="8">
        <v>8.39</v>
      </c>
      <c r="D908" s="8">
        <v>0.22</v>
      </c>
      <c r="E908">
        <v>2</v>
      </c>
      <c r="F908" s="10">
        <f>(WYNAJEM47[[#This Row],[data_wyjazdu]]-WYNAJEM47[[#This Row],[data_przyjazdu]])</f>
        <v>9</v>
      </c>
      <c r="G908" s="9">
        <f xml:space="preserve"> WYNAJEM47[[#This Row],[energia]] + WYNAJEM47[[#This Row],[woda]]</f>
        <v>8.6100000000000012</v>
      </c>
      <c r="I908" s="9"/>
    </row>
    <row r="909" spans="1:9" x14ac:dyDescent="0.25">
      <c r="A909" s="1">
        <v>41982</v>
      </c>
      <c r="B909" s="1">
        <v>41993</v>
      </c>
      <c r="C909" s="8">
        <v>11.42</v>
      </c>
      <c r="D909" s="8">
        <v>0.3</v>
      </c>
      <c r="E909">
        <v>3</v>
      </c>
      <c r="F909" s="10">
        <f>(WYNAJEM47[[#This Row],[data_wyjazdu]]-WYNAJEM47[[#This Row],[data_przyjazdu]])</f>
        <v>11</v>
      </c>
      <c r="G909" s="9">
        <f xml:space="preserve"> WYNAJEM47[[#This Row],[energia]] + WYNAJEM47[[#This Row],[woda]]</f>
        <v>11.72</v>
      </c>
      <c r="I909" s="9"/>
    </row>
    <row r="910" spans="1:9" x14ac:dyDescent="0.25">
      <c r="A910" s="1">
        <v>41982</v>
      </c>
      <c r="B910" s="1">
        <v>41994</v>
      </c>
      <c r="C910" s="8">
        <v>9.74</v>
      </c>
      <c r="D910" s="8">
        <v>0.26</v>
      </c>
      <c r="E910">
        <v>2</v>
      </c>
      <c r="F910" s="10">
        <f>(WYNAJEM47[[#This Row],[data_wyjazdu]]-WYNAJEM47[[#This Row],[data_przyjazdu]])</f>
        <v>12</v>
      </c>
      <c r="G910" s="9">
        <f xml:space="preserve"> WYNAJEM47[[#This Row],[energia]] + WYNAJEM47[[#This Row],[woda]]</f>
        <v>10</v>
      </c>
      <c r="I910" s="9"/>
    </row>
    <row r="911" spans="1:9" x14ac:dyDescent="0.25">
      <c r="A911" s="1">
        <v>41982</v>
      </c>
      <c r="B911" s="1">
        <v>42002</v>
      </c>
      <c r="C911" s="8">
        <v>13.07</v>
      </c>
      <c r="D911" s="8">
        <v>0.34</v>
      </c>
      <c r="E911">
        <v>2</v>
      </c>
      <c r="F911" s="10">
        <f>(WYNAJEM47[[#This Row],[data_wyjazdu]]-WYNAJEM47[[#This Row],[data_przyjazdu]])</f>
        <v>20</v>
      </c>
      <c r="G911" s="9">
        <f xml:space="preserve"> WYNAJEM47[[#This Row],[energia]] + WYNAJEM47[[#This Row],[woda]]</f>
        <v>13.41</v>
      </c>
      <c r="I911" s="9"/>
    </row>
    <row r="912" spans="1:9" x14ac:dyDescent="0.25">
      <c r="A912" s="1">
        <v>41982</v>
      </c>
      <c r="B912" s="1">
        <v>42006</v>
      </c>
      <c r="C912" s="8">
        <v>6.75</v>
      </c>
      <c r="D912" s="8">
        <v>0.18</v>
      </c>
      <c r="E912">
        <v>4</v>
      </c>
      <c r="F912" s="10">
        <f>(WYNAJEM47[[#This Row],[data_wyjazdu]]-WYNAJEM47[[#This Row],[data_przyjazdu]])</f>
        <v>24</v>
      </c>
      <c r="G912" s="9">
        <f xml:space="preserve"> WYNAJEM47[[#This Row],[energia]] + WYNAJEM47[[#This Row],[woda]]</f>
        <v>6.93</v>
      </c>
      <c r="I912" s="9"/>
    </row>
    <row r="913" spans="1:9" x14ac:dyDescent="0.25">
      <c r="A913" s="1">
        <v>41982</v>
      </c>
      <c r="B913" s="1">
        <v>42010</v>
      </c>
      <c r="C913" s="8">
        <v>6.75</v>
      </c>
      <c r="D913" s="8">
        <v>0.18</v>
      </c>
      <c r="E913">
        <v>2</v>
      </c>
      <c r="F913" s="10">
        <f>(WYNAJEM47[[#This Row],[data_wyjazdu]]-WYNAJEM47[[#This Row],[data_przyjazdu]])</f>
        <v>28</v>
      </c>
      <c r="G913" s="9">
        <f xml:space="preserve"> WYNAJEM47[[#This Row],[energia]] + WYNAJEM47[[#This Row],[woda]]</f>
        <v>6.93</v>
      </c>
      <c r="I913" s="9"/>
    </row>
    <row r="914" spans="1:9" x14ac:dyDescent="0.25">
      <c r="A914" s="1">
        <v>41983</v>
      </c>
      <c r="B914" s="1">
        <v>41990</v>
      </c>
      <c r="C914" s="8">
        <v>9.06</v>
      </c>
      <c r="D914" s="8">
        <v>0.24</v>
      </c>
      <c r="E914">
        <v>4</v>
      </c>
      <c r="F914" s="10">
        <f>(WYNAJEM47[[#This Row],[data_wyjazdu]]-WYNAJEM47[[#This Row],[data_przyjazdu]])</f>
        <v>7</v>
      </c>
      <c r="G914" s="9">
        <f xml:space="preserve"> WYNAJEM47[[#This Row],[energia]] + WYNAJEM47[[#This Row],[woda]]</f>
        <v>9.3000000000000007</v>
      </c>
      <c r="I914" s="9"/>
    </row>
    <row r="915" spans="1:9" x14ac:dyDescent="0.25">
      <c r="A915" s="1">
        <v>41983</v>
      </c>
      <c r="B915" s="1">
        <v>42004</v>
      </c>
      <c r="C915" s="8">
        <v>4.25</v>
      </c>
      <c r="D915" s="8">
        <v>0.11</v>
      </c>
      <c r="E915">
        <v>5</v>
      </c>
      <c r="F915" s="10">
        <f>(WYNAJEM47[[#This Row],[data_wyjazdu]]-WYNAJEM47[[#This Row],[data_przyjazdu]])</f>
        <v>21</v>
      </c>
      <c r="G915" s="9">
        <f xml:space="preserve"> WYNAJEM47[[#This Row],[energia]] + WYNAJEM47[[#This Row],[woda]]</f>
        <v>4.3600000000000003</v>
      </c>
      <c r="I915" s="9"/>
    </row>
    <row r="916" spans="1:9" x14ac:dyDescent="0.25">
      <c r="A916" s="1">
        <v>41983</v>
      </c>
      <c r="B916" s="1">
        <v>41993</v>
      </c>
      <c r="C916" s="8">
        <v>7.06</v>
      </c>
      <c r="D916" s="8">
        <v>0.19</v>
      </c>
      <c r="E916">
        <v>2</v>
      </c>
      <c r="F916" s="10">
        <f>(WYNAJEM47[[#This Row],[data_wyjazdu]]-WYNAJEM47[[#This Row],[data_przyjazdu]])</f>
        <v>10</v>
      </c>
      <c r="G916" s="9">
        <f xml:space="preserve"> WYNAJEM47[[#This Row],[energia]] + WYNAJEM47[[#This Row],[woda]]</f>
        <v>7.25</v>
      </c>
      <c r="I916" s="9"/>
    </row>
    <row r="917" spans="1:9" x14ac:dyDescent="0.25">
      <c r="A917" s="1">
        <v>41983</v>
      </c>
      <c r="B917" s="1">
        <v>41992</v>
      </c>
      <c r="C917" s="8">
        <v>14.31</v>
      </c>
      <c r="D917" s="8">
        <v>0.38</v>
      </c>
      <c r="E917">
        <v>4</v>
      </c>
      <c r="F917" s="10">
        <f>(WYNAJEM47[[#This Row],[data_wyjazdu]]-WYNAJEM47[[#This Row],[data_przyjazdu]])</f>
        <v>9</v>
      </c>
      <c r="G917" s="9">
        <f xml:space="preserve"> WYNAJEM47[[#This Row],[energia]] + WYNAJEM47[[#This Row],[woda]]</f>
        <v>14.690000000000001</v>
      </c>
      <c r="I917" s="9"/>
    </row>
    <row r="918" spans="1:9" x14ac:dyDescent="0.25">
      <c r="A918" s="1">
        <v>41983</v>
      </c>
      <c r="B918" s="1">
        <v>42011</v>
      </c>
      <c r="C918" s="8">
        <v>5.64</v>
      </c>
      <c r="D918" s="8">
        <v>0.15</v>
      </c>
      <c r="E918">
        <v>5</v>
      </c>
      <c r="F918" s="10">
        <f>(WYNAJEM47[[#This Row],[data_wyjazdu]]-WYNAJEM47[[#This Row],[data_przyjazdu]])</f>
        <v>28</v>
      </c>
      <c r="G918" s="9">
        <f xml:space="preserve"> WYNAJEM47[[#This Row],[energia]] + WYNAJEM47[[#This Row],[woda]]</f>
        <v>5.79</v>
      </c>
      <c r="I918" s="9"/>
    </row>
    <row r="919" spans="1:9" x14ac:dyDescent="0.25">
      <c r="A919" s="1">
        <v>41983</v>
      </c>
      <c r="B919" s="1">
        <v>41996</v>
      </c>
      <c r="C919" s="8">
        <v>5.67</v>
      </c>
      <c r="D919" s="8">
        <v>0.15</v>
      </c>
      <c r="E919">
        <v>3</v>
      </c>
      <c r="F919" s="10">
        <f>(WYNAJEM47[[#This Row],[data_wyjazdu]]-WYNAJEM47[[#This Row],[data_przyjazdu]])</f>
        <v>13</v>
      </c>
      <c r="G919" s="9">
        <f xml:space="preserve"> WYNAJEM47[[#This Row],[energia]] + WYNAJEM47[[#This Row],[woda]]</f>
        <v>5.82</v>
      </c>
      <c r="I919" s="9"/>
    </row>
    <row r="920" spans="1:9" x14ac:dyDescent="0.25">
      <c r="A920" s="1">
        <v>41983</v>
      </c>
      <c r="B920" s="1">
        <v>41990</v>
      </c>
      <c r="C920" s="8">
        <v>11.69</v>
      </c>
      <c r="D920" s="8">
        <v>0.31</v>
      </c>
      <c r="E920">
        <v>2</v>
      </c>
      <c r="F920" s="10">
        <f>(WYNAJEM47[[#This Row],[data_wyjazdu]]-WYNAJEM47[[#This Row],[data_przyjazdu]])</f>
        <v>7</v>
      </c>
      <c r="G920" s="9">
        <f xml:space="preserve"> WYNAJEM47[[#This Row],[energia]] + WYNAJEM47[[#This Row],[woda]]</f>
        <v>12</v>
      </c>
      <c r="I920" s="9"/>
    </row>
    <row r="921" spans="1:9" x14ac:dyDescent="0.25">
      <c r="A921" s="1">
        <v>41983</v>
      </c>
      <c r="B921" s="1">
        <v>42002</v>
      </c>
      <c r="C921" s="8">
        <v>13.02</v>
      </c>
      <c r="D921" s="8">
        <v>0.34</v>
      </c>
      <c r="E921">
        <v>3</v>
      </c>
      <c r="F921" s="10">
        <f>(WYNAJEM47[[#This Row],[data_wyjazdu]]-WYNAJEM47[[#This Row],[data_przyjazdu]])</f>
        <v>19</v>
      </c>
      <c r="G921" s="9">
        <f xml:space="preserve"> WYNAJEM47[[#This Row],[energia]] + WYNAJEM47[[#This Row],[woda]]</f>
        <v>13.36</v>
      </c>
      <c r="I921" s="9"/>
    </row>
    <row r="922" spans="1:9" x14ac:dyDescent="0.25">
      <c r="A922" s="1">
        <v>41983</v>
      </c>
      <c r="B922" s="1">
        <v>41986</v>
      </c>
      <c r="C922" s="8">
        <v>4.25</v>
      </c>
      <c r="D922" s="8">
        <v>0.11</v>
      </c>
      <c r="E922">
        <v>3</v>
      </c>
      <c r="F922" s="10">
        <f>(WYNAJEM47[[#This Row],[data_wyjazdu]]-WYNAJEM47[[#This Row],[data_przyjazdu]])</f>
        <v>3</v>
      </c>
      <c r="G922" s="9">
        <f xml:space="preserve"> WYNAJEM47[[#This Row],[energia]] + WYNAJEM47[[#This Row],[woda]]</f>
        <v>4.3600000000000003</v>
      </c>
      <c r="I922" s="9"/>
    </row>
    <row r="923" spans="1:9" x14ac:dyDescent="0.25">
      <c r="A923" s="1">
        <v>41983</v>
      </c>
      <c r="B923" s="1">
        <v>41995</v>
      </c>
      <c r="C923" s="8">
        <v>12.23</v>
      </c>
      <c r="D923" s="8">
        <v>0.32</v>
      </c>
      <c r="E923">
        <v>3</v>
      </c>
      <c r="F923" s="10">
        <f>(WYNAJEM47[[#This Row],[data_wyjazdu]]-WYNAJEM47[[#This Row],[data_przyjazdu]])</f>
        <v>12</v>
      </c>
      <c r="G923" s="9">
        <f xml:space="preserve"> WYNAJEM47[[#This Row],[energia]] + WYNAJEM47[[#This Row],[woda]]</f>
        <v>12.55</v>
      </c>
      <c r="I923" s="9"/>
    </row>
    <row r="924" spans="1:9" x14ac:dyDescent="0.25">
      <c r="A924" s="1">
        <v>41983</v>
      </c>
      <c r="B924" s="1">
        <v>42009</v>
      </c>
      <c r="C924" s="8">
        <v>14.13</v>
      </c>
      <c r="D924" s="8">
        <v>0.37</v>
      </c>
      <c r="E924">
        <v>5</v>
      </c>
      <c r="F924" s="10">
        <f>(WYNAJEM47[[#This Row],[data_wyjazdu]]-WYNAJEM47[[#This Row],[data_przyjazdu]])</f>
        <v>26</v>
      </c>
      <c r="G924" s="9">
        <f xml:space="preserve"> WYNAJEM47[[#This Row],[energia]] + WYNAJEM47[[#This Row],[woda]]</f>
        <v>14.5</v>
      </c>
      <c r="I924" s="9"/>
    </row>
    <row r="925" spans="1:9" x14ac:dyDescent="0.25">
      <c r="A925" s="1">
        <v>41983</v>
      </c>
      <c r="B925" s="1">
        <v>42008</v>
      </c>
      <c r="C925" s="8">
        <v>6.23</v>
      </c>
      <c r="D925" s="8">
        <v>0.16</v>
      </c>
      <c r="E925">
        <v>3</v>
      </c>
      <c r="F925" s="10">
        <f>(WYNAJEM47[[#This Row],[data_wyjazdu]]-WYNAJEM47[[#This Row],[data_przyjazdu]])</f>
        <v>25</v>
      </c>
      <c r="G925" s="9">
        <f xml:space="preserve"> WYNAJEM47[[#This Row],[energia]] + WYNAJEM47[[#This Row],[woda]]</f>
        <v>6.3900000000000006</v>
      </c>
      <c r="I925" s="9"/>
    </row>
    <row r="926" spans="1:9" x14ac:dyDescent="0.25">
      <c r="A926" s="1">
        <v>41983</v>
      </c>
      <c r="B926" s="1">
        <v>42006</v>
      </c>
      <c r="C926" s="8">
        <v>8.5399999999999991</v>
      </c>
      <c r="D926" s="8">
        <v>0.22</v>
      </c>
      <c r="E926">
        <v>2</v>
      </c>
      <c r="F926" s="10">
        <f>(WYNAJEM47[[#This Row],[data_wyjazdu]]-WYNAJEM47[[#This Row],[data_przyjazdu]])</f>
        <v>23</v>
      </c>
      <c r="G926" s="9">
        <f xml:space="preserve"> WYNAJEM47[[#This Row],[energia]] + WYNAJEM47[[#This Row],[woda]]</f>
        <v>8.76</v>
      </c>
      <c r="I926" s="9"/>
    </row>
    <row r="927" spans="1:9" x14ac:dyDescent="0.25">
      <c r="A927" s="1">
        <v>41983</v>
      </c>
      <c r="B927" s="1">
        <v>42001</v>
      </c>
      <c r="C927" s="8">
        <v>7.55</v>
      </c>
      <c r="D927" s="8">
        <v>0.2</v>
      </c>
      <c r="E927">
        <v>2</v>
      </c>
      <c r="F927" s="10">
        <f>(WYNAJEM47[[#This Row],[data_wyjazdu]]-WYNAJEM47[[#This Row],[data_przyjazdu]])</f>
        <v>18</v>
      </c>
      <c r="G927" s="9">
        <f xml:space="preserve"> WYNAJEM47[[#This Row],[energia]] + WYNAJEM47[[#This Row],[woda]]</f>
        <v>7.75</v>
      </c>
      <c r="I927" s="9"/>
    </row>
    <row r="928" spans="1:9" x14ac:dyDescent="0.25">
      <c r="A928" s="1">
        <v>41983</v>
      </c>
      <c r="B928" s="1">
        <v>41989</v>
      </c>
      <c r="C928" s="8">
        <v>14</v>
      </c>
      <c r="D928" s="8">
        <v>0.37</v>
      </c>
      <c r="E928">
        <v>4</v>
      </c>
      <c r="F928" s="10">
        <f>(WYNAJEM47[[#This Row],[data_wyjazdu]]-WYNAJEM47[[#This Row],[data_przyjazdu]])</f>
        <v>6</v>
      </c>
      <c r="G928" s="9">
        <f xml:space="preserve"> WYNAJEM47[[#This Row],[energia]] + WYNAJEM47[[#This Row],[woda]]</f>
        <v>14.37</v>
      </c>
      <c r="I928" s="9"/>
    </row>
    <row r="929" spans="1:9" x14ac:dyDescent="0.25">
      <c r="A929" s="1">
        <v>41983</v>
      </c>
      <c r="B929" s="1">
        <v>41986</v>
      </c>
      <c r="C929" s="8">
        <v>13.02</v>
      </c>
      <c r="D929" s="8">
        <v>0.34</v>
      </c>
      <c r="E929">
        <v>2</v>
      </c>
      <c r="F929" s="10">
        <f>(WYNAJEM47[[#This Row],[data_wyjazdu]]-WYNAJEM47[[#This Row],[data_przyjazdu]])</f>
        <v>3</v>
      </c>
      <c r="G929" s="9">
        <f xml:space="preserve"> WYNAJEM47[[#This Row],[energia]] + WYNAJEM47[[#This Row],[woda]]</f>
        <v>13.36</v>
      </c>
      <c r="I929" s="9"/>
    </row>
    <row r="930" spans="1:9" x14ac:dyDescent="0.25">
      <c r="A930" s="1">
        <v>41983</v>
      </c>
      <c r="B930" s="1">
        <v>42009</v>
      </c>
      <c r="C930" s="8">
        <v>8.39</v>
      </c>
      <c r="D930" s="8">
        <v>0.22</v>
      </c>
      <c r="E930">
        <v>6</v>
      </c>
      <c r="F930" s="10">
        <f>(WYNAJEM47[[#This Row],[data_wyjazdu]]-WYNAJEM47[[#This Row],[data_przyjazdu]])</f>
        <v>26</v>
      </c>
      <c r="G930" s="9">
        <f xml:space="preserve"> WYNAJEM47[[#This Row],[energia]] + WYNAJEM47[[#This Row],[woda]]</f>
        <v>8.6100000000000012</v>
      </c>
      <c r="I930" s="9"/>
    </row>
    <row r="931" spans="1:9" x14ac:dyDescent="0.25">
      <c r="A931" s="1">
        <v>41983</v>
      </c>
      <c r="B931" s="1">
        <v>41990</v>
      </c>
      <c r="C931" s="8">
        <v>5.23</v>
      </c>
      <c r="D931" s="8">
        <v>0.14000000000000001</v>
      </c>
      <c r="E931">
        <v>4</v>
      </c>
      <c r="F931" s="10">
        <f>(WYNAJEM47[[#This Row],[data_wyjazdu]]-WYNAJEM47[[#This Row],[data_przyjazdu]])</f>
        <v>7</v>
      </c>
      <c r="G931" s="9">
        <f xml:space="preserve"> WYNAJEM47[[#This Row],[energia]] + WYNAJEM47[[#This Row],[woda]]</f>
        <v>5.37</v>
      </c>
      <c r="I931" s="9"/>
    </row>
    <row r="932" spans="1:9" x14ac:dyDescent="0.25">
      <c r="A932" s="1">
        <v>41983</v>
      </c>
      <c r="B932" s="1">
        <v>41988</v>
      </c>
      <c r="C932" s="8">
        <v>2.0099999999999998</v>
      </c>
      <c r="D932" s="8">
        <v>0.05</v>
      </c>
      <c r="E932">
        <v>2</v>
      </c>
      <c r="F932" s="10">
        <f>(WYNAJEM47[[#This Row],[data_wyjazdu]]-WYNAJEM47[[#This Row],[data_przyjazdu]])</f>
        <v>5</v>
      </c>
      <c r="G932" s="9">
        <f xml:space="preserve"> WYNAJEM47[[#This Row],[energia]] + WYNAJEM47[[#This Row],[woda]]</f>
        <v>2.0599999999999996</v>
      </c>
      <c r="I932" s="9"/>
    </row>
    <row r="933" spans="1:9" x14ac:dyDescent="0.25">
      <c r="A933" s="1">
        <v>41983</v>
      </c>
      <c r="B933" s="1">
        <v>42008</v>
      </c>
      <c r="C933" s="8">
        <v>7.06</v>
      </c>
      <c r="D933" s="8">
        <v>0.19</v>
      </c>
      <c r="E933">
        <v>5</v>
      </c>
      <c r="F933" s="10">
        <f>(WYNAJEM47[[#This Row],[data_wyjazdu]]-WYNAJEM47[[#This Row],[data_przyjazdu]])</f>
        <v>25</v>
      </c>
      <c r="G933" s="9">
        <f xml:space="preserve"> WYNAJEM47[[#This Row],[energia]] + WYNAJEM47[[#This Row],[woda]]</f>
        <v>7.25</v>
      </c>
      <c r="I933" s="9"/>
    </row>
    <row r="934" spans="1:9" x14ac:dyDescent="0.25">
      <c r="A934" s="1">
        <v>41983</v>
      </c>
      <c r="B934" s="1">
        <v>42004</v>
      </c>
      <c r="C934" s="8">
        <v>19.54</v>
      </c>
      <c r="D934" s="8">
        <v>0.51</v>
      </c>
      <c r="E934">
        <v>3</v>
      </c>
      <c r="F934" s="10">
        <f>(WYNAJEM47[[#This Row],[data_wyjazdu]]-WYNAJEM47[[#This Row],[data_przyjazdu]])</f>
        <v>21</v>
      </c>
      <c r="G934" s="9">
        <f xml:space="preserve"> WYNAJEM47[[#This Row],[energia]] + WYNAJEM47[[#This Row],[woda]]</f>
        <v>20.05</v>
      </c>
      <c r="I934" s="9"/>
    </row>
    <row r="935" spans="1:9" x14ac:dyDescent="0.25">
      <c r="A935" s="1">
        <v>41983</v>
      </c>
      <c r="B935" s="1">
        <v>41993</v>
      </c>
      <c r="C935" s="8">
        <v>5.23</v>
      </c>
      <c r="D935" s="8">
        <v>0.14000000000000001</v>
      </c>
      <c r="E935">
        <v>4</v>
      </c>
      <c r="F935" s="10">
        <f>(WYNAJEM47[[#This Row],[data_wyjazdu]]-WYNAJEM47[[#This Row],[data_przyjazdu]])</f>
        <v>10</v>
      </c>
      <c r="G935" s="9">
        <f xml:space="preserve"> WYNAJEM47[[#This Row],[energia]] + WYNAJEM47[[#This Row],[woda]]</f>
        <v>5.37</v>
      </c>
      <c r="I935" s="9"/>
    </row>
    <row r="936" spans="1:9" x14ac:dyDescent="0.25">
      <c r="A936" s="1">
        <v>41984</v>
      </c>
      <c r="B936" s="1">
        <v>42002</v>
      </c>
      <c r="C936" s="8">
        <v>9.06</v>
      </c>
      <c r="D936" s="8">
        <v>0.24</v>
      </c>
      <c r="E936">
        <v>4</v>
      </c>
      <c r="F936" s="10">
        <f>(WYNAJEM47[[#This Row],[data_wyjazdu]]-WYNAJEM47[[#This Row],[data_przyjazdu]])</f>
        <v>18</v>
      </c>
      <c r="G936" s="9">
        <f xml:space="preserve"> WYNAJEM47[[#This Row],[energia]] + WYNAJEM47[[#This Row],[woda]]</f>
        <v>9.3000000000000007</v>
      </c>
      <c r="I936" s="9"/>
    </row>
    <row r="937" spans="1:9" x14ac:dyDescent="0.25">
      <c r="A937" s="1">
        <v>41984</v>
      </c>
      <c r="B937" s="1">
        <v>41988</v>
      </c>
      <c r="C937" s="8">
        <v>3.73</v>
      </c>
      <c r="D937" s="8">
        <v>0.1</v>
      </c>
      <c r="E937">
        <v>6</v>
      </c>
      <c r="F937" s="10">
        <f>(WYNAJEM47[[#This Row],[data_wyjazdu]]-WYNAJEM47[[#This Row],[data_przyjazdu]])</f>
        <v>4</v>
      </c>
      <c r="G937" s="9">
        <f xml:space="preserve"> WYNAJEM47[[#This Row],[energia]] + WYNAJEM47[[#This Row],[woda]]</f>
        <v>3.83</v>
      </c>
      <c r="I937" s="9"/>
    </row>
    <row r="938" spans="1:9" x14ac:dyDescent="0.25">
      <c r="A938" s="1">
        <v>41985</v>
      </c>
      <c r="B938" s="1">
        <v>42012</v>
      </c>
      <c r="C938" s="8">
        <v>5.67</v>
      </c>
      <c r="D938" s="8">
        <v>0.15</v>
      </c>
      <c r="E938">
        <v>2</v>
      </c>
      <c r="F938" s="10">
        <f>(WYNAJEM47[[#This Row],[data_wyjazdu]]-WYNAJEM47[[#This Row],[data_przyjazdu]])</f>
        <v>27</v>
      </c>
      <c r="G938" s="9">
        <f xml:space="preserve"> WYNAJEM47[[#This Row],[energia]] + WYNAJEM47[[#This Row],[woda]]</f>
        <v>5.82</v>
      </c>
      <c r="I938" s="9"/>
    </row>
    <row r="939" spans="1:9" x14ac:dyDescent="0.25">
      <c r="A939" s="1">
        <v>41985</v>
      </c>
      <c r="B939" s="1">
        <v>41989</v>
      </c>
      <c r="C939" s="8">
        <v>5.67</v>
      </c>
      <c r="D939" s="8">
        <v>0.15</v>
      </c>
      <c r="E939">
        <v>4</v>
      </c>
      <c r="F939" s="10">
        <f>(WYNAJEM47[[#This Row],[data_wyjazdu]]-WYNAJEM47[[#This Row],[data_przyjazdu]])</f>
        <v>4</v>
      </c>
      <c r="G939" s="9">
        <f xml:space="preserve"> WYNAJEM47[[#This Row],[energia]] + WYNAJEM47[[#This Row],[woda]]</f>
        <v>5.82</v>
      </c>
      <c r="I939" s="9"/>
    </row>
    <row r="940" spans="1:9" x14ac:dyDescent="0.25">
      <c r="A940" s="1">
        <v>41985</v>
      </c>
      <c r="B940" s="1">
        <v>41995</v>
      </c>
      <c r="C940" s="8">
        <v>3.57</v>
      </c>
      <c r="D940" s="8">
        <v>0.09</v>
      </c>
      <c r="E940">
        <v>2</v>
      </c>
      <c r="F940" s="10">
        <f>(WYNAJEM47[[#This Row],[data_wyjazdu]]-WYNAJEM47[[#This Row],[data_przyjazdu]])</f>
        <v>10</v>
      </c>
      <c r="G940" s="9">
        <f xml:space="preserve"> WYNAJEM47[[#This Row],[energia]] + WYNAJEM47[[#This Row],[woda]]</f>
        <v>3.6599999999999997</v>
      </c>
      <c r="I940" s="9"/>
    </row>
    <row r="941" spans="1:9" x14ac:dyDescent="0.25">
      <c r="A941" s="1">
        <v>41985</v>
      </c>
      <c r="B941" s="1">
        <v>41995</v>
      </c>
      <c r="C941" s="8">
        <v>3.57</v>
      </c>
      <c r="D941" s="8">
        <v>0.09</v>
      </c>
      <c r="E941">
        <v>3</v>
      </c>
      <c r="F941" s="10">
        <f>(WYNAJEM47[[#This Row],[data_wyjazdu]]-WYNAJEM47[[#This Row],[data_przyjazdu]])</f>
        <v>10</v>
      </c>
      <c r="G941" s="9">
        <f xml:space="preserve"> WYNAJEM47[[#This Row],[energia]] + WYNAJEM47[[#This Row],[woda]]</f>
        <v>3.6599999999999997</v>
      </c>
      <c r="I941" s="9"/>
    </row>
    <row r="942" spans="1:9" x14ac:dyDescent="0.25">
      <c r="A942" s="1">
        <v>41985</v>
      </c>
      <c r="B942" s="1">
        <v>42013</v>
      </c>
      <c r="C942" s="8">
        <v>2.29</v>
      </c>
      <c r="D942" s="8">
        <v>0.06</v>
      </c>
      <c r="E942">
        <v>2</v>
      </c>
      <c r="F942" s="10">
        <f>(WYNAJEM47[[#This Row],[data_wyjazdu]]-WYNAJEM47[[#This Row],[data_przyjazdu]])</f>
        <v>28</v>
      </c>
      <c r="G942" s="9">
        <f xml:space="preserve"> WYNAJEM47[[#This Row],[energia]] + WYNAJEM47[[#This Row],[woda]]</f>
        <v>2.35</v>
      </c>
      <c r="I942" s="9"/>
    </row>
    <row r="943" spans="1:9" x14ac:dyDescent="0.25">
      <c r="A943" s="1">
        <v>41985</v>
      </c>
      <c r="B943" s="1">
        <v>42003</v>
      </c>
      <c r="C943" s="8">
        <v>7.35</v>
      </c>
      <c r="D943" s="8">
        <v>0.19</v>
      </c>
      <c r="E943">
        <v>5</v>
      </c>
      <c r="F943" s="10">
        <f>(WYNAJEM47[[#This Row],[data_wyjazdu]]-WYNAJEM47[[#This Row],[data_przyjazdu]])</f>
        <v>18</v>
      </c>
      <c r="G943" s="9">
        <f xml:space="preserve"> WYNAJEM47[[#This Row],[energia]] + WYNAJEM47[[#This Row],[woda]]</f>
        <v>7.54</v>
      </c>
      <c r="I943" s="9"/>
    </row>
    <row r="944" spans="1:9" x14ac:dyDescent="0.25">
      <c r="A944" s="1">
        <v>41985</v>
      </c>
      <c r="B944" s="1">
        <v>42011</v>
      </c>
      <c r="C944" s="8">
        <v>3.94</v>
      </c>
      <c r="D944" s="8">
        <v>0.1</v>
      </c>
      <c r="E944">
        <v>4</v>
      </c>
      <c r="F944" s="10">
        <f>(WYNAJEM47[[#This Row],[data_wyjazdu]]-WYNAJEM47[[#This Row],[data_przyjazdu]])</f>
        <v>26</v>
      </c>
      <c r="G944" s="9">
        <f xml:space="preserve"> WYNAJEM47[[#This Row],[energia]] + WYNAJEM47[[#This Row],[woda]]</f>
        <v>4.04</v>
      </c>
      <c r="I944" s="9"/>
    </row>
    <row r="945" spans="1:9" x14ac:dyDescent="0.25">
      <c r="A945" s="1">
        <v>41985</v>
      </c>
      <c r="B945" s="1">
        <v>41995</v>
      </c>
      <c r="C945" s="8">
        <v>3.94</v>
      </c>
      <c r="D945" s="8">
        <v>0.1</v>
      </c>
      <c r="E945">
        <v>2</v>
      </c>
      <c r="F945" s="10">
        <f>(WYNAJEM47[[#This Row],[data_wyjazdu]]-WYNAJEM47[[#This Row],[data_przyjazdu]])</f>
        <v>10</v>
      </c>
      <c r="G945" s="9">
        <f xml:space="preserve"> WYNAJEM47[[#This Row],[energia]] + WYNAJEM47[[#This Row],[woda]]</f>
        <v>4.04</v>
      </c>
      <c r="I945" s="9"/>
    </row>
    <row r="946" spans="1:9" x14ac:dyDescent="0.25">
      <c r="A946" s="1">
        <v>41985</v>
      </c>
      <c r="B946" s="1">
        <v>42006</v>
      </c>
      <c r="C946" s="8">
        <v>13.07</v>
      </c>
      <c r="D946" s="8">
        <v>0.34</v>
      </c>
      <c r="E946">
        <v>3</v>
      </c>
      <c r="F946" s="10">
        <f>(WYNAJEM47[[#This Row],[data_wyjazdu]]-WYNAJEM47[[#This Row],[data_przyjazdu]])</f>
        <v>21</v>
      </c>
      <c r="G946" s="9">
        <f xml:space="preserve"> WYNAJEM47[[#This Row],[energia]] + WYNAJEM47[[#This Row],[woda]]</f>
        <v>13.41</v>
      </c>
      <c r="I946" s="9"/>
    </row>
    <row r="947" spans="1:9" x14ac:dyDescent="0.25">
      <c r="A947" s="1">
        <v>41986</v>
      </c>
      <c r="B947" s="1">
        <v>41990</v>
      </c>
      <c r="C947" s="8">
        <v>6.43</v>
      </c>
      <c r="D947" s="8">
        <v>0.17</v>
      </c>
      <c r="E947">
        <v>5</v>
      </c>
      <c r="F947" s="10">
        <f>(WYNAJEM47[[#This Row],[data_wyjazdu]]-WYNAJEM47[[#This Row],[data_przyjazdu]])</f>
        <v>4</v>
      </c>
      <c r="G947" s="9">
        <f xml:space="preserve"> WYNAJEM47[[#This Row],[energia]] + WYNAJEM47[[#This Row],[woda]]</f>
        <v>6.6</v>
      </c>
      <c r="I947" s="9"/>
    </row>
    <row r="948" spans="1:9" x14ac:dyDescent="0.25">
      <c r="A948" s="1">
        <v>41986</v>
      </c>
      <c r="B948" s="1">
        <v>42005</v>
      </c>
      <c r="C948" s="8">
        <v>6.43</v>
      </c>
      <c r="D948" s="8">
        <v>0.17</v>
      </c>
      <c r="E948">
        <v>3</v>
      </c>
      <c r="F948" s="10">
        <f>(WYNAJEM47[[#This Row],[data_wyjazdu]]-WYNAJEM47[[#This Row],[data_przyjazdu]])</f>
        <v>19</v>
      </c>
      <c r="G948" s="9">
        <f xml:space="preserve"> WYNAJEM47[[#This Row],[energia]] + WYNAJEM47[[#This Row],[woda]]</f>
        <v>6.6</v>
      </c>
      <c r="I948" s="9"/>
    </row>
    <row r="949" spans="1:9" x14ac:dyDescent="0.25">
      <c r="A949" s="1">
        <v>41987</v>
      </c>
      <c r="B949" s="1">
        <v>42012</v>
      </c>
      <c r="C949" s="8">
        <v>2.72</v>
      </c>
      <c r="D949" s="8">
        <v>7.0000000000000007E-2</v>
      </c>
      <c r="E949">
        <v>4</v>
      </c>
      <c r="F949" s="10">
        <f>(WYNAJEM47[[#This Row],[data_wyjazdu]]-WYNAJEM47[[#This Row],[data_przyjazdu]])</f>
        <v>25</v>
      </c>
      <c r="G949" s="9">
        <f xml:space="preserve"> WYNAJEM47[[#This Row],[energia]] + WYNAJEM47[[#This Row],[woda]]</f>
        <v>2.79</v>
      </c>
      <c r="I949" s="9"/>
    </row>
    <row r="950" spans="1:9" x14ac:dyDescent="0.25">
      <c r="A950" s="1">
        <v>41987</v>
      </c>
      <c r="B950" s="1">
        <v>42007</v>
      </c>
      <c r="C950" s="8">
        <v>6.43</v>
      </c>
      <c r="D950" s="8">
        <v>0.17</v>
      </c>
      <c r="E950">
        <v>6</v>
      </c>
      <c r="F950" s="10">
        <f>(WYNAJEM47[[#This Row],[data_wyjazdu]]-WYNAJEM47[[#This Row],[data_przyjazdu]])</f>
        <v>20</v>
      </c>
      <c r="G950" s="9">
        <f xml:space="preserve"> WYNAJEM47[[#This Row],[energia]] + WYNAJEM47[[#This Row],[woda]]</f>
        <v>6.6</v>
      </c>
      <c r="I950" s="9"/>
    </row>
    <row r="951" spans="1:9" x14ac:dyDescent="0.25">
      <c r="A951" s="1">
        <v>41988</v>
      </c>
      <c r="B951" s="1">
        <v>42014</v>
      </c>
      <c r="C951" s="8">
        <v>2.0099999999999998</v>
      </c>
      <c r="D951" s="8">
        <v>0.05</v>
      </c>
      <c r="E951">
        <v>3</v>
      </c>
      <c r="F951" s="10">
        <f>(WYNAJEM47[[#This Row],[data_wyjazdu]]-WYNAJEM47[[#This Row],[data_przyjazdu]])</f>
        <v>26</v>
      </c>
      <c r="G951" s="9">
        <f xml:space="preserve"> WYNAJEM47[[#This Row],[energia]] + WYNAJEM47[[#This Row],[woda]]</f>
        <v>2.0599999999999996</v>
      </c>
      <c r="I951" s="9"/>
    </row>
    <row r="952" spans="1:9" x14ac:dyDescent="0.25">
      <c r="A952" s="1">
        <v>41988</v>
      </c>
      <c r="B952" s="1">
        <v>42005</v>
      </c>
      <c r="C952" s="8">
        <v>2.72</v>
      </c>
      <c r="D952" s="8">
        <v>7.0000000000000007E-2</v>
      </c>
      <c r="E952">
        <v>2</v>
      </c>
      <c r="F952" s="10">
        <f>(WYNAJEM47[[#This Row],[data_wyjazdu]]-WYNAJEM47[[#This Row],[data_przyjazdu]])</f>
        <v>17</v>
      </c>
      <c r="G952" s="9">
        <f xml:space="preserve"> WYNAJEM47[[#This Row],[energia]] + WYNAJEM47[[#This Row],[woda]]</f>
        <v>2.79</v>
      </c>
      <c r="I952" s="9"/>
    </row>
    <row r="953" spans="1:9" x14ac:dyDescent="0.25">
      <c r="A953" s="1">
        <v>41988</v>
      </c>
      <c r="B953" s="1">
        <v>41996</v>
      </c>
      <c r="C953" s="8">
        <v>2.0099999999999998</v>
      </c>
      <c r="D953" s="8">
        <v>0.05</v>
      </c>
      <c r="E953">
        <v>5</v>
      </c>
      <c r="F953" s="10">
        <f>(WYNAJEM47[[#This Row],[data_wyjazdu]]-WYNAJEM47[[#This Row],[data_przyjazdu]])</f>
        <v>8</v>
      </c>
      <c r="G953" s="9">
        <f xml:space="preserve"> WYNAJEM47[[#This Row],[energia]] + WYNAJEM47[[#This Row],[woda]]</f>
        <v>2.0599999999999996</v>
      </c>
      <c r="I953" s="9"/>
    </row>
    <row r="954" spans="1:9" x14ac:dyDescent="0.25">
      <c r="A954" s="1">
        <v>41989</v>
      </c>
      <c r="B954" s="1">
        <v>41991</v>
      </c>
      <c r="C954" s="8">
        <v>11.42</v>
      </c>
      <c r="D954" s="8">
        <v>0.3</v>
      </c>
      <c r="E954">
        <v>5</v>
      </c>
      <c r="F954" s="10">
        <f>(WYNAJEM47[[#This Row],[data_wyjazdu]]-WYNAJEM47[[#This Row],[data_przyjazdu]])</f>
        <v>2</v>
      </c>
      <c r="G954" s="9">
        <f xml:space="preserve"> WYNAJEM47[[#This Row],[energia]] + WYNAJEM47[[#This Row],[woda]]</f>
        <v>11.72</v>
      </c>
      <c r="I954" s="9"/>
    </row>
    <row r="955" spans="1:9" x14ac:dyDescent="0.25">
      <c r="A955" s="1">
        <v>41989</v>
      </c>
      <c r="B955" s="1">
        <v>42003</v>
      </c>
      <c r="C955" s="8">
        <v>10.93</v>
      </c>
      <c r="D955" s="8">
        <v>0.28999999999999998</v>
      </c>
      <c r="E955">
        <v>3</v>
      </c>
      <c r="F955" s="10">
        <f>(WYNAJEM47[[#This Row],[data_wyjazdu]]-WYNAJEM47[[#This Row],[data_przyjazdu]])</f>
        <v>14</v>
      </c>
      <c r="G955" s="9">
        <f xml:space="preserve"> WYNAJEM47[[#This Row],[energia]] + WYNAJEM47[[#This Row],[woda]]</f>
        <v>11.219999999999999</v>
      </c>
      <c r="I955" s="9"/>
    </row>
    <row r="956" spans="1:9" x14ac:dyDescent="0.25">
      <c r="A956" s="1">
        <v>41989</v>
      </c>
      <c r="B956" s="1">
        <v>41997</v>
      </c>
      <c r="C956" s="8">
        <v>9.06</v>
      </c>
      <c r="D956" s="8">
        <v>0.24</v>
      </c>
      <c r="E956">
        <v>2</v>
      </c>
      <c r="F956" s="10">
        <f>(WYNAJEM47[[#This Row],[data_wyjazdu]]-WYNAJEM47[[#This Row],[data_przyjazdu]])</f>
        <v>8</v>
      </c>
      <c r="G956" s="9">
        <f xml:space="preserve"> WYNAJEM47[[#This Row],[energia]] + WYNAJEM47[[#This Row],[woda]]</f>
        <v>9.3000000000000007</v>
      </c>
      <c r="I956" s="9"/>
    </row>
    <row r="957" spans="1:9" x14ac:dyDescent="0.25">
      <c r="A957" s="1">
        <v>41989</v>
      </c>
      <c r="B957" s="1">
        <v>41998</v>
      </c>
      <c r="C957" s="8">
        <v>5.67</v>
      </c>
      <c r="D957" s="8">
        <v>0.15</v>
      </c>
      <c r="E957">
        <v>3</v>
      </c>
      <c r="F957" s="10">
        <f>(WYNAJEM47[[#This Row],[data_wyjazdu]]-WYNAJEM47[[#This Row],[data_przyjazdu]])</f>
        <v>9</v>
      </c>
      <c r="G957" s="9">
        <f xml:space="preserve"> WYNAJEM47[[#This Row],[energia]] + WYNAJEM47[[#This Row],[woda]]</f>
        <v>5.82</v>
      </c>
      <c r="I957" s="9"/>
    </row>
    <row r="958" spans="1:9" x14ac:dyDescent="0.25">
      <c r="A958" s="1">
        <v>41989</v>
      </c>
      <c r="B958" s="1">
        <v>42015</v>
      </c>
      <c r="C958" s="8">
        <v>3.57</v>
      </c>
      <c r="D958" s="8">
        <v>0.09</v>
      </c>
      <c r="E958">
        <v>4</v>
      </c>
      <c r="F958" s="10">
        <f>(WYNAJEM47[[#This Row],[data_wyjazdu]]-WYNAJEM47[[#This Row],[data_przyjazdu]])</f>
        <v>26</v>
      </c>
      <c r="G958" s="9">
        <f xml:space="preserve"> WYNAJEM47[[#This Row],[energia]] + WYNAJEM47[[#This Row],[woda]]</f>
        <v>3.6599999999999997</v>
      </c>
      <c r="I958" s="9"/>
    </row>
    <row r="959" spans="1:9" x14ac:dyDescent="0.25">
      <c r="A959" s="1">
        <v>41989</v>
      </c>
      <c r="B959" s="1">
        <v>42011</v>
      </c>
      <c r="C959" s="8">
        <v>3.79</v>
      </c>
      <c r="D959" s="8">
        <v>0.1</v>
      </c>
      <c r="E959">
        <v>5</v>
      </c>
      <c r="F959" s="10">
        <f>(WYNAJEM47[[#This Row],[data_wyjazdu]]-WYNAJEM47[[#This Row],[data_przyjazdu]])</f>
        <v>22</v>
      </c>
      <c r="G959" s="9">
        <f xml:space="preserve"> WYNAJEM47[[#This Row],[energia]] + WYNAJEM47[[#This Row],[woda]]</f>
        <v>3.89</v>
      </c>
      <c r="I959" s="9"/>
    </row>
    <row r="960" spans="1:9" x14ac:dyDescent="0.25">
      <c r="A960" s="1">
        <v>41990</v>
      </c>
      <c r="B960" s="1">
        <v>41996</v>
      </c>
      <c r="C960" s="8">
        <v>4.66</v>
      </c>
      <c r="D960" s="8">
        <v>0.12</v>
      </c>
      <c r="E960">
        <v>3</v>
      </c>
      <c r="F960" s="10">
        <f>(WYNAJEM47[[#This Row],[data_wyjazdu]]-WYNAJEM47[[#This Row],[data_przyjazdu]])</f>
        <v>6</v>
      </c>
      <c r="G960" s="9">
        <f xml:space="preserve"> WYNAJEM47[[#This Row],[energia]] + WYNAJEM47[[#This Row],[woda]]</f>
        <v>4.78</v>
      </c>
      <c r="I960" s="9"/>
    </row>
    <row r="961" spans="1:9" x14ac:dyDescent="0.25">
      <c r="A961" s="1">
        <v>41990</v>
      </c>
      <c r="B961" s="1">
        <v>42004</v>
      </c>
      <c r="C961" s="8">
        <v>6.43</v>
      </c>
      <c r="D961" s="8">
        <v>0.17</v>
      </c>
      <c r="E961">
        <v>6</v>
      </c>
      <c r="F961" s="10">
        <f>(WYNAJEM47[[#This Row],[data_wyjazdu]]-WYNAJEM47[[#This Row],[data_przyjazdu]])</f>
        <v>14</v>
      </c>
      <c r="G961" s="9">
        <f xml:space="preserve"> WYNAJEM47[[#This Row],[energia]] + WYNAJEM47[[#This Row],[woda]]</f>
        <v>6.6</v>
      </c>
      <c r="I961" s="9"/>
    </row>
    <row r="962" spans="1:9" x14ac:dyDescent="0.25">
      <c r="A962" s="1">
        <v>41990</v>
      </c>
      <c r="B962" s="1">
        <v>41998</v>
      </c>
      <c r="C962" s="8">
        <v>6.58</v>
      </c>
      <c r="D962" s="8">
        <v>0.17</v>
      </c>
      <c r="E962">
        <v>4</v>
      </c>
      <c r="F962" s="10">
        <f>(WYNAJEM47[[#This Row],[data_wyjazdu]]-WYNAJEM47[[#This Row],[data_przyjazdu]])</f>
        <v>8</v>
      </c>
      <c r="G962" s="9">
        <f xml:space="preserve"> WYNAJEM47[[#This Row],[energia]] + WYNAJEM47[[#This Row],[woda]]</f>
        <v>6.75</v>
      </c>
      <c r="I962" s="9"/>
    </row>
    <row r="963" spans="1:9" x14ac:dyDescent="0.25">
      <c r="A963" s="1">
        <v>41991</v>
      </c>
      <c r="B963" s="1">
        <v>41998</v>
      </c>
      <c r="C963" s="8">
        <v>4.66</v>
      </c>
      <c r="D963" s="8">
        <v>0.12</v>
      </c>
      <c r="E963">
        <v>6</v>
      </c>
      <c r="F963" s="10">
        <f>(WYNAJEM47[[#This Row],[data_wyjazdu]]-WYNAJEM47[[#This Row],[data_przyjazdu]])</f>
        <v>7</v>
      </c>
      <c r="G963" s="9">
        <f xml:space="preserve"> WYNAJEM47[[#This Row],[energia]] + WYNAJEM47[[#This Row],[woda]]</f>
        <v>4.78</v>
      </c>
      <c r="I963" s="9"/>
    </row>
    <row r="964" spans="1:9" x14ac:dyDescent="0.25">
      <c r="A964" s="1">
        <v>41991</v>
      </c>
      <c r="B964" s="1">
        <v>42003</v>
      </c>
      <c r="C964" s="8">
        <v>4.66</v>
      </c>
      <c r="D964" s="8">
        <v>0.12</v>
      </c>
      <c r="E964">
        <v>5</v>
      </c>
      <c r="F964" s="10">
        <f>(WYNAJEM47[[#This Row],[data_wyjazdu]]-WYNAJEM47[[#This Row],[data_przyjazdu]])</f>
        <v>12</v>
      </c>
      <c r="G964" s="9">
        <f xml:space="preserve"> WYNAJEM47[[#This Row],[energia]] + WYNAJEM47[[#This Row],[woda]]</f>
        <v>4.78</v>
      </c>
      <c r="I964" s="9"/>
    </row>
    <row r="965" spans="1:9" x14ac:dyDescent="0.25">
      <c r="A965" s="1">
        <v>41991</v>
      </c>
      <c r="B965" s="1">
        <v>41999</v>
      </c>
      <c r="C965" s="8">
        <v>3.73</v>
      </c>
      <c r="D965" s="8">
        <v>0.1</v>
      </c>
      <c r="E965">
        <v>5</v>
      </c>
      <c r="F965" s="10">
        <f>(WYNAJEM47[[#This Row],[data_wyjazdu]]-WYNAJEM47[[#This Row],[data_przyjazdu]])</f>
        <v>8</v>
      </c>
      <c r="G965" s="9">
        <f xml:space="preserve"> WYNAJEM47[[#This Row],[energia]] + WYNAJEM47[[#This Row],[woda]]</f>
        <v>3.83</v>
      </c>
      <c r="I965" s="9"/>
    </row>
    <row r="966" spans="1:9" x14ac:dyDescent="0.25">
      <c r="A966" s="1">
        <v>41991</v>
      </c>
      <c r="B966" s="1">
        <v>41995</v>
      </c>
      <c r="C966" s="8">
        <v>4.25</v>
      </c>
      <c r="D966" s="8">
        <v>0.11</v>
      </c>
      <c r="E966">
        <v>4</v>
      </c>
      <c r="F966" s="10">
        <f>(WYNAJEM47[[#This Row],[data_wyjazdu]]-WYNAJEM47[[#This Row],[data_przyjazdu]])</f>
        <v>4</v>
      </c>
      <c r="G966" s="9">
        <f xml:space="preserve"> WYNAJEM47[[#This Row],[energia]] + WYNAJEM47[[#This Row],[woda]]</f>
        <v>4.3600000000000003</v>
      </c>
      <c r="I966" s="9"/>
    </row>
    <row r="967" spans="1:9" x14ac:dyDescent="0.25">
      <c r="A967" s="1">
        <v>41991</v>
      </c>
      <c r="B967" s="1">
        <v>42014</v>
      </c>
      <c r="C967" s="8">
        <v>6.34</v>
      </c>
      <c r="D967" s="8">
        <v>0.17</v>
      </c>
      <c r="E967">
        <v>5</v>
      </c>
      <c r="F967" s="10">
        <f>(WYNAJEM47[[#This Row],[data_wyjazdu]]-WYNAJEM47[[#This Row],[data_przyjazdu]])</f>
        <v>23</v>
      </c>
      <c r="G967" s="9">
        <f xml:space="preserve"> WYNAJEM47[[#This Row],[energia]] + WYNAJEM47[[#This Row],[woda]]</f>
        <v>6.51</v>
      </c>
      <c r="I967" s="9"/>
    </row>
    <row r="968" spans="1:9" x14ac:dyDescent="0.25">
      <c r="A968" s="1">
        <v>41992</v>
      </c>
      <c r="B968" s="1">
        <v>42016</v>
      </c>
      <c r="C968" s="8">
        <v>2.0099999999999998</v>
      </c>
      <c r="D968" s="8">
        <v>0.05</v>
      </c>
      <c r="E968">
        <v>6</v>
      </c>
      <c r="F968" s="10">
        <f>(WYNAJEM47[[#This Row],[data_wyjazdu]]-WYNAJEM47[[#This Row],[data_przyjazdu]])</f>
        <v>24</v>
      </c>
      <c r="G968" s="9">
        <f xml:space="preserve"> WYNAJEM47[[#This Row],[energia]] + WYNAJEM47[[#This Row],[woda]]</f>
        <v>2.0599999999999996</v>
      </c>
      <c r="I968" s="9"/>
    </row>
    <row r="969" spans="1:9" x14ac:dyDescent="0.25">
      <c r="A969" s="1">
        <v>41992</v>
      </c>
      <c r="B969" s="1">
        <v>42007</v>
      </c>
      <c r="C969" s="8">
        <v>6.34</v>
      </c>
      <c r="D969" s="8">
        <v>0.17</v>
      </c>
      <c r="E969">
        <v>6</v>
      </c>
      <c r="F969" s="10">
        <f>(WYNAJEM47[[#This Row],[data_wyjazdu]]-WYNAJEM47[[#This Row],[data_przyjazdu]])</f>
        <v>15</v>
      </c>
      <c r="G969" s="9">
        <f xml:space="preserve"> WYNAJEM47[[#This Row],[energia]] + WYNAJEM47[[#This Row],[woda]]</f>
        <v>6.51</v>
      </c>
      <c r="I969" s="9"/>
    </row>
    <row r="970" spans="1:9" x14ac:dyDescent="0.25">
      <c r="A970" s="1">
        <v>41993</v>
      </c>
      <c r="B970" s="1">
        <v>42014</v>
      </c>
      <c r="C970" s="8">
        <v>3.94</v>
      </c>
      <c r="D970" s="8">
        <v>0.1</v>
      </c>
      <c r="E970">
        <v>4</v>
      </c>
      <c r="F970" s="10">
        <f>(WYNAJEM47[[#This Row],[data_wyjazdu]]-WYNAJEM47[[#This Row],[data_przyjazdu]])</f>
        <v>21</v>
      </c>
      <c r="G970" s="9">
        <f xml:space="preserve"> WYNAJEM47[[#This Row],[energia]] + WYNAJEM47[[#This Row],[woda]]</f>
        <v>4.04</v>
      </c>
      <c r="I970" s="9"/>
    </row>
    <row r="971" spans="1:9" x14ac:dyDescent="0.25">
      <c r="A971" s="1">
        <v>41993</v>
      </c>
      <c r="B971" s="1">
        <v>42021</v>
      </c>
      <c r="C971" s="8">
        <v>8.7200000000000006</v>
      </c>
      <c r="D971" s="8">
        <v>0.23</v>
      </c>
      <c r="E971">
        <v>4</v>
      </c>
      <c r="F971" s="10">
        <f>(WYNAJEM47[[#This Row],[data_wyjazdu]]-WYNAJEM47[[#This Row],[data_przyjazdu]])</f>
        <v>28</v>
      </c>
      <c r="G971" s="9">
        <f xml:space="preserve"> WYNAJEM47[[#This Row],[energia]] + WYNAJEM47[[#This Row],[woda]]</f>
        <v>8.9500000000000011</v>
      </c>
      <c r="I971" s="9"/>
    </row>
    <row r="972" spans="1:9" x14ac:dyDescent="0.25">
      <c r="A972" s="1">
        <v>41994</v>
      </c>
      <c r="B972" s="1">
        <v>42012</v>
      </c>
      <c r="C972" s="8">
        <v>5.67</v>
      </c>
      <c r="D972" s="8">
        <v>0.15</v>
      </c>
      <c r="E972">
        <v>6</v>
      </c>
      <c r="F972" s="10">
        <f>(WYNAJEM47[[#This Row],[data_wyjazdu]]-WYNAJEM47[[#This Row],[data_przyjazdu]])</f>
        <v>18</v>
      </c>
      <c r="G972" s="9">
        <f xml:space="preserve"> WYNAJEM47[[#This Row],[energia]] + WYNAJEM47[[#This Row],[woda]]</f>
        <v>5.82</v>
      </c>
      <c r="I972" s="9"/>
    </row>
    <row r="973" spans="1:9" x14ac:dyDescent="0.25">
      <c r="A973" s="1">
        <v>41994</v>
      </c>
      <c r="B973" s="1">
        <v>42021</v>
      </c>
      <c r="C973" s="8">
        <v>6.58</v>
      </c>
      <c r="D973" s="8">
        <v>0.17</v>
      </c>
      <c r="E973">
        <v>5</v>
      </c>
      <c r="F973" s="10">
        <f>(WYNAJEM47[[#This Row],[data_wyjazdu]]-WYNAJEM47[[#This Row],[data_przyjazdu]])</f>
        <v>27</v>
      </c>
      <c r="G973" s="9">
        <f xml:space="preserve"> WYNAJEM47[[#This Row],[energia]] + WYNAJEM47[[#This Row],[woda]]</f>
        <v>6.75</v>
      </c>
      <c r="I973" s="9"/>
    </row>
    <row r="974" spans="1:9" x14ac:dyDescent="0.25">
      <c r="A974" s="1">
        <v>41994</v>
      </c>
      <c r="B974" s="1">
        <v>42022</v>
      </c>
      <c r="C974" s="8">
        <v>8.7200000000000006</v>
      </c>
      <c r="D974" s="8">
        <v>0.23</v>
      </c>
      <c r="E974">
        <v>6</v>
      </c>
      <c r="F974" s="10">
        <f>(WYNAJEM47[[#This Row],[data_wyjazdu]]-WYNAJEM47[[#This Row],[data_przyjazdu]])</f>
        <v>28</v>
      </c>
      <c r="G974" s="9">
        <f xml:space="preserve"> WYNAJEM47[[#This Row],[energia]] + WYNAJEM47[[#This Row],[woda]]</f>
        <v>8.9500000000000011</v>
      </c>
      <c r="I974" s="9"/>
    </row>
    <row r="975" spans="1:9" x14ac:dyDescent="0.25">
      <c r="A975" s="1">
        <v>41994</v>
      </c>
      <c r="B975" s="1">
        <v>42000</v>
      </c>
      <c r="C975" s="8">
        <v>6.43</v>
      </c>
      <c r="D975" s="8">
        <v>0.17</v>
      </c>
      <c r="E975">
        <v>2</v>
      </c>
      <c r="F975" s="10">
        <f>(WYNAJEM47[[#This Row],[data_wyjazdu]]-WYNAJEM47[[#This Row],[data_przyjazdu]])</f>
        <v>6</v>
      </c>
      <c r="G975" s="9">
        <f xml:space="preserve"> WYNAJEM47[[#This Row],[energia]] + WYNAJEM47[[#This Row],[woda]]</f>
        <v>6.6</v>
      </c>
      <c r="I975" s="9"/>
    </row>
    <row r="976" spans="1:9" x14ac:dyDescent="0.25">
      <c r="A976" s="1">
        <v>41994</v>
      </c>
      <c r="B976" s="1">
        <v>42001</v>
      </c>
      <c r="C976" s="8">
        <v>3.73</v>
      </c>
      <c r="D976" s="8">
        <v>0.1</v>
      </c>
      <c r="E976">
        <v>2</v>
      </c>
      <c r="F976" s="10">
        <f>(WYNAJEM47[[#This Row],[data_wyjazdu]]-WYNAJEM47[[#This Row],[data_przyjazdu]])</f>
        <v>7</v>
      </c>
      <c r="G976" s="9">
        <f xml:space="preserve"> WYNAJEM47[[#This Row],[energia]] + WYNAJEM47[[#This Row],[woda]]</f>
        <v>3.83</v>
      </c>
      <c r="I976" s="9"/>
    </row>
    <row r="977" spans="1:9" x14ac:dyDescent="0.25">
      <c r="A977" s="1">
        <v>41994</v>
      </c>
      <c r="B977" s="1">
        <v>42015</v>
      </c>
      <c r="C977" s="8">
        <v>7.71</v>
      </c>
      <c r="D977" s="8">
        <v>0.2</v>
      </c>
      <c r="E977">
        <v>6</v>
      </c>
      <c r="F977" s="10">
        <f>(WYNAJEM47[[#This Row],[data_wyjazdu]]-WYNAJEM47[[#This Row],[data_przyjazdu]])</f>
        <v>21</v>
      </c>
      <c r="G977" s="9">
        <f xml:space="preserve"> WYNAJEM47[[#This Row],[energia]] + WYNAJEM47[[#This Row],[woda]]</f>
        <v>7.91</v>
      </c>
      <c r="I977" s="9"/>
    </row>
    <row r="978" spans="1:9" x14ac:dyDescent="0.25">
      <c r="A978" s="1">
        <v>41994</v>
      </c>
      <c r="B978" s="1">
        <v>42007</v>
      </c>
      <c r="C978" s="8">
        <v>7.31</v>
      </c>
      <c r="D978" s="8">
        <v>0.19</v>
      </c>
      <c r="E978">
        <v>5</v>
      </c>
      <c r="F978" s="10">
        <f>(WYNAJEM47[[#This Row],[data_wyjazdu]]-WYNAJEM47[[#This Row],[data_przyjazdu]])</f>
        <v>13</v>
      </c>
      <c r="G978" s="9">
        <f xml:space="preserve"> WYNAJEM47[[#This Row],[energia]] + WYNAJEM47[[#This Row],[woda]]</f>
        <v>7.5</v>
      </c>
      <c r="I978" s="9"/>
    </row>
    <row r="979" spans="1:9" x14ac:dyDescent="0.25">
      <c r="A979" s="1">
        <v>41994</v>
      </c>
      <c r="B979" s="1">
        <v>42016</v>
      </c>
      <c r="C979" s="8">
        <v>4.25</v>
      </c>
      <c r="D979" s="8">
        <v>0.11</v>
      </c>
      <c r="E979">
        <v>4</v>
      </c>
      <c r="F979" s="10">
        <f>(WYNAJEM47[[#This Row],[data_wyjazdu]]-WYNAJEM47[[#This Row],[data_przyjazdu]])</f>
        <v>22</v>
      </c>
      <c r="G979" s="9">
        <f xml:space="preserve"> WYNAJEM47[[#This Row],[energia]] + WYNAJEM47[[#This Row],[woda]]</f>
        <v>4.3600000000000003</v>
      </c>
      <c r="I979" s="9"/>
    </row>
    <row r="980" spans="1:9" x14ac:dyDescent="0.25">
      <c r="A980" s="1">
        <v>41995</v>
      </c>
      <c r="B980" s="1">
        <v>42018</v>
      </c>
      <c r="C980" s="8">
        <v>6.43</v>
      </c>
      <c r="D980" s="8">
        <v>0.17</v>
      </c>
      <c r="E980">
        <v>2</v>
      </c>
      <c r="F980" s="10">
        <f>(WYNAJEM47[[#This Row],[data_wyjazdu]]-WYNAJEM47[[#This Row],[data_przyjazdu]])</f>
        <v>23</v>
      </c>
      <c r="G980" s="9">
        <f xml:space="preserve"> WYNAJEM47[[#This Row],[energia]] + WYNAJEM47[[#This Row],[woda]]</f>
        <v>6.6</v>
      </c>
      <c r="I980" s="9"/>
    </row>
    <row r="981" spans="1:9" x14ac:dyDescent="0.25">
      <c r="A981" s="1">
        <v>41995</v>
      </c>
      <c r="B981" s="1">
        <v>42017</v>
      </c>
      <c r="C981" s="8">
        <v>4.66</v>
      </c>
      <c r="D981" s="8">
        <v>0.12</v>
      </c>
      <c r="E981">
        <v>5</v>
      </c>
      <c r="F981" s="10">
        <f>(WYNAJEM47[[#This Row],[data_wyjazdu]]-WYNAJEM47[[#This Row],[data_przyjazdu]])</f>
        <v>22</v>
      </c>
      <c r="G981" s="9">
        <f xml:space="preserve"> WYNAJEM47[[#This Row],[energia]] + WYNAJEM47[[#This Row],[woda]]</f>
        <v>4.78</v>
      </c>
      <c r="I981" s="9"/>
    </row>
    <row r="982" spans="1:9" x14ac:dyDescent="0.25">
      <c r="A982" s="1">
        <v>41995</v>
      </c>
      <c r="B982" s="1">
        <v>42006</v>
      </c>
      <c r="C982" s="8">
        <v>6.23</v>
      </c>
      <c r="D982" s="8">
        <v>0.16</v>
      </c>
      <c r="E982">
        <v>5</v>
      </c>
      <c r="F982" s="10">
        <f>(WYNAJEM47[[#This Row],[data_wyjazdu]]-WYNAJEM47[[#This Row],[data_przyjazdu]])</f>
        <v>11</v>
      </c>
      <c r="G982" s="9">
        <f xml:space="preserve"> WYNAJEM47[[#This Row],[energia]] + WYNAJEM47[[#This Row],[woda]]</f>
        <v>6.3900000000000006</v>
      </c>
      <c r="I982" s="9"/>
    </row>
    <row r="983" spans="1:9" x14ac:dyDescent="0.25">
      <c r="A983" s="1">
        <v>41995</v>
      </c>
      <c r="B983" s="1">
        <v>42018</v>
      </c>
      <c r="C983" s="8">
        <v>3.73</v>
      </c>
      <c r="D983" s="8">
        <v>0.1</v>
      </c>
      <c r="E983">
        <v>3</v>
      </c>
      <c r="F983" s="10">
        <f>(WYNAJEM47[[#This Row],[data_wyjazdu]]-WYNAJEM47[[#This Row],[data_przyjazdu]])</f>
        <v>23</v>
      </c>
      <c r="G983" s="9">
        <f xml:space="preserve"> WYNAJEM47[[#This Row],[energia]] + WYNAJEM47[[#This Row],[woda]]</f>
        <v>3.83</v>
      </c>
      <c r="I983" s="9"/>
    </row>
    <row r="984" spans="1:9" x14ac:dyDescent="0.25">
      <c r="A984" s="1">
        <v>41995</v>
      </c>
      <c r="B984" s="1">
        <v>42006</v>
      </c>
      <c r="C984" s="8">
        <v>3.79</v>
      </c>
      <c r="D984" s="8">
        <v>0.1</v>
      </c>
      <c r="E984">
        <v>2</v>
      </c>
      <c r="F984" s="10">
        <f>(WYNAJEM47[[#This Row],[data_wyjazdu]]-WYNAJEM47[[#This Row],[data_przyjazdu]])</f>
        <v>11</v>
      </c>
      <c r="G984" s="9">
        <f xml:space="preserve"> WYNAJEM47[[#This Row],[energia]] + WYNAJEM47[[#This Row],[woda]]</f>
        <v>3.89</v>
      </c>
      <c r="I984" s="9"/>
    </row>
    <row r="985" spans="1:9" x14ac:dyDescent="0.25">
      <c r="A985" s="1">
        <v>41995</v>
      </c>
      <c r="B985" s="1">
        <v>42000</v>
      </c>
      <c r="C985" s="8">
        <v>2.0099999999999998</v>
      </c>
      <c r="D985" s="8">
        <v>0.05</v>
      </c>
      <c r="E985">
        <v>6</v>
      </c>
      <c r="F985" s="10">
        <f>(WYNAJEM47[[#This Row],[data_wyjazdu]]-WYNAJEM47[[#This Row],[data_przyjazdu]])</f>
        <v>5</v>
      </c>
      <c r="G985" s="9">
        <f xml:space="preserve"> WYNAJEM47[[#This Row],[energia]] + WYNAJEM47[[#This Row],[woda]]</f>
        <v>2.0599999999999996</v>
      </c>
      <c r="I985" s="9"/>
    </row>
    <row r="986" spans="1:9" x14ac:dyDescent="0.25">
      <c r="A986" s="1">
        <v>41995</v>
      </c>
      <c r="B986" s="1">
        <v>42003</v>
      </c>
      <c r="C986" s="8">
        <v>6.43</v>
      </c>
      <c r="D986" s="8">
        <v>0.17</v>
      </c>
      <c r="E986">
        <v>3</v>
      </c>
      <c r="F986" s="10">
        <f>(WYNAJEM47[[#This Row],[data_wyjazdu]]-WYNAJEM47[[#This Row],[data_przyjazdu]])</f>
        <v>8</v>
      </c>
      <c r="G986" s="9">
        <f xml:space="preserve"> WYNAJEM47[[#This Row],[energia]] + WYNAJEM47[[#This Row],[woda]]</f>
        <v>6.6</v>
      </c>
      <c r="I986" s="9"/>
    </row>
    <row r="987" spans="1:9" x14ac:dyDescent="0.25">
      <c r="A987" s="1">
        <v>41995</v>
      </c>
      <c r="B987" s="1">
        <v>42022</v>
      </c>
      <c r="C987" s="8">
        <v>2.72</v>
      </c>
      <c r="D987" s="8">
        <v>7.0000000000000007E-2</v>
      </c>
      <c r="E987">
        <v>3</v>
      </c>
      <c r="F987" s="10">
        <f>(WYNAJEM47[[#This Row],[data_wyjazdu]]-WYNAJEM47[[#This Row],[data_przyjazdu]])</f>
        <v>27</v>
      </c>
      <c r="G987" s="9">
        <f xml:space="preserve"> WYNAJEM47[[#This Row],[energia]] + WYNAJEM47[[#This Row],[woda]]</f>
        <v>2.79</v>
      </c>
      <c r="I987" s="9"/>
    </row>
    <row r="988" spans="1:9" x14ac:dyDescent="0.25">
      <c r="A988" s="1">
        <v>41995</v>
      </c>
      <c r="B988" s="1">
        <v>42005</v>
      </c>
      <c r="C988" s="8">
        <v>9.06</v>
      </c>
      <c r="D988" s="8">
        <v>0.24</v>
      </c>
      <c r="E988">
        <v>3</v>
      </c>
      <c r="F988" s="10">
        <f>(WYNAJEM47[[#This Row],[data_wyjazdu]]-WYNAJEM47[[#This Row],[data_przyjazdu]])</f>
        <v>10</v>
      </c>
      <c r="G988" s="9">
        <f xml:space="preserve"> WYNAJEM47[[#This Row],[energia]] + WYNAJEM47[[#This Row],[woda]]</f>
        <v>9.3000000000000007</v>
      </c>
      <c r="I988" s="9"/>
    </row>
    <row r="989" spans="1:9" x14ac:dyDescent="0.25">
      <c r="A989" s="1">
        <v>41995</v>
      </c>
      <c r="B989" s="1">
        <v>42007</v>
      </c>
      <c r="C989" s="8">
        <v>5.67</v>
      </c>
      <c r="D989" s="8">
        <v>0.15</v>
      </c>
      <c r="E989">
        <v>3</v>
      </c>
      <c r="F989" s="10">
        <f>(WYNAJEM47[[#This Row],[data_wyjazdu]]-WYNAJEM47[[#This Row],[data_przyjazdu]])</f>
        <v>12</v>
      </c>
      <c r="G989" s="9">
        <f xml:space="preserve"> WYNAJEM47[[#This Row],[energia]] + WYNAJEM47[[#This Row],[woda]]</f>
        <v>5.82</v>
      </c>
      <c r="I989" s="9"/>
    </row>
    <row r="990" spans="1:9" x14ac:dyDescent="0.25">
      <c r="A990" s="1">
        <v>41995</v>
      </c>
      <c r="B990" s="1">
        <v>42009</v>
      </c>
      <c r="C990" s="8">
        <v>4.25</v>
      </c>
      <c r="D990" s="8">
        <v>0.11</v>
      </c>
      <c r="E990">
        <v>6</v>
      </c>
      <c r="F990" s="10">
        <f>(WYNAJEM47[[#This Row],[data_wyjazdu]]-WYNAJEM47[[#This Row],[data_przyjazdu]])</f>
        <v>14</v>
      </c>
      <c r="G990" s="9">
        <f xml:space="preserve"> WYNAJEM47[[#This Row],[energia]] + WYNAJEM47[[#This Row],[woda]]</f>
        <v>4.3600000000000003</v>
      </c>
      <c r="I990" s="9"/>
    </row>
    <row r="991" spans="1:9" x14ac:dyDescent="0.25">
      <c r="A991" s="1">
        <v>41995</v>
      </c>
      <c r="B991" s="1">
        <v>42009</v>
      </c>
      <c r="C991" s="8">
        <v>3.57</v>
      </c>
      <c r="D991" s="8">
        <v>0.09</v>
      </c>
      <c r="E991">
        <v>2</v>
      </c>
      <c r="F991" s="10">
        <f>(WYNAJEM47[[#This Row],[data_wyjazdu]]-WYNAJEM47[[#This Row],[data_przyjazdu]])</f>
        <v>14</v>
      </c>
      <c r="G991" s="9">
        <f xml:space="preserve"> WYNAJEM47[[#This Row],[energia]] + WYNAJEM47[[#This Row],[woda]]</f>
        <v>3.6599999999999997</v>
      </c>
      <c r="I991" s="9"/>
    </row>
    <row r="992" spans="1:9" x14ac:dyDescent="0.25">
      <c r="A992" s="1">
        <v>41995</v>
      </c>
      <c r="B992" s="1">
        <v>42008</v>
      </c>
      <c r="C992" s="8">
        <v>8.39</v>
      </c>
      <c r="D992" s="8">
        <v>0.22</v>
      </c>
      <c r="E992">
        <v>5</v>
      </c>
      <c r="F992" s="10">
        <f>(WYNAJEM47[[#This Row],[data_wyjazdu]]-WYNAJEM47[[#This Row],[data_przyjazdu]])</f>
        <v>13</v>
      </c>
      <c r="G992" s="9">
        <f xml:space="preserve"> WYNAJEM47[[#This Row],[energia]] + WYNAJEM47[[#This Row],[woda]]</f>
        <v>8.6100000000000012</v>
      </c>
      <c r="I992" s="9"/>
    </row>
    <row r="993" spans="1:9" x14ac:dyDescent="0.25">
      <c r="A993" s="1">
        <v>41995</v>
      </c>
      <c r="B993" s="1">
        <v>42021</v>
      </c>
      <c r="C993" s="8">
        <v>2.29</v>
      </c>
      <c r="D993" s="8">
        <v>0.06</v>
      </c>
      <c r="E993">
        <v>5</v>
      </c>
      <c r="F993" s="10">
        <f>(WYNAJEM47[[#This Row],[data_wyjazdu]]-WYNAJEM47[[#This Row],[data_przyjazdu]])</f>
        <v>26</v>
      </c>
      <c r="G993" s="9">
        <f xml:space="preserve"> WYNAJEM47[[#This Row],[energia]] + WYNAJEM47[[#This Row],[woda]]</f>
        <v>2.35</v>
      </c>
      <c r="I993" s="9"/>
    </row>
    <row r="994" spans="1:9" x14ac:dyDescent="0.25">
      <c r="A994" s="1">
        <v>42001</v>
      </c>
      <c r="B994" s="1">
        <v>42010</v>
      </c>
      <c r="C994" s="8">
        <v>3.79</v>
      </c>
      <c r="D994" s="8">
        <v>0.1</v>
      </c>
      <c r="E994">
        <v>4</v>
      </c>
      <c r="F994" s="10">
        <f>(WYNAJEM47[[#This Row],[data_wyjazdu]]-WYNAJEM47[[#This Row],[data_przyjazdu]])</f>
        <v>9</v>
      </c>
      <c r="G994" s="9">
        <f xml:space="preserve"> WYNAJEM47[[#This Row],[energia]] + WYNAJEM47[[#This Row],[woda]]</f>
        <v>3.89</v>
      </c>
      <c r="I994" s="9"/>
    </row>
    <row r="995" spans="1:9" x14ac:dyDescent="0.25">
      <c r="A995" s="1">
        <v>42001</v>
      </c>
      <c r="B995" s="1">
        <v>42006</v>
      </c>
      <c r="C995" s="8">
        <v>7.55</v>
      </c>
      <c r="D995" s="8">
        <v>0.2</v>
      </c>
      <c r="E995">
        <v>3</v>
      </c>
      <c r="F995" s="10">
        <f>(WYNAJEM47[[#This Row],[data_wyjazdu]]-WYNAJEM47[[#This Row],[data_przyjazdu]])</f>
        <v>5</v>
      </c>
      <c r="G995" s="9">
        <f xml:space="preserve"> WYNAJEM47[[#This Row],[energia]] + WYNAJEM47[[#This Row],[woda]]</f>
        <v>7.75</v>
      </c>
      <c r="I995" s="9"/>
    </row>
    <row r="996" spans="1:9" x14ac:dyDescent="0.25">
      <c r="A996" s="1">
        <v>42002</v>
      </c>
      <c r="B996" s="1">
        <v>42028</v>
      </c>
      <c r="C996" s="8">
        <v>7.71</v>
      </c>
      <c r="D996" s="8">
        <v>0.2</v>
      </c>
      <c r="E996">
        <v>6</v>
      </c>
      <c r="F996" s="10">
        <f>(WYNAJEM47[[#This Row],[data_wyjazdu]]-WYNAJEM47[[#This Row],[data_przyjazdu]])</f>
        <v>26</v>
      </c>
      <c r="G996" s="9">
        <f xml:space="preserve"> WYNAJEM47[[#This Row],[energia]] + WYNAJEM47[[#This Row],[woda]]</f>
        <v>7.91</v>
      </c>
      <c r="I996" s="9"/>
    </row>
    <row r="997" spans="1:9" x14ac:dyDescent="0.25">
      <c r="A997" s="1">
        <v>42002</v>
      </c>
      <c r="B997" s="1">
        <v>42004</v>
      </c>
      <c r="C997" s="8">
        <v>6.34</v>
      </c>
      <c r="D997" s="8">
        <v>0.17</v>
      </c>
      <c r="E997">
        <v>4</v>
      </c>
      <c r="F997" s="10">
        <f>(WYNAJEM47[[#This Row],[data_wyjazdu]]-WYNAJEM47[[#This Row],[data_przyjazdu]])</f>
        <v>2</v>
      </c>
      <c r="G997" s="9">
        <f xml:space="preserve"> WYNAJEM47[[#This Row],[energia]] + WYNAJEM47[[#This Row],[woda]]</f>
        <v>6.51</v>
      </c>
      <c r="I997" s="9"/>
    </row>
    <row r="998" spans="1:9" x14ac:dyDescent="0.25">
      <c r="A998" s="1">
        <v>42002</v>
      </c>
      <c r="B998" s="1">
        <v>42012</v>
      </c>
      <c r="C998" s="8">
        <v>6.58</v>
      </c>
      <c r="D998" s="8">
        <v>0.17</v>
      </c>
      <c r="E998">
        <v>2</v>
      </c>
      <c r="F998" s="10">
        <f>(WYNAJEM47[[#This Row],[data_wyjazdu]]-WYNAJEM47[[#This Row],[data_przyjazdu]])</f>
        <v>10</v>
      </c>
      <c r="G998" s="9">
        <f xml:space="preserve"> WYNAJEM47[[#This Row],[energia]] + WYNAJEM47[[#This Row],[woda]]</f>
        <v>6.75</v>
      </c>
      <c r="I998" s="9"/>
    </row>
    <row r="999" spans="1:9" x14ac:dyDescent="0.25">
      <c r="A999" s="1">
        <v>42002</v>
      </c>
      <c r="B999" s="1">
        <v>42028</v>
      </c>
      <c r="C999" s="8">
        <v>6.34</v>
      </c>
      <c r="D999" s="8">
        <v>0.17</v>
      </c>
      <c r="E999">
        <v>6</v>
      </c>
      <c r="F999" s="10">
        <f>(WYNAJEM47[[#This Row],[data_wyjazdu]]-WYNAJEM47[[#This Row],[data_przyjazdu]])</f>
        <v>26</v>
      </c>
      <c r="G999" s="9">
        <f xml:space="preserve"> WYNAJEM47[[#This Row],[energia]] + WYNAJEM47[[#This Row],[woda]]</f>
        <v>6.51</v>
      </c>
      <c r="I999" s="9"/>
    </row>
    <row r="1000" spans="1:9" x14ac:dyDescent="0.25">
      <c r="A1000" s="1">
        <v>42002</v>
      </c>
      <c r="B1000" s="1">
        <v>42019</v>
      </c>
      <c r="C1000" s="8">
        <v>5.67</v>
      </c>
      <c r="D1000" s="8">
        <v>0.15</v>
      </c>
      <c r="E1000">
        <v>4</v>
      </c>
      <c r="F1000" s="10">
        <f>(WYNAJEM47[[#This Row],[data_wyjazdu]]-WYNAJEM47[[#This Row],[data_przyjazdu]])</f>
        <v>17</v>
      </c>
      <c r="G1000" s="9">
        <f xml:space="preserve"> WYNAJEM47[[#This Row],[energia]] + WYNAJEM47[[#This Row],[woda]]</f>
        <v>5.82</v>
      </c>
      <c r="I1000" s="9"/>
    </row>
    <row r="1001" spans="1:9" x14ac:dyDescent="0.25">
      <c r="A1001" s="1">
        <v>42002</v>
      </c>
      <c r="B1001" s="1">
        <v>42009</v>
      </c>
      <c r="C1001" s="8">
        <v>4.25</v>
      </c>
      <c r="D1001" s="8">
        <v>0.11</v>
      </c>
      <c r="E1001">
        <v>4</v>
      </c>
      <c r="F1001" s="10">
        <f>(WYNAJEM47[[#This Row],[data_wyjazdu]]-WYNAJEM47[[#This Row],[data_przyjazdu]])</f>
        <v>7</v>
      </c>
      <c r="G1001" s="9">
        <f xml:space="preserve"> WYNAJEM47[[#This Row],[energia]] + WYNAJEM47[[#This Row],[woda]]</f>
        <v>4.3600000000000003</v>
      </c>
      <c r="I1001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F67E-9DE1-406B-AB56-239670E9C67D}">
  <dimension ref="A3:B16"/>
  <sheetViews>
    <sheetView workbookViewId="0">
      <selection activeCell="A4" sqref="A4:B15"/>
    </sheetView>
  </sheetViews>
  <sheetFormatPr defaultRowHeight="15" x14ac:dyDescent="0.25"/>
  <cols>
    <col min="1" max="1" width="17.7109375" bestFit="1" customWidth="1"/>
    <col min="2" max="2" width="26.28515625" bestFit="1" customWidth="1"/>
  </cols>
  <sheetData>
    <row r="3" spans="1:2" x14ac:dyDescent="0.25">
      <c r="A3" s="2" t="s">
        <v>5</v>
      </c>
      <c r="B3" t="s">
        <v>35</v>
      </c>
    </row>
    <row r="4" spans="1:2" x14ac:dyDescent="0.25">
      <c r="A4" s="3" t="s">
        <v>23</v>
      </c>
      <c r="B4" s="9">
        <v>1078.3200000000002</v>
      </c>
    </row>
    <row r="5" spans="1:2" x14ac:dyDescent="0.25">
      <c r="A5" s="3" t="s">
        <v>24</v>
      </c>
      <c r="B5" s="9">
        <v>611.15000000000009</v>
      </c>
    </row>
    <row r="6" spans="1:2" x14ac:dyDescent="0.25">
      <c r="A6" s="3" t="s">
        <v>25</v>
      </c>
      <c r="B6" s="9">
        <v>565.22000000000014</v>
      </c>
    </row>
    <row r="7" spans="1:2" x14ac:dyDescent="0.25">
      <c r="A7" s="3" t="s">
        <v>26</v>
      </c>
      <c r="B7" s="9">
        <v>322.95999999999998</v>
      </c>
    </row>
    <row r="8" spans="1:2" x14ac:dyDescent="0.25">
      <c r="A8" s="3" t="s">
        <v>27</v>
      </c>
      <c r="B8" s="9">
        <v>299.65999999999997</v>
      </c>
    </row>
    <row r="9" spans="1:2" x14ac:dyDescent="0.25">
      <c r="A9" s="3" t="s">
        <v>28</v>
      </c>
      <c r="B9" s="9">
        <v>568.59</v>
      </c>
    </row>
    <row r="10" spans="1:2" x14ac:dyDescent="0.25">
      <c r="A10" s="3" t="s">
        <v>29</v>
      </c>
      <c r="B10" s="9">
        <v>628.5999999999998</v>
      </c>
    </row>
    <row r="11" spans="1:2" x14ac:dyDescent="0.25">
      <c r="A11" s="3" t="s">
        <v>30</v>
      </c>
      <c r="B11" s="9">
        <v>531.33000000000015</v>
      </c>
    </row>
    <row r="12" spans="1:2" x14ac:dyDescent="0.25">
      <c r="A12" s="3" t="s">
        <v>31</v>
      </c>
      <c r="B12" s="9">
        <v>1045.1200000000001</v>
      </c>
    </row>
    <row r="13" spans="1:2" x14ac:dyDescent="0.25">
      <c r="A13" s="3" t="s">
        <v>32</v>
      </c>
      <c r="B13" s="9">
        <v>813.25</v>
      </c>
    </row>
    <row r="14" spans="1:2" x14ac:dyDescent="0.25">
      <c r="A14" s="3" t="s">
        <v>33</v>
      </c>
      <c r="B14" s="9">
        <v>1107.8000000000002</v>
      </c>
    </row>
    <row r="15" spans="1:2" x14ac:dyDescent="0.25">
      <c r="A15" s="3" t="s">
        <v>34</v>
      </c>
      <c r="B15" s="9">
        <v>893.16000000000008</v>
      </c>
    </row>
    <row r="16" spans="1:2" x14ac:dyDescent="0.25">
      <c r="A16" s="3" t="s">
        <v>6</v>
      </c>
      <c r="B16" s="9">
        <v>8465.1600000000017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5EC7FC-3D3A-4C0D-A68A-3F735E959F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ODP_5_1</vt:lpstr>
      <vt:lpstr>ODP_5_1a</vt:lpstr>
      <vt:lpstr>ODP_5_2</vt:lpstr>
      <vt:lpstr>ODP_5_2a</vt:lpstr>
      <vt:lpstr>ODP_5_3</vt:lpstr>
      <vt:lpstr>ODP_5_3a</vt:lpstr>
      <vt:lpstr>ODP_5_4</vt:lpstr>
      <vt:lpstr>ODP_5_4a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Tomaszewski</dc:creator>
  <cp:lastModifiedBy>Jakub Tomaszewski</cp:lastModifiedBy>
  <dcterms:created xsi:type="dcterms:W3CDTF">2015-06-05T18:17:20Z</dcterms:created>
  <dcterms:modified xsi:type="dcterms:W3CDTF">2024-12-14T11:46:55Z</dcterms:modified>
</cp:coreProperties>
</file>