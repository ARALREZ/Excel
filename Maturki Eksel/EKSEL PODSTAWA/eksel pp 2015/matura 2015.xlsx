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mas\Desktop\Maturki Eksel\eksel pp 2015\"/>
    </mc:Choice>
  </mc:AlternateContent>
  <xr:revisionPtr revIDLastSave="0" documentId="13_ncr:1_{199F7738-A5E6-434B-8F0D-5172A4E69EB6}" xr6:coauthVersionLast="47" xr6:coauthVersionMax="47" xr10:uidLastSave="{00000000-0000-0000-0000-000000000000}"/>
  <bookViews>
    <workbookView xWindow="0" yWindow="1635" windowWidth="16590" windowHeight="13140" activeTab="4" xr2:uid="{00000000-000D-0000-FFFF-FFFF00000000}"/>
  </bookViews>
  <sheets>
    <sheet name="ODP_4_1" sheetId="1" r:id="rId1"/>
    <sheet name="ODP_4_2" sheetId="3" r:id="rId2"/>
    <sheet name="ODP_4_3" sheetId="4" r:id="rId3"/>
    <sheet name="ODP_4_4" sheetId="5" r:id="rId4"/>
    <sheet name="ODP_4_5" sheetId="6" r:id="rId5"/>
  </sheets>
  <definedNames>
    <definedName name="_xlchart.v1.0" hidden="1">ODP_4_5!$I$2:$I$9</definedName>
    <definedName name="_xlchart.v1.1" hidden="1">ODP_4_5!$J$1</definedName>
    <definedName name="_xlchart.v1.2" hidden="1">ODP_4_5!$J$2:$J$9</definedName>
    <definedName name="_xlchart.v1.3" hidden="1">ODP_4_5!$K$1</definedName>
    <definedName name="_xlchart.v1.4" hidden="1">ODP_4_5!$K$2:$K$9</definedName>
    <definedName name="_xlchart.v1.5" hidden="1">ODP_4_5!$L$1</definedName>
    <definedName name="_xlchart.v1.6" hidden="1">ODP_4_5!$L$2:$L$9</definedName>
    <definedName name="_xlchart.v1.7" hidden="1">ODP_4_5!$M$1</definedName>
    <definedName name="_xlchart.v1.8" hidden="1">ODP_4_5!$M$2:$M$9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D28" i="6" s="1"/>
  <c r="D29" i="6" s="1"/>
  <c r="D30" i="6" s="1"/>
  <c r="D31" i="6" s="1"/>
  <c r="D32" i="6" s="1"/>
  <c r="D33" i="6" s="1"/>
  <c r="E26" i="6"/>
  <c r="E27" i="6" s="1"/>
  <c r="E28" i="6" s="1"/>
  <c r="E29" i="6" s="1"/>
  <c r="E30" i="6" s="1"/>
  <c r="E31" i="6" s="1"/>
  <c r="E32" i="6" s="1"/>
  <c r="E33" i="6" s="1"/>
  <c r="D26" i="6"/>
  <c r="C26" i="6"/>
  <c r="C27" i="6" s="1"/>
  <c r="C28" i="6" s="1"/>
  <c r="C29" i="6" s="1"/>
  <c r="C30" i="6" s="1"/>
  <c r="C31" i="6" s="1"/>
  <c r="C32" i="6" s="1"/>
  <c r="C33" i="6" s="1"/>
  <c r="B26" i="6"/>
  <c r="B27" i="6" s="1"/>
  <c r="B28" i="6" s="1"/>
  <c r="B29" i="6" s="1"/>
  <c r="B30" i="6" s="1"/>
  <c r="B31" i="6" s="1"/>
  <c r="B32" i="6" s="1"/>
  <c r="B33" i="6" s="1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4" i="6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D3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I1" i="5"/>
  <c r="D27" i="5"/>
  <c r="D28" i="5" s="1"/>
  <c r="D29" i="5" s="1"/>
  <c r="D30" i="5" s="1"/>
  <c r="D31" i="5" s="1"/>
  <c r="D32" i="5" s="1"/>
  <c r="D33" i="5" s="1"/>
  <c r="C27" i="5"/>
  <c r="C28" i="5" s="1"/>
  <c r="C29" i="5" s="1"/>
  <c r="C30" i="5" s="1"/>
  <c r="C31" i="5" s="1"/>
  <c r="C32" i="5" s="1"/>
  <c r="C33" i="5" s="1"/>
  <c r="B27" i="5"/>
  <c r="B28" i="5" s="1"/>
  <c r="B29" i="5" s="1"/>
  <c r="B30" i="5" s="1"/>
  <c r="B31" i="5" s="1"/>
  <c r="B32" i="5" s="1"/>
  <c r="B33" i="5" s="1"/>
  <c r="E26" i="5"/>
  <c r="E27" i="5" s="1"/>
  <c r="E28" i="5" s="1"/>
  <c r="E29" i="5" s="1"/>
  <c r="E30" i="5" s="1"/>
  <c r="E31" i="5" s="1"/>
  <c r="E32" i="5" s="1"/>
  <c r="E33" i="5" s="1"/>
  <c r="D26" i="5"/>
  <c r="C26" i="5"/>
  <c r="B26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D4" i="5"/>
  <c r="E3" i="5"/>
  <c r="D3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K2" i="4"/>
  <c r="L2" i="4"/>
  <c r="J2" i="4"/>
  <c r="I2" i="4"/>
  <c r="E26" i="4"/>
  <c r="E27" i="4" s="1"/>
  <c r="E28" i="4" s="1"/>
  <c r="E29" i="4" s="1"/>
  <c r="E30" i="4" s="1"/>
  <c r="E31" i="4" s="1"/>
  <c r="E32" i="4" s="1"/>
  <c r="E33" i="4" s="1"/>
  <c r="D26" i="4"/>
  <c r="D27" i="4" s="1"/>
  <c r="D28" i="4" s="1"/>
  <c r="D29" i="4" s="1"/>
  <c r="D30" i="4" s="1"/>
  <c r="D31" i="4" s="1"/>
  <c r="D32" i="4" s="1"/>
  <c r="D33" i="4" s="1"/>
  <c r="C26" i="4"/>
  <c r="C27" i="4" s="1"/>
  <c r="C28" i="4" s="1"/>
  <c r="C29" i="4" s="1"/>
  <c r="C30" i="4" s="1"/>
  <c r="C31" i="4" s="1"/>
  <c r="C32" i="4" s="1"/>
  <c r="C33" i="4" s="1"/>
  <c r="B26" i="4"/>
  <c r="B27" i="4" s="1"/>
  <c r="B28" i="4" s="1"/>
  <c r="B29" i="4" s="1"/>
  <c r="B30" i="4" s="1"/>
  <c r="B31" i="4" s="1"/>
  <c r="B32" i="4" s="1"/>
  <c r="B33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35" i="3"/>
  <c r="B36" i="3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34" i="3"/>
  <c r="C35" i="3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D35" i="3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C34" i="3"/>
  <c r="D34" i="3"/>
  <c r="E34" i="3"/>
  <c r="E35" i="3"/>
  <c r="E36" i="3"/>
  <c r="E37" i="3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26" i="3"/>
  <c r="E27" i="3" s="1"/>
  <c r="E28" i="3" s="1"/>
  <c r="E29" i="3" s="1"/>
  <c r="E30" i="3" s="1"/>
  <c r="E31" i="3" s="1"/>
  <c r="E32" i="3" s="1"/>
  <c r="E33" i="3" s="1"/>
  <c r="D26" i="3"/>
  <c r="D27" i="3" s="1"/>
  <c r="D28" i="3" s="1"/>
  <c r="D29" i="3" s="1"/>
  <c r="D30" i="3" s="1"/>
  <c r="D31" i="3" s="1"/>
  <c r="D32" i="3" s="1"/>
  <c r="D33" i="3" s="1"/>
  <c r="C26" i="3"/>
  <c r="C27" i="3" s="1"/>
  <c r="C28" i="3" s="1"/>
  <c r="C29" i="3" s="1"/>
  <c r="C30" i="3" s="1"/>
  <c r="C31" i="3" s="1"/>
  <c r="C32" i="3" s="1"/>
  <c r="C33" i="3" s="1"/>
  <c r="B26" i="3"/>
  <c r="B27" i="3" s="1"/>
  <c r="B28" i="3" s="1"/>
  <c r="B29" i="3" s="1"/>
  <c r="B30" i="3" s="1"/>
  <c r="B31" i="3" s="1"/>
  <c r="B32" i="3" s="1"/>
  <c r="B33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E3" i="3"/>
  <c r="D3" i="3"/>
  <c r="C3" i="3"/>
  <c r="B3" i="3"/>
  <c r="E27" i="1"/>
  <c r="E28" i="1" s="1"/>
  <c r="E29" i="1" s="1"/>
  <c r="E30" i="1" s="1"/>
  <c r="E31" i="1" s="1"/>
  <c r="E32" i="1" s="1"/>
  <c r="E33" i="1" s="1"/>
  <c r="D27" i="1"/>
  <c r="D28" i="1" s="1"/>
  <c r="D29" i="1" s="1"/>
  <c r="D30" i="1" s="1"/>
  <c r="D31" i="1" s="1"/>
  <c r="D32" i="1" s="1"/>
  <c r="D33" i="1" s="1"/>
  <c r="D26" i="1"/>
  <c r="C27" i="1"/>
  <c r="C28" i="1" s="1"/>
  <c r="C29" i="1" s="1"/>
  <c r="C30" i="1" s="1"/>
  <c r="C31" i="1" s="1"/>
  <c r="C32" i="1" s="1"/>
  <c r="C33" i="1" s="1"/>
  <c r="C26" i="1"/>
  <c r="B27" i="1"/>
  <c r="B28" i="1" s="1"/>
  <c r="B29" i="1" s="1"/>
  <c r="B30" i="1" s="1"/>
  <c r="B31" i="1" s="1"/>
  <c r="B32" i="1" s="1"/>
  <c r="B33" i="1" s="1"/>
  <c r="B26" i="1"/>
  <c r="B4" i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 s="1"/>
  <c r="D17" i="1" s="1"/>
  <c r="D18" i="1" s="1"/>
  <c r="D19" i="1" s="1"/>
  <c r="D20" i="1" s="1"/>
  <c r="D21" i="1" s="1"/>
  <c r="D3" i="1"/>
  <c r="B3" i="1"/>
  <c r="C3" i="1"/>
  <c r="E26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3" i="1"/>
</calcChain>
</file>

<file path=xl/sharedStrings.xml><?xml version="1.0" encoding="utf-8"?>
<sst xmlns="http://schemas.openxmlformats.org/spreadsheetml/2006/main" count="227" uniqueCount="65">
  <si>
    <t>data</t>
  </si>
  <si>
    <t>Dama</t>
  </si>
  <si>
    <t>Granta</t>
  </si>
  <si>
    <t>Dorkas</t>
  </si>
  <si>
    <t>1 kwartał 2010</t>
  </si>
  <si>
    <t>2 kwartał 2010</t>
  </si>
  <si>
    <t>3 kwartał 2010</t>
  </si>
  <si>
    <t>4 kwartał 2010</t>
  </si>
  <si>
    <t>1 kwartał 2011</t>
  </si>
  <si>
    <t>2 kwartał 2011</t>
  </si>
  <si>
    <t>3 kwartał 2011</t>
  </si>
  <si>
    <t>4 kwartał 2011</t>
  </si>
  <si>
    <t>1 kwartał 2012</t>
  </si>
  <si>
    <t>2 kwartał 2012</t>
  </si>
  <si>
    <t>3 kwartał 2012</t>
  </si>
  <si>
    <t>4 kwartał 2012</t>
  </si>
  <si>
    <t>Lodera</t>
  </si>
  <si>
    <t>1 kwartał 2005</t>
  </si>
  <si>
    <t>2 kwartał 2005</t>
  </si>
  <si>
    <t>3 kwartał 2005</t>
  </si>
  <si>
    <t>4 kwartał 2005</t>
  </si>
  <si>
    <t>1 kwartał 2006</t>
  </si>
  <si>
    <t>2 kwartał 2006</t>
  </si>
  <si>
    <t>3 kwartał 2006</t>
  </si>
  <si>
    <t>4 kwartał 2006</t>
  </si>
  <si>
    <t>1 kwartał 2007</t>
  </si>
  <si>
    <t>2 kwartał 2007</t>
  </si>
  <si>
    <t>3 kwartał 2007</t>
  </si>
  <si>
    <t>4 kwartał 2007</t>
  </si>
  <si>
    <t>1 kwartał 2008</t>
  </si>
  <si>
    <t>2 kwartał 2008</t>
  </si>
  <si>
    <t>3 kwartał 2008</t>
  </si>
  <si>
    <t>4 kwartał 2008</t>
  </si>
  <si>
    <t>1 kwartał 2009</t>
  </si>
  <si>
    <t>2 kwartał 2009</t>
  </si>
  <si>
    <t>3 kwartał 2009</t>
  </si>
  <si>
    <t>4 kwartał 2009</t>
  </si>
  <si>
    <t>4_1)</t>
  </si>
  <si>
    <t>1 kwartał 2013</t>
  </si>
  <si>
    <t>2 kwartał 2013</t>
  </si>
  <si>
    <t>3 kwartał 2013</t>
  </si>
  <si>
    <t>4 kwartał 2013</t>
  </si>
  <si>
    <t>1 kwartał 2014</t>
  </si>
  <si>
    <t>2 kwartał 2014</t>
  </si>
  <si>
    <t>3 kwartał 2014</t>
  </si>
  <si>
    <t>4 kwartał 2014</t>
  </si>
  <si>
    <t>1 kwartał 2015</t>
  </si>
  <si>
    <t>2 kwartał 2015</t>
  </si>
  <si>
    <t>3 kwartał 2015</t>
  </si>
  <si>
    <t>4 kwartał 2015</t>
  </si>
  <si>
    <t>1 kwartał 2016</t>
  </si>
  <si>
    <t>2 kwartał 2016</t>
  </si>
  <si>
    <t>3 kwartał 2016</t>
  </si>
  <si>
    <t>4 kwartał 2016</t>
  </si>
  <si>
    <t>1 kwartał 2017</t>
  </si>
  <si>
    <t>2 kwartał 2017</t>
  </si>
  <si>
    <t>3 kwartał 2017</t>
  </si>
  <si>
    <t>4 kwartał 2017</t>
  </si>
  <si>
    <t>1 kwartał 2018</t>
  </si>
  <si>
    <t>2 kwartał 2018</t>
  </si>
  <si>
    <t>3 kwartał 2018</t>
  </si>
  <si>
    <t>4_3)</t>
  </si>
  <si>
    <t>4_4)</t>
  </si>
  <si>
    <t>4_2)</t>
  </si>
  <si>
    <t>4_5)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</si>
</sst>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wyprodukowanych samochodów w firmie GAZELA </a:t>
            </a:r>
            <a:endParaRPr lang="pl-PL"/>
          </a:p>
        </c:rich>
      </c:tx>
      <c:layout>
        <c:manualLayout>
          <c:xMode val="edge"/>
          <c:yMode val="edge"/>
          <c:x val="0.1237985564304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ODP_4_5!$J$1</c:f>
              <c:strCache>
                <c:ptCount val="1"/>
                <c:pt idx="0">
                  <c:v>Dama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ODP_4_5!$I$2:$I$9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ODP_4_5!$J$2:$J$9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B-4214-9FDC-48E2B741DA5B}"/>
            </c:ext>
          </c:extLst>
        </c:ser>
        <c:ser>
          <c:idx val="1"/>
          <c:order val="1"/>
          <c:tx>
            <c:strRef>
              <c:f>ODP_4_5!$K$1</c:f>
              <c:strCache>
                <c:ptCount val="1"/>
                <c:pt idx="0">
                  <c:v>Granta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ODP_4_5!$I$2:$I$9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ODP_4_5!$K$2:$K$9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B-4214-9FDC-48E2B741DA5B}"/>
            </c:ext>
          </c:extLst>
        </c:ser>
        <c:ser>
          <c:idx val="2"/>
          <c:order val="2"/>
          <c:tx>
            <c:strRef>
              <c:f>ODP_4_5!$L$1</c:f>
              <c:strCache>
                <c:ptCount val="1"/>
                <c:pt idx="0">
                  <c:v>Dorkas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ODP_4_5!$I$2:$I$9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ODP_4_5!$L$2:$L$9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9B-4214-9FDC-48E2B741DA5B}"/>
            </c:ext>
          </c:extLst>
        </c:ser>
        <c:ser>
          <c:idx val="3"/>
          <c:order val="3"/>
          <c:tx>
            <c:strRef>
              <c:f>ODP_4_5!$M$1</c:f>
              <c:strCache>
                <c:ptCount val="1"/>
                <c:pt idx="0">
                  <c:v>Lodera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ODP_4_5!$I$2:$I$9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ODP_4_5!$M$2:$M$9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1732</c:v>
                </c:pt>
                <c:pt idx="6">
                  <c:v>1623</c:v>
                </c:pt>
                <c:pt idx="7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9B-4214-9FDC-48E2B741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26876479"/>
        <c:axId val="1226875999"/>
        <c:axId val="0"/>
      </c:bar3DChart>
      <c:catAx>
        <c:axId val="122687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 produkcji</a:t>
                </a:r>
              </a:p>
            </c:rich>
          </c:tx>
          <c:layout>
            <c:manualLayout>
              <c:xMode val="edge"/>
              <c:yMode val="edge"/>
              <c:x val="0.42471412948381454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6875999"/>
        <c:crosses val="autoZero"/>
        <c:auto val="1"/>
        <c:lblAlgn val="ctr"/>
        <c:lblOffset val="100"/>
        <c:noMultiLvlLbl val="0"/>
      </c:catAx>
      <c:valAx>
        <c:axId val="12268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687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9</xdr:row>
      <xdr:rowOff>61912</xdr:rowOff>
    </xdr:from>
    <xdr:to>
      <xdr:col>12</xdr:col>
      <xdr:colOff>457200</xdr:colOff>
      <xdr:row>23</xdr:row>
      <xdr:rowOff>138112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4B74609-82B9-CA74-5182-2A8CF3CC2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H1" sqref="H1"/>
    </sheetView>
  </sheetViews>
  <sheetFormatPr defaultRowHeight="15" x14ac:dyDescent="0.25"/>
  <cols>
    <col min="1" max="1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H1" t="s">
        <v>37</v>
      </c>
      <c r="I1" t="s">
        <v>1</v>
      </c>
      <c r="J1" t="s">
        <v>2</v>
      </c>
      <c r="K1" t="s">
        <v>3</v>
      </c>
      <c r="L1" t="s">
        <v>16</v>
      </c>
    </row>
    <row r="2" spans="1:12" x14ac:dyDescent="0.25">
      <c r="A2" t="s">
        <v>17</v>
      </c>
      <c r="B2">
        <v>237</v>
      </c>
      <c r="C2">
        <v>198</v>
      </c>
      <c r="D2">
        <v>207</v>
      </c>
      <c r="E2">
        <v>312</v>
      </c>
      <c r="I2">
        <v>317</v>
      </c>
      <c r="J2">
        <v>300</v>
      </c>
      <c r="K2">
        <v>322</v>
      </c>
      <c r="L2">
        <v>398</v>
      </c>
    </row>
    <row r="3" spans="1:12" x14ac:dyDescent="0.25">
      <c r="A3" t="s">
        <v>18</v>
      </c>
      <c r="B3">
        <f>ROUNDDOWN(B2*1.02,0)</f>
        <v>241</v>
      </c>
      <c r="C3">
        <f>ROUNDDOWN(C2*1.027,0)</f>
        <v>203</v>
      </c>
      <c r="D3">
        <f>ROUNDDOWN(D2*1.03,0)</f>
        <v>213</v>
      </c>
      <c r="E3">
        <f>ROUNDDOWN(E2*1.02,0)</f>
        <v>318</v>
      </c>
    </row>
    <row r="4" spans="1:12" x14ac:dyDescent="0.25">
      <c r="A4" t="s">
        <v>19</v>
      </c>
      <c r="B4">
        <f t="shared" ref="B4:B21" si="0">ROUNDDOWN(B3*1.02,0)</f>
        <v>245</v>
      </c>
      <c r="C4">
        <f t="shared" ref="C4:C21" si="1">ROUNDDOWN(C3*1.027,0)</f>
        <v>208</v>
      </c>
      <c r="D4">
        <f t="shared" ref="D4:D21" si="2">ROUNDDOWN(D3*1.03,0)</f>
        <v>219</v>
      </c>
      <c r="E4">
        <f t="shared" ref="E4:E21" si="3">ROUNDDOWN(E3*1.02,0)</f>
        <v>324</v>
      </c>
    </row>
    <row r="5" spans="1:12" x14ac:dyDescent="0.25">
      <c r="A5" t="s">
        <v>20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12" x14ac:dyDescent="0.25">
      <c r="A6" t="s">
        <v>21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12" x14ac:dyDescent="0.25">
      <c r="A7" t="s">
        <v>22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12" x14ac:dyDescent="0.25">
      <c r="A8" t="s">
        <v>23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12" x14ac:dyDescent="0.25">
      <c r="A9" t="s">
        <v>24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12" x14ac:dyDescent="0.25">
      <c r="A10" t="s">
        <v>25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12" x14ac:dyDescent="0.25">
      <c r="A11" t="s">
        <v>26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12" x14ac:dyDescent="0.25">
      <c r="A12" t="s">
        <v>27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12" x14ac:dyDescent="0.25">
      <c r="A13" t="s">
        <v>28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12" x14ac:dyDescent="0.25">
      <c r="A14" t="s">
        <v>29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12" x14ac:dyDescent="0.25">
      <c r="A15" t="s">
        <v>30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12" x14ac:dyDescent="0.25">
      <c r="A16" t="s">
        <v>31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t="s">
        <v>32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t="s">
        <v>33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t="s">
        <v>34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t="s">
        <v>35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t="s">
        <v>36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1" t="s">
        <v>4</v>
      </c>
      <c r="B22">
        <v>333</v>
      </c>
      <c r="C22">
        <v>316</v>
      </c>
      <c r="D22">
        <v>350</v>
      </c>
      <c r="E22">
        <v>443</v>
      </c>
    </row>
    <row r="23" spans="1:5" x14ac:dyDescent="0.25">
      <c r="A23" s="1" t="s">
        <v>5</v>
      </c>
      <c r="B23">
        <v>333</v>
      </c>
      <c r="C23">
        <v>316</v>
      </c>
      <c r="D23">
        <v>350</v>
      </c>
      <c r="E23">
        <v>443</v>
      </c>
    </row>
    <row r="24" spans="1:5" x14ac:dyDescent="0.25">
      <c r="A24" s="1" t="s">
        <v>6</v>
      </c>
      <c r="B24">
        <v>333</v>
      </c>
      <c r="C24">
        <v>316</v>
      </c>
      <c r="D24">
        <v>350</v>
      </c>
      <c r="E24">
        <v>443</v>
      </c>
    </row>
    <row r="25" spans="1:5" x14ac:dyDescent="0.25">
      <c r="A25" s="1" t="s">
        <v>7</v>
      </c>
      <c r="B25">
        <v>333</v>
      </c>
      <c r="C25">
        <v>316</v>
      </c>
      <c r="D25">
        <v>350</v>
      </c>
      <c r="E25">
        <v>443</v>
      </c>
    </row>
    <row r="26" spans="1:5" x14ac:dyDescent="0.25">
      <c r="A26" t="s">
        <v>8</v>
      </c>
      <c r="B26">
        <f>ROUNDDOWN(B25*0.99,0)</f>
        <v>329</v>
      </c>
      <c r="C26">
        <f>ROUNDDOWN(C25*0.988,0)</f>
        <v>312</v>
      </c>
      <c r="D26">
        <f>ROUNDDOWN(D25*0.981,0)</f>
        <v>343</v>
      </c>
      <c r="E26">
        <f>ROUNDDOWN(E25*0.975,0)</f>
        <v>431</v>
      </c>
    </row>
    <row r="27" spans="1:5" x14ac:dyDescent="0.25">
      <c r="A27" t="s">
        <v>9</v>
      </c>
      <c r="B27">
        <f t="shared" ref="B27:B33" si="4">ROUNDDOWN(B26*0.99,0)</f>
        <v>325</v>
      </c>
      <c r="C27">
        <f t="shared" ref="C27:C33" si="5">ROUNDDOWN(C26*0.988,0)</f>
        <v>308</v>
      </c>
      <c r="D27">
        <f t="shared" ref="D27:D33" si="6">ROUNDDOWN(D26*0.981,0)</f>
        <v>336</v>
      </c>
      <c r="E27">
        <f t="shared" ref="E27:E33" si="7">ROUNDDOWN(E26*0.975,0)</f>
        <v>420</v>
      </c>
    </row>
    <row r="28" spans="1:5" x14ac:dyDescent="0.25">
      <c r="A28" t="s">
        <v>10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409</v>
      </c>
    </row>
    <row r="29" spans="1:5" x14ac:dyDescent="0.25">
      <c r="A29" s="2" t="s">
        <v>11</v>
      </c>
      <c r="B29" s="2">
        <f t="shared" si="4"/>
        <v>317</v>
      </c>
      <c r="C29" s="2">
        <f t="shared" si="5"/>
        <v>300</v>
      </c>
      <c r="D29" s="2">
        <f t="shared" si="6"/>
        <v>322</v>
      </c>
      <c r="E29" s="2">
        <f t="shared" si="7"/>
        <v>398</v>
      </c>
    </row>
    <row r="30" spans="1:5" x14ac:dyDescent="0.25">
      <c r="A30" t="s">
        <v>12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388</v>
      </c>
    </row>
    <row r="31" spans="1:5" x14ac:dyDescent="0.25">
      <c r="A31" t="s">
        <v>13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378</v>
      </c>
    </row>
    <row r="32" spans="1:5" x14ac:dyDescent="0.25">
      <c r="A32" t="s">
        <v>14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368</v>
      </c>
    </row>
    <row r="33" spans="1:5" x14ac:dyDescent="0.25">
      <c r="A33" t="s">
        <v>15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58D2-F072-44A4-94D3-D803AB1371A5}">
  <dimension ref="A1:I56"/>
  <sheetViews>
    <sheetView workbookViewId="0">
      <selection activeCell="H2" sqref="H2"/>
    </sheetView>
  </sheetViews>
  <sheetFormatPr defaultRowHeight="15" x14ac:dyDescent="0.25"/>
  <cols>
    <col min="1" max="1" width="14.7109375" customWidth="1"/>
    <col min="9" max="9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H1" t="s">
        <v>63</v>
      </c>
      <c r="I1" t="s">
        <v>16</v>
      </c>
    </row>
    <row r="2" spans="1:9" x14ac:dyDescent="0.25">
      <c r="A2" t="s">
        <v>17</v>
      </c>
      <c r="B2">
        <v>237</v>
      </c>
      <c r="C2">
        <v>198</v>
      </c>
      <c r="D2">
        <v>207</v>
      </c>
      <c r="E2">
        <v>312</v>
      </c>
      <c r="I2" t="s">
        <v>43</v>
      </c>
    </row>
    <row r="3" spans="1:9" x14ac:dyDescent="0.25">
      <c r="A3" t="s">
        <v>18</v>
      </c>
      <c r="B3">
        <f>ROUNDDOWN(B2*1.02,0)</f>
        <v>241</v>
      </c>
      <c r="C3">
        <f>ROUNDDOWN(C2*1.027,0)</f>
        <v>203</v>
      </c>
      <c r="D3">
        <f>ROUNDDOWN(D2*1.03,0)</f>
        <v>213</v>
      </c>
      <c r="E3">
        <f>ROUNDDOWN(E2*1.02,0)</f>
        <v>318</v>
      </c>
      <c r="I3">
        <v>305</v>
      </c>
    </row>
    <row r="4" spans="1:9" x14ac:dyDescent="0.25">
      <c r="A4" t="s">
        <v>19</v>
      </c>
      <c r="B4">
        <f t="shared" ref="B4:B21" si="0">ROUNDDOWN(B3*1.02,0)</f>
        <v>245</v>
      </c>
      <c r="C4">
        <f t="shared" ref="C4:C21" si="1">ROUNDDOWN(C3*1.027,0)</f>
        <v>208</v>
      </c>
      <c r="D4">
        <f t="shared" ref="D4:D21" si="2">ROUNDDOWN(D3*1.03,0)</f>
        <v>219</v>
      </c>
      <c r="E4">
        <f t="shared" ref="E4:E21" si="3">ROUNDDOWN(E3*1.02,0)</f>
        <v>324</v>
      </c>
    </row>
    <row r="5" spans="1:9" x14ac:dyDescent="0.25">
      <c r="A5" t="s">
        <v>20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9" x14ac:dyDescent="0.25">
      <c r="A6" t="s">
        <v>21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9" x14ac:dyDescent="0.25">
      <c r="A7" t="s">
        <v>22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9" x14ac:dyDescent="0.25">
      <c r="A8" t="s">
        <v>23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9" x14ac:dyDescent="0.25">
      <c r="A9" t="s">
        <v>24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9" x14ac:dyDescent="0.25">
      <c r="A10" t="s">
        <v>25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9" x14ac:dyDescent="0.25">
      <c r="A11" t="s">
        <v>26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9" x14ac:dyDescent="0.25">
      <c r="A12" t="s">
        <v>27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9" x14ac:dyDescent="0.25">
      <c r="A13" t="s">
        <v>28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9" x14ac:dyDescent="0.25">
      <c r="A14" t="s">
        <v>29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9" x14ac:dyDescent="0.25">
      <c r="A15" t="s">
        <v>30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9" x14ac:dyDescent="0.25">
      <c r="A16" t="s">
        <v>31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t="s">
        <v>32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t="s">
        <v>33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t="s">
        <v>34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t="s">
        <v>35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t="s">
        <v>36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1" t="s">
        <v>4</v>
      </c>
      <c r="B22">
        <v>333</v>
      </c>
      <c r="C22">
        <v>316</v>
      </c>
      <c r="D22">
        <v>350</v>
      </c>
      <c r="E22">
        <v>443</v>
      </c>
    </row>
    <row r="23" spans="1:5" x14ac:dyDescent="0.25">
      <c r="A23" s="1" t="s">
        <v>5</v>
      </c>
      <c r="B23">
        <v>333</v>
      </c>
      <c r="C23">
        <v>316</v>
      </c>
      <c r="D23">
        <v>350</v>
      </c>
      <c r="E23">
        <v>443</v>
      </c>
    </row>
    <row r="24" spans="1:5" x14ac:dyDescent="0.25">
      <c r="A24" s="1" t="s">
        <v>6</v>
      </c>
      <c r="B24">
        <v>333</v>
      </c>
      <c r="C24">
        <v>316</v>
      </c>
      <c r="D24">
        <v>350</v>
      </c>
      <c r="E24">
        <v>443</v>
      </c>
    </row>
    <row r="25" spans="1:5" x14ac:dyDescent="0.25">
      <c r="A25" s="1" t="s">
        <v>7</v>
      </c>
      <c r="B25">
        <v>333</v>
      </c>
      <c r="C25">
        <v>316</v>
      </c>
      <c r="D25">
        <v>350</v>
      </c>
      <c r="E25">
        <v>443</v>
      </c>
    </row>
    <row r="26" spans="1:5" x14ac:dyDescent="0.25">
      <c r="A26" t="s">
        <v>8</v>
      </c>
      <c r="B26">
        <f>ROUNDDOWN(B25*0.99,0)</f>
        <v>329</v>
      </c>
      <c r="C26">
        <f>ROUNDDOWN(C25*0.988,0)</f>
        <v>312</v>
      </c>
      <c r="D26">
        <f>ROUNDDOWN(D25*0.981,0)</f>
        <v>343</v>
      </c>
      <c r="E26">
        <f>ROUNDDOWN(E25*0.975,0)</f>
        <v>431</v>
      </c>
    </row>
    <row r="27" spans="1:5" x14ac:dyDescent="0.25">
      <c r="A27" t="s">
        <v>9</v>
      </c>
      <c r="B27">
        <f t="shared" ref="B27:B34" si="4">ROUNDDOWN(B26*0.99,0)</f>
        <v>325</v>
      </c>
      <c r="C27">
        <f t="shared" ref="C27:C56" si="5">ROUNDDOWN(C26*0.988,0)</f>
        <v>308</v>
      </c>
      <c r="D27">
        <f t="shared" ref="D27:D56" si="6">ROUNDDOWN(D26*0.981,0)</f>
        <v>336</v>
      </c>
      <c r="E27">
        <f t="shared" ref="E27:E56" si="7">ROUNDDOWN(E26*0.975,0)</f>
        <v>420</v>
      </c>
    </row>
    <row r="28" spans="1:5" x14ac:dyDescent="0.25">
      <c r="A28" t="s">
        <v>10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409</v>
      </c>
    </row>
    <row r="29" spans="1:5" x14ac:dyDescent="0.25">
      <c r="A29" s="2" t="s">
        <v>11</v>
      </c>
      <c r="B29" s="2">
        <f t="shared" si="4"/>
        <v>317</v>
      </c>
      <c r="C29" s="2">
        <f t="shared" si="5"/>
        <v>300</v>
      </c>
      <c r="D29" s="2">
        <f t="shared" si="6"/>
        <v>322</v>
      </c>
      <c r="E29" s="2">
        <f t="shared" si="7"/>
        <v>398</v>
      </c>
    </row>
    <row r="30" spans="1:5" x14ac:dyDescent="0.25">
      <c r="A30" t="s">
        <v>12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388</v>
      </c>
    </row>
    <row r="31" spans="1:5" x14ac:dyDescent="0.25">
      <c r="A31" t="s">
        <v>13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378</v>
      </c>
    </row>
    <row r="32" spans="1:5" x14ac:dyDescent="0.25">
      <c r="A32" t="s">
        <v>14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368</v>
      </c>
    </row>
    <row r="33" spans="1:5" x14ac:dyDescent="0.25">
      <c r="A33" t="s">
        <v>15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358</v>
      </c>
    </row>
    <row r="34" spans="1:5" x14ac:dyDescent="0.25">
      <c r="A34" t="s">
        <v>38</v>
      </c>
      <c r="B34">
        <f t="shared" si="4"/>
        <v>297</v>
      </c>
      <c r="C34">
        <f t="shared" si="5"/>
        <v>280</v>
      </c>
      <c r="D34">
        <f t="shared" si="6"/>
        <v>291</v>
      </c>
      <c r="E34">
        <f t="shared" si="7"/>
        <v>349</v>
      </c>
    </row>
    <row r="35" spans="1:5" x14ac:dyDescent="0.25">
      <c r="A35" t="s">
        <v>39</v>
      </c>
      <c r="B35">
        <f t="shared" ref="B35" si="8">ROUNDDOWN(B34*0.99,0)</f>
        <v>294</v>
      </c>
      <c r="C35">
        <f t="shared" si="5"/>
        <v>276</v>
      </c>
      <c r="D35">
        <f t="shared" si="6"/>
        <v>285</v>
      </c>
      <c r="E35">
        <f t="shared" si="7"/>
        <v>340</v>
      </c>
    </row>
    <row r="36" spans="1:5" x14ac:dyDescent="0.25">
      <c r="A36" t="s">
        <v>40</v>
      </c>
      <c r="B36">
        <f t="shared" ref="B36" si="9">ROUNDDOWN(B35*0.99,0)</f>
        <v>291</v>
      </c>
      <c r="C36">
        <f t="shared" si="5"/>
        <v>272</v>
      </c>
      <c r="D36">
        <f t="shared" si="6"/>
        <v>279</v>
      </c>
      <c r="E36">
        <f t="shared" si="7"/>
        <v>331</v>
      </c>
    </row>
    <row r="37" spans="1:5" x14ac:dyDescent="0.25">
      <c r="A37" t="s">
        <v>41</v>
      </c>
      <c r="B37">
        <f t="shared" ref="B37" si="10">ROUNDDOWN(B36*0.99,0)</f>
        <v>288</v>
      </c>
      <c r="C37">
        <f t="shared" si="5"/>
        <v>268</v>
      </c>
      <c r="D37">
        <f t="shared" si="6"/>
        <v>273</v>
      </c>
      <c r="E37">
        <f t="shared" si="7"/>
        <v>322</v>
      </c>
    </row>
    <row r="38" spans="1:5" x14ac:dyDescent="0.25">
      <c r="A38" t="s">
        <v>42</v>
      </c>
      <c r="B38">
        <f t="shared" ref="B38" si="11">ROUNDDOWN(B37*0.99,0)</f>
        <v>285</v>
      </c>
      <c r="C38">
        <f t="shared" si="5"/>
        <v>264</v>
      </c>
      <c r="D38">
        <f t="shared" si="6"/>
        <v>267</v>
      </c>
      <c r="E38">
        <f t="shared" si="7"/>
        <v>313</v>
      </c>
    </row>
    <row r="39" spans="1:5" x14ac:dyDescent="0.25">
      <c r="A39" t="s">
        <v>43</v>
      </c>
      <c r="B39">
        <f t="shared" ref="B39" si="12">ROUNDDOWN(B38*0.99,0)</f>
        <v>282</v>
      </c>
      <c r="C39">
        <f t="shared" si="5"/>
        <v>260</v>
      </c>
      <c r="D39">
        <f t="shared" si="6"/>
        <v>261</v>
      </c>
      <c r="E39">
        <f t="shared" si="7"/>
        <v>305</v>
      </c>
    </row>
    <row r="40" spans="1:5" x14ac:dyDescent="0.25">
      <c r="A40" t="s">
        <v>44</v>
      </c>
      <c r="B40">
        <f t="shared" ref="B40" si="13">ROUNDDOWN(B39*0.99,0)</f>
        <v>279</v>
      </c>
      <c r="C40">
        <f t="shared" si="5"/>
        <v>256</v>
      </c>
      <c r="D40">
        <f t="shared" si="6"/>
        <v>256</v>
      </c>
      <c r="E40">
        <f t="shared" si="7"/>
        <v>297</v>
      </c>
    </row>
    <row r="41" spans="1:5" x14ac:dyDescent="0.25">
      <c r="A41" t="s">
        <v>45</v>
      </c>
      <c r="B41">
        <f t="shared" ref="B41" si="14">ROUNDDOWN(B40*0.99,0)</f>
        <v>276</v>
      </c>
      <c r="C41">
        <f t="shared" si="5"/>
        <v>252</v>
      </c>
      <c r="D41">
        <f t="shared" si="6"/>
        <v>251</v>
      </c>
      <c r="E41">
        <f t="shared" si="7"/>
        <v>289</v>
      </c>
    </row>
    <row r="42" spans="1:5" x14ac:dyDescent="0.25">
      <c r="A42" t="s">
        <v>46</v>
      </c>
      <c r="B42">
        <f t="shared" ref="B42" si="15">ROUNDDOWN(B41*0.99,0)</f>
        <v>273</v>
      </c>
      <c r="C42">
        <f t="shared" si="5"/>
        <v>248</v>
      </c>
      <c r="D42">
        <f t="shared" si="6"/>
        <v>246</v>
      </c>
      <c r="E42">
        <f t="shared" si="7"/>
        <v>281</v>
      </c>
    </row>
    <row r="43" spans="1:5" x14ac:dyDescent="0.25">
      <c r="A43" t="s">
        <v>47</v>
      </c>
      <c r="B43">
        <f t="shared" ref="B43" si="16">ROUNDDOWN(B42*0.99,0)</f>
        <v>270</v>
      </c>
      <c r="C43">
        <f t="shared" si="5"/>
        <v>245</v>
      </c>
      <c r="D43">
        <f t="shared" si="6"/>
        <v>241</v>
      </c>
      <c r="E43">
        <f t="shared" si="7"/>
        <v>273</v>
      </c>
    </row>
    <row r="44" spans="1:5" x14ac:dyDescent="0.25">
      <c r="A44" t="s">
        <v>48</v>
      </c>
      <c r="B44">
        <f t="shared" ref="B44" si="17">ROUNDDOWN(B43*0.99,0)</f>
        <v>267</v>
      </c>
      <c r="C44">
        <f t="shared" si="5"/>
        <v>242</v>
      </c>
      <c r="D44">
        <f t="shared" si="6"/>
        <v>236</v>
      </c>
      <c r="E44">
        <f t="shared" si="7"/>
        <v>266</v>
      </c>
    </row>
    <row r="45" spans="1:5" x14ac:dyDescent="0.25">
      <c r="A45" t="s">
        <v>49</v>
      </c>
      <c r="B45">
        <f t="shared" ref="B45" si="18">ROUNDDOWN(B44*0.99,0)</f>
        <v>264</v>
      </c>
      <c r="C45">
        <f t="shared" si="5"/>
        <v>239</v>
      </c>
      <c r="D45">
        <f t="shared" si="6"/>
        <v>231</v>
      </c>
      <c r="E45">
        <f t="shared" si="7"/>
        <v>259</v>
      </c>
    </row>
    <row r="46" spans="1:5" x14ac:dyDescent="0.25">
      <c r="A46" t="s">
        <v>50</v>
      </c>
      <c r="B46">
        <f t="shared" ref="B46" si="19">ROUNDDOWN(B45*0.99,0)</f>
        <v>261</v>
      </c>
      <c r="C46">
        <f t="shared" si="5"/>
        <v>236</v>
      </c>
      <c r="D46">
        <f t="shared" si="6"/>
        <v>226</v>
      </c>
      <c r="E46">
        <f t="shared" si="7"/>
        <v>252</v>
      </c>
    </row>
    <row r="47" spans="1:5" x14ac:dyDescent="0.25">
      <c r="A47" t="s">
        <v>51</v>
      </c>
      <c r="B47">
        <f t="shared" ref="B47" si="20">ROUNDDOWN(B46*0.99,0)</f>
        <v>258</v>
      </c>
      <c r="C47">
        <f t="shared" si="5"/>
        <v>233</v>
      </c>
      <c r="D47">
        <f t="shared" si="6"/>
        <v>221</v>
      </c>
      <c r="E47">
        <f t="shared" si="7"/>
        <v>245</v>
      </c>
    </row>
    <row r="48" spans="1:5" x14ac:dyDescent="0.25">
      <c r="A48" t="s">
        <v>52</v>
      </c>
      <c r="B48">
        <f t="shared" ref="B48" si="21">ROUNDDOWN(B47*0.99,0)</f>
        <v>255</v>
      </c>
      <c r="C48">
        <f t="shared" si="5"/>
        <v>230</v>
      </c>
      <c r="D48">
        <f t="shared" si="6"/>
        <v>216</v>
      </c>
      <c r="E48">
        <f t="shared" si="7"/>
        <v>238</v>
      </c>
    </row>
    <row r="49" spans="1:5" x14ac:dyDescent="0.25">
      <c r="A49" t="s">
        <v>53</v>
      </c>
      <c r="B49">
        <f t="shared" ref="B49" si="22">ROUNDDOWN(B48*0.99,0)</f>
        <v>252</v>
      </c>
      <c r="C49">
        <f t="shared" si="5"/>
        <v>227</v>
      </c>
      <c r="D49">
        <f t="shared" si="6"/>
        <v>211</v>
      </c>
      <c r="E49">
        <f t="shared" si="7"/>
        <v>232</v>
      </c>
    </row>
    <row r="50" spans="1:5" x14ac:dyDescent="0.25">
      <c r="A50" t="s">
        <v>54</v>
      </c>
      <c r="B50">
        <f t="shared" ref="B50" si="23">ROUNDDOWN(B49*0.99,0)</f>
        <v>249</v>
      </c>
      <c r="C50">
        <f t="shared" si="5"/>
        <v>224</v>
      </c>
      <c r="D50">
        <f t="shared" si="6"/>
        <v>206</v>
      </c>
      <c r="E50">
        <f t="shared" si="7"/>
        <v>226</v>
      </c>
    </row>
    <row r="51" spans="1:5" x14ac:dyDescent="0.25">
      <c r="A51" t="s">
        <v>55</v>
      </c>
      <c r="B51">
        <f t="shared" ref="B51" si="24">ROUNDDOWN(B50*0.99,0)</f>
        <v>246</v>
      </c>
      <c r="C51">
        <f t="shared" si="5"/>
        <v>221</v>
      </c>
      <c r="D51">
        <f t="shared" si="6"/>
        <v>202</v>
      </c>
      <c r="E51">
        <f t="shared" si="7"/>
        <v>220</v>
      </c>
    </row>
    <row r="52" spans="1:5" x14ac:dyDescent="0.25">
      <c r="A52" t="s">
        <v>56</v>
      </c>
      <c r="B52">
        <f t="shared" ref="B52" si="25">ROUNDDOWN(B51*0.99,0)</f>
        <v>243</v>
      </c>
      <c r="C52">
        <f t="shared" si="5"/>
        <v>218</v>
      </c>
      <c r="D52">
        <f t="shared" si="6"/>
        <v>198</v>
      </c>
      <c r="E52">
        <f t="shared" si="7"/>
        <v>214</v>
      </c>
    </row>
    <row r="53" spans="1:5" x14ac:dyDescent="0.25">
      <c r="A53" t="s">
        <v>57</v>
      </c>
      <c r="B53">
        <f t="shared" ref="B53" si="26">ROUNDDOWN(B52*0.99,0)</f>
        <v>240</v>
      </c>
      <c r="C53">
        <f t="shared" si="5"/>
        <v>215</v>
      </c>
      <c r="D53">
        <f t="shared" si="6"/>
        <v>194</v>
      </c>
      <c r="E53">
        <f t="shared" si="7"/>
        <v>208</v>
      </c>
    </row>
    <row r="54" spans="1:5" x14ac:dyDescent="0.25">
      <c r="A54" t="s">
        <v>58</v>
      </c>
      <c r="B54">
        <f t="shared" ref="B54" si="27">ROUNDDOWN(B53*0.99,0)</f>
        <v>237</v>
      </c>
      <c r="C54">
        <f t="shared" si="5"/>
        <v>212</v>
      </c>
      <c r="D54">
        <f t="shared" si="6"/>
        <v>190</v>
      </c>
      <c r="E54">
        <f t="shared" si="7"/>
        <v>202</v>
      </c>
    </row>
    <row r="55" spans="1:5" x14ac:dyDescent="0.25">
      <c r="A55" t="s">
        <v>59</v>
      </c>
      <c r="B55">
        <f t="shared" ref="B55" si="28">ROUNDDOWN(B54*0.99,0)</f>
        <v>234</v>
      </c>
      <c r="C55">
        <f t="shared" si="5"/>
        <v>209</v>
      </c>
      <c r="D55">
        <f t="shared" si="6"/>
        <v>186</v>
      </c>
      <c r="E55">
        <f t="shared" si="7"/>
        <v>196</v>
      </c>
    </row>
    <row r="56" spans="1:5" x14ac:dyDescent="0.25">
      <c r="A56" t="s">
        <v>60</v>
      </c>
      <c r="B56">
        <f t="shared" ref="B56" si="29">ROUNDDOWN(B55*0.99,0)</f>
        <v>231</v>
      </c>
      <c r="C56">
        <f t="shared" si="5"/>
        <v>206</v>
      </c>
      <c r="D56">
        <f t="shared" si="6"/>
        <v>182</v>
      </c>
      <c r="E56">
        <f t="shared" si="7"/>
        <v>191</v>
      </c>
    </row>
  </sheetData>
  <phoneticPr fontId="1" type="noConversion"/>
  <conditionalFormatting sqref="B34:B56">
    <cfRule type="cellIs" dxfId="3" priority="4" operator="lessThan">
      <formula>$B$2</formula>
    </cfRule>
  </conditionalFormatting>
  <conditionalFormatting sqref="C34:C56">
    <cfRule type="cellIs" dxfId="2" priority="1" operator="lessThan">
      <formula>$C$2</formula>
    </cfRule>
  </conditionalFormatting>
  <conditionalFormatting sqref="D34:D56">
    <cfRule type="cellIs" dxfId="1" priority="2" operator="lessThan">
      <formula>$D$2</formula>
    </cfRule>
  </conditionalFormatting>
  <conditionalFormatting sqref="E34:E56">
    <cfRule type="cellIs" dxfId="0" priority="3" operator="lessThan">
      <formula>$E$2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2C08-3463-42CD-9B1D-22B5ABD8E465}">
  <dimension ref="A1:L33"/>
  <sheetViews>
    <sheetView workbookViewId="0">
      <selection activeCell="N5" sqref="N5"/>
    </sheetView>
  </sheetViews>
  <sheetFormatPr defaultRowHeight="15" x14ac:dyDescent="0.25"/>
  <cols>
    <col min="1" max="1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H1" t="s">
        <v>61</v>
      </c>
      <c r="I1" t="s">
        <v>1</v>
      </c>
      <c r="J1" t="s">
        <v>2</v>
      </c>
      <c r="K1" t="s">
        <v>3</v>
      </c>
      <c r="L1" t="s">
        <v>16</v>
      </c>
    </row>
    <row r="2" spans="1:12" x14ac:dyDescent="0.25">
      <c r="A2" t="s">
        <v>17</v>
      </c>
      <c r="B2">
        <v>237</v>
      </c>
      <c r="C2">
        <v>198</v>
      </c>
      <c r="D2">
        <v>207</v>
      </c>
      <c r="E2">
        <v>312</v>
      </c>
      <c r="I2">
        <f>COUNTIF(B2:B33, "&gt;300")</f>
        <v>18</v>
      </c>
      <c r="J2">
        <f>COUNTIF(C2:C33, "&gt;300")</f>
        <v>9</v>
      </c>
      <c r="K2">
        <f t="shared" ref="K2:L2" si="0">COUNTIF(D2:D33, "&gt;300")</f>
        <v>17</v>
      </c>
      <c r="L2">
        <f t="shared" si="0"/>
        <v>32</v>
      </c>
    </row>
    <row r="3" spans="1:12" x14ac:dyDescent="0.25">
      <c r="A3" t="s">
        <v>18</v>
      </c>
      <c r="B3">
        <f>ROUNDDOWN(B2*1.02,0)</f>
        <v>241</v>
      </c>
      <c r="C3">
        <f>ROUNDDOWN(C2*1.027,0)</f>
        <v>203</v>
      </c>
      <c r="D3">
        <f>ROUNDDOWN(D2*1.03,0)</f>
        <v>213</v>
      </c>
      <c r="E3">
        <f>ROUNDDOWN(E2*1.02,0)</f>
        <v>318</v>
      </c>
    </row>
    <row r="4" spans="1:12" x14ac:dyDescent="0.25">
      <c r="A4" t="s">
        <v>19</v>
      </c>
      <c r="B4">
        <f t="shared" ref="B4:B21" si="1">ROUNDDOWN(B3*1.02,0)</f>
        <v>245</v>
      </c>
      <c r="C4">
        <f t="shared" ref="C4:C21" si="2">ROUNDDOWN(C3*1.027,0)</f>
        <v>208</v>
      </c>
      <c r="D4">
        <f t="shared" ref="D4:D21" si="3">ROUNDDOWN(D3*1.03,0)</f>
        <v>219</v>
      </c>
      <c r="E4">
        <f t="shared" ref="E4:E21" si="4">ROUNDDOWN(E3*1.02,0)</f>
        <v>324</v>
      </c>
    </row>
    <row r="5" spans="1:12" x14ac:dyDescent="0.25">
      <c r="A5" t="s">
        <v>20</v>
      </c>
      <c r="B5">
        <f t="shared" si="1"/>
        <v>249</v>
      </c>
      <c r="C5">
        <f t="shared" si="2"/>
        <v>213</v>
      </c>
      <c r="D5">
        <f t="shared" si="3"/>
        <v>225</v>
      </c>
      <c r="E5">
        <f t="shared" si="4"/>
        <v>330</v>
      </c>
    </row>
    <row r="6" spans="1:12" x14ac:dyDescent="0.25">
      <c r="A6" t="s">
        <v>21</v>
      </c>
      <c r="B6">
        <f t="shared" si="1"/>
        <v>253</v>
      </c>
      <c r="C6">
        <f t="shared" si="2"/>
        <v>218</v>
      </c>
      <c r="D6">
        <f t="shared" si="3"/>
        <v>231</v>
      </c>
      <c r="E6">
        <f t="shared" si="4"/>
        <v>336</v>
      </c>
    </row>
    <row r="7" spans="1:12" x14ac:dyDescent="0.25">
      <c r="A7" t="s">
        <v>22</v>
      </c>
      <c r="B7">
        <f t="shared" si="1"/>
        <v>258</v>
      </c>
      <c r="C7">
        <f t="shared" si="2"/>
        <v>223</v>
      </c>
      <c r="D7">
        <f t="shared" si="3"/>
        <v>237</v>
      </c>
      <c r="E7">
        <f t="shared" si="4"/>
        <v>342</v>
      </c>
    </row>
    <row r="8" spans="1:12" x14ac:dyDescent="0.25">
      <c r="A8" t="s">
        <v>23</v>
      </c>
      <c r="B8">
        <f t="shared" si="1"/>
        <v>263</v>
      </c>
      <c r="C8">
        <f t="shared" si="2"/>
        <v>229</v>
      </c>
      <c r="D8">
        <f t="shared" si="3"/>
        <v>244</v>
      </c>
      <c r="E8">
        <f t="shared" si="4"/>
        <v>348</v>
      </c>
    </row>
    <row r="9" spans="1:12" x14ac:dyDescent="0.25">
      <c r="A9" t="s">
        <v>24</v>
      </c>
      <c r="B9">
        <f t="shared" si="1"/>
        <v>268</v>
      </c>
      <c r="C9">
        <f t="shared" si="2"/>
        <v>235</v>
      </c>
      <c r="D9">
        <f t="shared" si="3"/>
        <v>251</v>
      </c>
      <c r="E9">
        <f t="shared" si="4"/>
        <v>354</v>
      </c>
    </row>
    <row r="10" spans="1:12" x14ac:dyDescent="0.25">
      <c r="A10" t="s">
        <v>25</v>
      </c>
      <c r="B10">
        <f t="shared" si="1"/>
        <v>273</v>
      </c>
      <c r="C10">
        <f t="shared" si="2"/>
        <v>241</v>
      </c>
      <c r="D10">
        <f t="shared" si="3"/>
        <v>258</v>
      </c>
      <c r="E10">
        <f t="shared" si="4"/>
        <v>361</v>
      </c>
    </row>
    <row r="11" spans="1:12" x14ac:dyDescent="0.25">
      <c r="A11" t="s">
        <v>26</v>
      </c>
      <c r="B11">
        <f t="shared" si="1"/>
        <v>278</v>
      </c>
      <c r="C11">
        <f t="shared" si="2"/>
        <v>247</v>
      </c>
      <c r="D11">
        <f t="shared" si="3"/>
        <v>265</v>
      </c>
      <c r="E11">
        <f t="shared" si="4"/>
        <v>368</v>
      </c>
    </row>
    <row r="12" spans="1:12" x14ac:dyDescent="0.25">
      <c r="A12" t="s">
        <v>27</v>
      </c>
      <c r="B12">
        <f t="shared" si="1"/>
        <v>283</v>
      </c>
      <c r="C12">
        <f t="shared" si="2"/>
        <v>253</v>
      </c>
      <c r="D12">
        <f t="shared" si="3"/>
        <v>272</v>
      </c>
      <c r="E12">
        <f t="shared" si="4"/>
        <v>375</v>
      </c>
    </row>
    <row r="13" spans="1:12" x14ac:dyDescent="0.25">
      <c r="A13" t="s">
        <v>28</v>
      </c>
      <c r="B13">
        <f t="shared" si="1"/>
        <v>288</v>
      </c>
      <c r="C13">
        <f t="shared" si="2"/>
        <v>259</v>
      </c>
      <c r="D13">
        <f t="shared" si="3"/>
        <v>280</v>
      </c>
      <c r="E13">
        <f t="shared" si="4"/>
        <v>382</v>
      </c>
    </row>
    <row r="14" spans="1:12" x14ac:dyDescent="0.25">
      <c r="A14" t="s">
        <v>29</v>
      </c>
      <c r="B14">
        <f t="shared" si="1"/>
        <v>293</v>
      </c>
      <c r="C14">
        <f t="shared" si="2"/>
        <v>265</v>
      </c>
      <c r="D14">
        <f t="shared" si="3"/>
        <v>288</v>
      </c>
      <c r="E14">
        <f t="shared" si="4"/>
        <v>389</v>
      </c>
    </row>
    <row r="15" spans="1:12" x14ac:dyDescent="0.25">
      <c r="A15" t="s">
        <v>30</v>
      </c>
      <c r="B15">
        <f t="shared" si="1"/>
        <v>298</v>
      </c>
      <c r="C15">
        <f t="shared" si="2"/>
        <v>272</v>
      </c>
      <c r="D15">
        <f t="shared" si="3"/>
        <v>296</v>
      </c>
      <c r="E15">
        <f t="shared" si="4"/>
        <v>396</v>
      </c>
    </row>
    <row r="16" spans="1:12" x14ac:dyDescent="0.25">
      <c r="A16" t="s">
        <v>31</v>
      </c>
      <c r="B16">
        <f t="shared" si="1"/>
        <v>303</v>
      </c>
      <c r="C16">
        <f t="shared" si="2"/>
        <v>279</v>
      </c>
      <c r="D16">
        <f t="shared" si="3"/>
        <v>304</v>
      </c>
      <c r="E16">
        <f t="shared" si="4"/>
        <v>403</v>
      </c>
    </row>
    <row r="17" spans="1:5" x14ac:dyDescent="0.25">
      <c r="A17" t="s">
        <v>32</v>
      </c>
      <c r="B17">
        <f t="shared" si="1"/>
        <v>309</v>
      </c>
      <c r="C17">
        <f t="shared" si="2"/>
        <v>286</v>
      </c>
      <c r="D17">
        <f t="shared" si="3"/>
        <v>313</v>
      </c>
      <c r="E17">
        <f t="shared" si="4"/>
        <v>411</v>
      </c>
    </row>
    <row r="18" spans="1:5" x14ac:dyDescent="0.25">
      <c r="A18" t="s">
        <v>33</v>
      </c>
      <c r="B18">
        <f t="shared" si="1"/>
        <v>315</v>
      </c>
      <c r="C18">
        <f t="shared" si="2"/>
        <v>293</v>
      </c>
      <c r="D18">
        <f t="shared" si="3"/>
        <v>322</v>
      </c>
      <c r="E18">
        <f t="shared" si="4"/>
        <v>419</v>
      </c>
    </row>
    <row r="19" spans="1:5" x14ac:dyDescent="0.25">
      <c r="A19" t="s">
        <v>34</v>
      </c>
      <c r="B19">
        <f t="shared" si="1"/>
        <v>321</v>
      </c>
      <c r="C19">
        <f t="shared" si="2"/>
        <v>300</v>
      </c>
      <c r="D19">
        <f t="shared" si="3"/>
        <v>331</v>
      </c>
      <c r="E19">
        <f t="shared" si="4"/>
        <v>427</v>
      </c>
    </row>
    <row r="20" spans="1:5" x14ac:dyDescent="0.25">
      <c r="A20" t="s">
        <v>35</v>
      </c>
      <c r="B20">
        <f t="shared" si="1"/>
        <v>327</v>
      </c>
      <c r="C20">
        <f t="shared" si="2"/>
        <v>308</v>
      </c>
      <c r="D20">
        <f t="shared" si="3"/>
        <v>340</v>
      </c>
      <c r="E20">
        <f t="shared" si="4"/>
        <v>435</v>
      </c>
    </row>
    <row r="21" spans="1:5" x14ac:dyDescent="0.25">
      <c r="A21" t="s">
        <v>36</v>
      </c>
      <c r="B21">
        <f t="shared" si="1"/>
        <v>333</v>
      </c>
      <c r="C21">
        <f t="shared" si="2"/>
        <v>316</v>
      </c>
      <c r="D21">
        <f t="shared" si="3"/>
        <v>350</v>
      </c>
      <c r="E21">
        <f t="shared" si="4"/>
        <v>443</v>
      </c>
    </row>
    <row r="22" spans="1:5" x14ac:dyDescent="0.25">
      <c r="A22" s="1" t="s">
        <v>4</v>
      </c>
      <c r="B22">
        <v>333</v>
      </c>
      <c r="C22">
        <v>316</v>
      </c>
      <c r="D22">
        <v>350</v>
      </c>
      <c r="E22">
        <v>443</v>
      </c>
    </row>
    <row r="23" spans="1:5" x14ac:dyDescent="0.25">
      <c r="A23" s="1" t="s">
        <v>5</v>
      </c>
      <c r="B23">
        <v>333</v>
      </c>
      <c r="C23">
        <v>316</v>
      </c>
      <c r="D23">
        <v>350</v>
      </c>
      <c r="E23">
        <v>443</v>
      </c>
    </row>
    <row r="24" spans="1:5" x14ac:dyDescent="0.25">
      <c r="A24" s="1" t="s">
        <v>6</v>
      </c>
      <c r="B24">
        <v>333</v>
      </c>
      <c r="C24">
        <v>316</v>
      </c>
      <c r="D24">
        <v>350</v>
      </c>
      <c r="E24">
        <v>443</v>
      </c>
    </row>
    <row r="25" spans="1:5" x14ac:dyDescent="0.25">
      <c r="A25" s="1" t="s">
        <v>7</v>
      </c>
      <c r="B25">
        <v>333</v>
      </c>
      <c r="C25">
        <v>316</v>
      </c>
      <c r="D25">
        <v>350</v>
      </c>
      <c r="E25">
        <v>443</v>
      </c>
    </row>
    <row r="26" spans="1:5" x14ac:dyDescent="0.25">
      <c r="A26" t="s">
        <v>8</v>
      </c>
      <c r="B26">
        <f>ROUNDDOWN(B25*0.99,0)</f>
        <v>329</v>
      </c>
      <c r="C26">
        <f>ROUNDDOWN(C25*0.988,0)</f>
        <v>312</v>
      </c>
      <c r="D26">
        <f>ROUNDDOWN(D25*0.981,0)</f>
        <v>343</v>
      </c>
      <c r="E26">
        <f>ROUNDDOWN(E25*0.975,0)</f>
        <v>431</v>
      </c>
    </row>
    <row r="27" spans="1:5" x14ac:dyDescent="0.25">
      <c r="A27" t="s">
        <v>9</v>
      </c>
      <c r="B27">
        <f t="shared" ref="B27:B33" si="5">ROUNDDOWN(B26*0.99,0)</f>
        <v>325</v>
      </c>
      <c r="C27">
        <f t="shared" ref="C27:C33" si="6">ROUNDDOWN(C26*0.988,0)</f>
        <v>308</v>
      </c>
      <c r="D27">
        <f t="shared" ref="D27:D33" si="7">ROUNDDOWN(D26*0.981,0)</f>
        <v>336</v>
      </c>
      <c r="E27">
        <f t="shared" ref="E27:E33" si="8">ROUNDDOWN(E26*0.975,0)</f>
        <v>420</v>
      </c>
    </row>
    <row r="28" spans="1:5" x14ac:dyDescent="0.25">
      <c r="A28" t="s">
        <v>10</v>
      </c>
      <c r="B28">
        <f t="shared" si="5"/>
        <v>321</v>
      </c>
      <c r="C28">
        <f t="shared" si="6"/>
        <v>304</v>
      </c>
      <c r="D28">
        <f t="shared" si="7"/>
        <v>329</v>
      </c>
      <c r="E28">
        <f t="shared" si="8"/>
        <v>409</v>
      </c>
    </row>
    <row r="29" spans="1:5" x14ac:dyDescent="0.25">
      <c r="A29" s="2" t="s">
        <v>11</v>
      </c>
      <c r="B29" s="2">
        <f t="shared" si="5"/>
        <v>317</v>
      </c>
      <c r="C29" s="2">
        <f t="shared" si="6"/>
        <v>300</v>
      </c>
      <c r="D29" s="2">
        <f t="shared" si="7"/>
        <v>322</v>
      </c>
      <c r="E29" s="2">
        <f t="shared" si="8"/>
        <v>398</v>
      </c>
    </row>
    <row r="30" spans="1:5" x14ac:dyDescent="0.25">
      <c r="A30" t="s">
        <v>12</v>
      </c>
      <c r="B30">
        <f t="shared" si="5"/>
        <v>313</v>
      </c>
      <c r="C30">
        <f t="shared" si="6"/>
        <v>296</v>
      </c>
      <c r="D30">
        <f t="shared" si="7"/>
        <v>315</v>
      </c>
      <c r="E30">
        <f t="shared" si="8"/>
        <v>388</v>
      </c>
    </row>
    <row r="31" spans="1:5" x14ac:dyDescent="0.25">
      <c r="A31" t="s">
        <v>13</v>
      </c>
      <c r="B31">
        <f t="shared" si="5"/>
        <v>309</v>
      </c>
      <c r="C31">
        <f t="shared" si="6"/>
        <v>292</v>
      </c>
      <c r="D31">
        <f t="shared" si="7"/>
        <v>309</v>
      </c>
      <c r="E31">
        <f t="shared" si="8"/>
        <v>378</v>
      </c>
    </row>
    <row r="32" spans="1:5" x14ac:dyDescent="0.25">
      <c r="A32" t="s">
        <v>14</v>
      </c>
      <c r="B32">
        <f t="shared" si="5"/>
        <v>305</v>
      </c>
      <c r="C32">
        <f t="shared" si="6"/>
        <v>288</v>
      </c>
      <c r="D32">
        <f t="shared" si="7"/>
        <v>303</v>
      </c>
      <c r="E32">
        <f t="shared" si="8"/>
        <v>368</v>
      </c>
    </row>
    <row r="33" spans="1:5" x14ac:dyDescent="0.25">
      <c r="A33" t="s">
        <v>15</v>
      </c>
      <c r="B33">
        <f t="shared" si="5"/>
        <v>301</v>
      </c>
      <c r="C33">
        <f t="shared" si="6"/>
        <v>284</v>
      </c>
      <c r="D33">
        <f t="shared" si="7"/>
        <v>297</v>
      </c>
      <c r="E33">
        <f t="shared" si="8"/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E89E-F642-444A-87C5-FE35FCF41B4A}">
  <dimension ref="A1:I33"/>
  <sheetViews>
    <sheetView workbookViewId="0">
      <selection activeCell="H1" sqref="H1:I1"/>
    </sheetView>
  </sheetViews>
  <sheetFormatPr defaultRowHeight="15" x14ac:dyDescent="0.25"/>
  <cols>
    <col min="1" max="1" width="14.7109375" customWidth="1"/>
    <col min="9" max="9" width="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H1" t="s">
        <v>62</v>
      </c>
      <c r="I1">
        <f>SUM(B2:E25)</f>
        <v>29368</v>
      </c>
    </row>
    <row r="2" spans="1:9" x14ac:dyDescent="0.25">
      <c r="A2" t="s">
        <v>17</v>
      </c>
      <c r="B2">
        <v>237</v>
      </c>
      <c r="C2">
        <v>198</v>
      </c>
      <c r="D2">
        <v>207</v>
      </c>
      <c r="E2">
        <v>312</v>
      </c>
    </row>
    <row r="3" spans="1:9" x14ac:dyDescent="0.25">
      <c r="A3" t="s">
        <v>18</v>
      </c>
      <c r="B3">
        <f>ROUNDDOWN(B2*1.02,0)</f>
        <v>241</v>
      </c>
      <c r="C3">
        <f>ROUNDDOWN(C2*1.027,0)</f>
        <v>203</v>
      </c>
      <c r="D3">
        <f>ROUNDDOWN(D2*1.03,0)</f>
        <v>213</v>
      </c>
      <c r="E3">
        <f>ROUNDDOWN(E2*1.02,0)</f>
        <v>318</v>
      </c>
    </row>
    <row r="4" spans="1:9" x14ac:dyDescent="0.25">
      <c r="A4" t="s">
        <v>19</v>
      </c>
      <c r="B4">
        <f t="shared" ref="B4:B21" si="0">ROUNDDOWN(B3*1.02,0)</f>
        <v>245</v>
      </c>
      <c r="C4">
        <f t="shared" ref="C4:C21" si="1">ROUNDDOWN(C3*1.027,0)</f>
        <v>208</v>
      </c>
      <c r="D4">
        <f t="shared" ref="D4:D21" si="2">ROUNDDOWN(D3*1.03,0)</f>
        <v>219</v>
      </c>
      <c r="E4">
        <f t="shared" ref="E4:E21" si="3">ROUNDDOWN(E3*1.02,0)</f>
        <v>324</v>
      </c>
    </row>
    <row r="5" spans="1:9" x14ac:dyDescent="0.25">
      <c r="A5" t="s">
        <v>20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</row>
    <row r="6" spans="1:9" x14ac:dyDescent="0.25">
      <c r="A6" t="s">
        <v>21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</row>
    <row r="7" spans="1:9" x14ac:dyDescent="0.25">
      <c r="A7" t="s">
        <v>22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</row>
    <row r="8" spans="1:9" x14ac:dyDescent="0.25">
      <c r="A8" t="s">
        <v>23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</row>
    <row r="9" spans="1:9" x14ac:dyDescent="0.25">
      <c r="A9" t="s">
        <v>24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</row>
    <row r="10" spans="1:9" x14ac:dyDescent="0.25">
      <c r="A10" t="s">
        <v>25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9" x14ac:dyDescent="0.25">
      <c r="A11" t="s">
        <v>26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9" x14ac:dyDescent="0.25">
      <c r="A12" t="s">
        <v>27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9" x14ac:dyDescent="0.25">
      <c r="A13" t="s">
        <v>28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9" x14ac:dyDescent="0.25">
      <c r="A14" t="s">
        <v>29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9" x14ac:dyDescent="0.25">
      <c r="A15" t="s">
        <v>30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9" x14ac:dyDescent="0.25">
      <c r="A16" t="s">
        <v>31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t="s">
        <v>32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t="s">
        <v>33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t="s">
        <v>34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t="s">
        <v>35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t="s">
        <v>36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1" t="s">
        <v>4</v>
      </c>
      <c r="B22">
        <v>333</v>
      </c>
      <c r="C22">
        <v>316</v>
      </c>
      <c r="D22">
        <v>350</v>
      </c>
      <c r="E22">
        <v>443</v>
      </c>
    </row>
    <row r="23" spans="1:5" x14ac:dyDescent="0.25">
      <c r="A23" s="1" t="s">
        <v>5</v>
      </c>
      <c r="B23">
        <v>333</v>
      </c>
      <c r="C23">
        <v>316</v>
      </c>
      <c r="D23">
        <v>350</v>
      </c>
      <c r="E23">
        <v>443</v>
      </c>
    </row>
    <row r="24" spans="1:5" x14ac:dyDescent="0.25">
      <c r="A24" s="1" t="s">
        <v>6</v>
      </c>
      <c r="B24">
        <v>333</v>
      </c>
      <c r="C24">
        <v>316</v>
      </c>
      <c r="D24">
        <v>350</v>
      </c>
      <c r="E24">
        <v>443</v>
      </c>
    </row>
    <row r="25" spans="1:5" x14ac:dyDescent="0.25">
      <c r="A25" s="1" t="s">
        <v>7</v>
      </c>
      <c r="B25">
        <v>333</v>
      </c>
      <c r="C25">
        <v>316</v>
      </c>
      <c r="D25">
        <v>350</v>
      </c>
      <c r="E25">
        <v>443</v>
      </c>
    </row>
    <row r="26" spans="1:5" x14ac:dyDescent="0.25">
      <c r="A26" t="s">
        <v>8</v>
      </c>
      <c r="B26">
        <f>ROUNDDOWN(B25*0.99,0)</f>
        <v>329</v>
      </c>
      <c r="C26">
        <f>ROUNDDOWN(C25*0.988,0)</f>
        <v>312</v>
      </c>
      <c r="D26">
        <f>ROUNDDOWN(D25*0.981,0)</f>
        <v>343</v>
      </c>
      <c r="E26">
        <f>ROUNDDOWN(E25*0.975,0)</f>
        <v>431</v>
      </c>
    </row>
    <row r="27" spans="1:5" x14ac:dyDescent="0.25">
      <c r="A27" t="s">
        <v>9</v>
      </c>
      <c r="B27">
        <f t="shared" ref="B27:B33" si="4">ROUNDDOWN(B26*0.99,0)</f>
        <v>325</v>
      </c>
      <c r="C27">
        <f t="shared" ref="C27:C33" si="5">ROUNDDOWN(C26*0.988,0)</f>
        <v>308</v>
      </c>
      <c r="D27">
        <f t="shared" ref="D27:D33" si="6">ROUNDDOWN(D26*0.981,0)</f>
        <v>336</v>
      </c>
      <c r="E27">
        <f t="shared" ref="E27:E33" si="7">ROUNDDOWN(E26*0.975,0)</f>
        <v>420</v>
      </c>
    </row>
    <row r="28" spans="1:5" x14ac:dyDescent="0.25">
      <c r="A28" t="s">
        <v>10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409</v>
      </c>
    </row>
    <row r="29" spans="1:5" x14ac:dyDescent="0.25">
      <c r="A29" s="2" t="s">
        <v>11</v>
      </c>
      <c r="B29" s="2">
        <f t="shared" si="4"/>
        <v>317</v>
      </c>
      <c r="C29" s="2">
        <f t="shared" si="5"/>
        <v>300</v>
      </c>
      <c r="D29" s="2">
        <f t="shared" si="6"/>
        <v>322</v>
      </c>
      <c r="E29" s="2">
        <f t="shared" si="7"/>
        <v>398</v>
      </c>
    </row>
    <row r="30" spans="1:5" x14ac:dyDescent="0.25">
      <c r="A30" t="s">
        <v>12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388</v>
      </c>
    </row>
    <row r="31" spans="1:5" x14ac:dyDescent="0.25">
      <c r="A31" t="s">
        <v>13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378</v>
      </c>
    </row>
    <row r="32" spans="1:5" x14ac:dyDescent="0.25">
      <c r="A32" t="s">
        <v>14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368</v>
      </c>
    </row>
    <row r="33" spans="1:5" x14ac:dyDescent="0.25">
      <c r="A33" t="s">
        <v>15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FD5F-E585-4CCD-83CB-810C008E61B0}">
  <dimension ref="A1:M33"/>
  <sheetViews>
    <sheetView tabSelected="1" workbookViewId="0">
      <selection activeCell="I2" sqref="I2"/>
    </sheetView>
  </sheetViews>
  <sheetFormatPr defaultRowHeight="15" x14ac:dyDescent="0.25"/>
  <cols>
    <col min="1" max="1" width="1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I1" t="s">
        <v>64</v>
      </c>
      <c r="J1" t="s">
        <v>1</v>
      </c>
      <c r="K1" t="s">
        <v>2</v>
      </c>
      <c r="L1" t="s">
        <v>3</v>
      </c>
      <c r="M1" t="s">
        <v>16</v>
      </c>
    </row>
    <row r="2" spans="1:13" x14ac:dyDescent="0.25">
      <c r="A2" t="s">
        <v>17</v>
      </c>
      <c r="B2">
        <v>237</v>
      </c>
      <c r="C2">
        <v>198</v>
      </c>
      <c r="D2">
        <v>207</v>
      </c>
      <c r="E2">
        <v>312</v>
      </c>
      <c r="I2">
        <v>2005</v>
      </c>
      <c r="J2">
        <v>972</v>
      </c>
      <c r="K2">
        <v>822</v>
      </c>
      <c r="L2">
        <v>864</v>
      </c>
      <c r="M2">
        <v>1284</v>
      </c>
    </row>
    <row r="3" spans="1:13" x14ac:dyDescent="0.25">
      <c r="A3" t="s">
        <v>18</v>
      </c>
      <c r="B3">
        <f>ROUNDDOWN(B2*1.02,0)</f>
        <v>241</v>
      </c>
      <c r="C3">
        <f>ROUNDDOWN(C2*1.027,0)</f>
        <v>203</v>
      </c>
      <c r="D3">
        <f>ROUNDDOWN(D2*1.03,0)</f>
        <v>213</v>
      </c>
      <c r="E3">
        <f>ROUNDDOWN(E2*1.02,0)</f>
        <v>318</v>
      </c>
      <c r="I3">
        <v>2006</v>
      </c>
      <c r="J3">
        <v>1042</v>
      </c>
      <c r="K3">
        <v>905</v>
      </c>
      <c r="L3">
        <v>963</v>
      </c>
      <c r="M3">
        <v>1380</v>
      </c>
    </row>
    <row r="4" spans="1:13" x14ac:dyDescent="0.25">
      <c r="A4" t="s">
        <v>19</v>
      </c>
      <c r="B4">
        <f t="shared" ref="B4:B21" si="0">ROUNDDOWN(B3*1.02,0)</f>
        <v>245</v>
      </c>
      <c r="C4">
        <f t="shared" ref="C4:C21" si="1">ROUNDDOWN(C3*1.027,0)</f>
        <v>208</v>
      </c>
      <c r="D4">
        <f t="shared" ref="D4:D21" si="2">ROUNDDOWN(D3*1.03,0)</f>
        <v>219</v>
      </c>
      <c r="E4">
        <f t="shared" ref="E4:E21" si="3">ROUNDDOWN(E3*1.02,0)</f>
        <v>324</v>
      </c>
      <c r="I4">
        <v>2007</v>
      </c>
      <c r="J4">
        <v>1122</v>
      </c>
      <c r="K4">
        <v>1000</v>
      </c>
      <c r="L4">
        <v>1075</v>
      </c>
      <c r="M4">
        <v>1486</v>
      </c>
    </row>
    <row r="5" spans="1:13" x14ac:dyDescent="0.25">
      <c r="A5" t="s">
        <v>20</v>
      </c>
      <c r="B5">
        <f t="shared" si="0"/>
        <v>249</v>
      </c>
      <c r="C5">
        <f t="shared" si="1"/>
        <v>213</v>
      </c>
      <c r="D5">
        <f t="shared" si="2"/>
        <v>225</v>
      </c>
      <c r="E5">
        <f t="shared" si="3"/>
        <v>330</v>
      </c>
      <c r="I5">
        <v>2008</v>
      </c>
      <c r="J5">
        <v>1203</v>
      </c>
      <c r="K5">
        <v>1102</v>
      </c>
      <c r="L5">
        <v>1201</v>
      </c>
      <c r="M5">
        <v>1599</v>
      </c>
    </row>
    <row r="6" spans="1:13" x14ac:dyDescent="0.25">
      <c r="A6" t="s">
        <v>21</v>
      </c>
      <c r="B6">
        <f t="shared" si="0"/>
        <v>253</v>
      </c>
      <c r="C6">
        <f t="shared" si="1"/>
        <v>218</v>
      </c>
      <c r="D6">
        <f t="shared" si="2"/>
        <v>231</v>
      </c>
      <c r="E6">
        <f t="shared" si="3"/>
        <v>336</v>
      </c>
      <c r="I6">
        <v>2009</v>
      </c>
      <c r="J6">
        <v>1296</v>
      </c>
      <c r="K6">
        <v>1217</v>
      </c>
      <c r="L6">
        <v>1343</v>
      </c>
      <c r="M6">
        <v>1724</v>
      </c>
    </row>
    <row r="7" spans="1:13" x14ac:dyDescent="0.25">
      <c r="A7" t="s">
        <v>22</v>
      </c>
      <c r="B7">
        <f t="shared" si="0"/>
        <v>258</v>
      </c>
      <c r="C7">
        <f t="shared" si="1"/>
        <v>223</v>
      </c>
      <c r="D7">
        <f t="shared" si="2"/>
        <v>237</v>
      </c>
      <c r="E7">
        <f t="shared" si="3"/>
        <v>342</v>
      </c>
      <c r="I7">
        <v>2010</v>
      </c>
      <c r="J7">
        <v>1332</v>
      </c>
      <c r="K7">
        <v>1264</v>
      </c>
      <c r="L7">
        <v>1400</v>
      </c>
      <c r="M7">
        <v>1732</v>
      </c>
    </row>
    <row r="8" spans="1:13" x14ac:dyDescent="0.25">
      <c r="A8" t="s">
        <v>23</v>
      </c>
      <c r="B8">
        <f t="shared" si="0"/>
        <v>263</v>
      </c>
      <c r="C8">
        <f t="shared" si="1"/>
        <v>229</v>
      </c>
      <c r="D8">
        <f t="shared" si="2"/>
        <v>244</v>
      </c>
      <c r="E8">
        <f t="shared" si="3"/>
        <v>348</v>
      </c>
      <c r="I8">
        <v>2011</v>
      </c>
      <c r="J8">
        <v>1292</v>
      </c>
      <c r="K8">
        <v>1224</v>
      </c>
      <c r="L8">
        <v>1330</v>
      </c>
      <c r="M8">
        <v>1623</v>
      </c>
    </row>
    <row r="9" spans="1:13" x14ac:dyDescent="0.25">
      <c r="A9" t="s">
        <v>24</v>
      </c>
      <c r="B9">
        <f t="shared" si="0"/>
        <v>268</v>
      </c>
      <c r="C9">
        <f t="shared" si="1"/>
        <v>235</v>
      </c>
      <c r="D9">
        <f t="shared" si="2"/>
        <v>251</v>
      </c>
      <c r="E9">
        <f t="shared" si="3"/>
        <v>354</v>
      </c>
      <c r="I9">
        <v>2012</v>
      </c>
      <c r="J9">
        <v>1228</v>
      </c>
      <c r="K9">
        <v>1160</v>
      </c>
      <c r="L9">
        <v>1224</v>
      </c>
      <c r="M9">
        <v>1461</v>
      </c>
    </row>
    <row r="10" spans="1:13" x14ac:dyDescent="0.25">
      <c r="A10" t="s">
        <v>25</v>
      </c>
      <c r="B10">
        <f t="shared" si="0"/>
        <v>273</v>
      </c>
      <c r="C10">
        <f t="shared" si="1"/>
        <v>241</v>
      </c>
      <c r="D10">
        <f t="shared" si="2"/>
        <v>258</v>
      </c>
      <c r="E10">
        <f t="shared" si="3"/>
        <v>361</v>
      </c>
    </row>
    <row r="11" spans="1:13" x14ac:dyDescent="0.25">
      <c r="A11" t="s">
        <v>26</v>
      </c>
      <c r="B11">
        <f t="shared" si="0"/>
        <v>278</v>
      </c>
      <c r="C11">
        <f t="shared" si="1"/>
        <v>247</v>
      </c>
      <c r="D11">
        <f t="shared" si="2"/>
        <v>265</v>
      </c>
      <c r="E11">
        <f t="shared" si="3"/>
        <v>368</v>
      </c>
    </row>
    <row r="12" spans="1:13" x14ac:dyDescent="0.25">
      <c r="A12" t="s">
        <v>27</v>
      </c>
      <c r="B12">
        <f t="shared" si="0"/>
        <v>283</v>
      </c>
      <c r="C12">
        <f t="shared" si="1"/>
        <v>253</v>
      </c>
      <c r="D12">
        <f t="shared" si="2"/>
        <v>272</v>
      </c>
      <c r="E12">
        <f t="shared" si="3"/>
        <v>375</v>
      </c>
    </row>
    <row r="13" spans="1:13" x14ac:dyDescent="0.25">
      <c r="A13" t="s">
        <v>28</v>
      </c>
      <c r="B13">
        <f t="shared" si="0"/>
        <v>288</v>
      </c>
      <c r="C13">
        <f t="shared" si="1"/>
        <v>259</v>
      </c>
      <c r="D13">
        <f t="shared" si="2"/>
        <v>280</v>
      </c>
      <c r="E13">
        <f t="shared" si="3"/>
        <v>382</v>
      </c>
    </row>
    <row r="14" spans="1:13" x14ac:dyDescent="0.25">
      <c r="A14" t="s">
        <v>29</v>
      </c>
      <c r="B14">
        <f t="shared" si="0"/>
        <v>293</v>
      </c>
      <c r="C14">
        <f t="shared" si="1"/>
        <v>265</v>
      </c>
      <c r="D14">
        <f t="shared" si="2"/>
        <v>288</v>
      </c>
      <c r="E14">
        <f t="shared" si="3"/>
        <v>389</v>
      </c>
    </row>
    <row r="15" spans="1:13" x14ac:dyDescent="0.25">
      <c r="A15" t="s">
        <v>30</v>
      </c>
      <c r="B15">
        <f t="shared" si="0"/>
        <v>298</v>
      </c>
      <c r="C15">
        <f t="shared" si="1"/>
        <v>272</v>
      </c>
      <c r="D15">
        <f t="shared" si="2"/>
        <v>296</v>
      </c>
      <c r="E15">
        <f t="shared" si="3"/>
        <v>396</v>
      </c>
    </row>
    <row r="16" spans="1:13" x14ac:dyDescent="0.25">
      <c r="A16" t="s">
        <v>31</v>
      </c>
      <c r="B16">
        <f t="shared" si="0"/>
        <v>303</v>
      </c>
      <c r="C16">
        <f t="shared" si="1"/>
        <v>279</v>
      </c>
      <c r="D16">
        <f t="shared" si="2"/>
        <v>304</v>
      </c>
      <c r="E16">
        <f t="shared" si="3"/>
        <v>403</v>
      </c>
    </row>
    <row r="17" spans="1:5" x14ac:dyDescent="0.25">
      <c r="A17" t="s">
        <v>32</v>
      </c>
      <c r="B17">
        <f t="shared" si="0"/>
        <v>309</v>
      </c>
      <c r="C17">
        <f t="shared" si="1"/>
        <v>286</v>
      </c>
      <c r="D17">
        <f t="shared" si="2"/>
        <v>313</v>
      </c>
      <c r="E17">
        <f t="shared" si="3"/>
        <v>411</v>
      </c>
    </row>
    <row r="18" spans="1:5" x14ac:dyDescent="0.25">
      <c r="A18" t="s">
        <v>33</v>
      </c>
      <c r="B18">
        <f t="shared" si="0"/>
        <v>315</v>
      </c>
      <c r="C18">
        <f t="shared" si="1"/>
        <v>293</v>
      </c>
      <c r="D18">
        <f t="shared" si="2"/>
        <v>322</v>
      </c>
      <c r="E18">
        <f t="shared" si="3"/>
        <v>419</v>
      </c>
    </row>
    <row r="19" spans="1:5" x14ac:dyDescent="0.25">
      <c r="A19" t="s">
        <v>34</v>
      </c>
      <c r="B19">
        <f t="shared" si="0"/>
        <v>321</v>
      </c>
      <c r="C19">
        <f t="shared" si="1"/>
        <v>300</v>
      </c>
      <c r="D19">
        <f t="shared" si="2"/>
        <v>331</v>
      </c>
      <c r="E19">
        <f t="shared" si="3"/>
        <v>427</v>
      </c>
    </row>
    <row r="20" spans="1:5" x14ac:dyDescent="0.25">
      <c r="A20" t="s">
        <v>35</v>
      </c>
      <c r="B20">
        <f t="shared" si="0"/>
        <v>327</v>
      </c>
      <c r="C20">
        <f t="shared" si="1"/>
        <v>308</v>
      </c>
      <c r="D20">
        <f t="shared" si="2"/>
        <v>340</v>
      </c>
      <c r="E20">
        <f t="shared" si="3"/>
        <v>435</v>
      </c>
    </row>
    <row r="21" spans="1:5" x14ac:dyDescent="0.25">
      <c r="A21" t="s">
        <v>36</v>
      </c>
      <c r="B21">
        <f t="shared" si="0"/>
        <v>333</v>
      </c>
      <c r="C21">
        <f t="shared" si="1"/>
        <v>316</v>
      </c>
      <c r="D21">
        <f t="shared" si="2"/>
        <v>350</v>
      </c>
      <c r="E21">
        <f t="shared" si="3"/>
        <v>443</v>
      </c>
    </row>
    <row r="22" spans="1:5" x14ac:dyDescent="0.25">
      <c r="A22" s="1" t="s">
        <v>4</v>
      </c>
      <c r="B22">
        <v>333</v>
      </c>
      <c r="C22">
        <v>316</v>
      </c>
      <c r="D22">
        <v>350</v>
      </c>
      <c r="E22">
        <v>443</v>
      </c>
    </row>
    <row r="23" spans="1:5" x14ac:dyDescent="0.25">
      <c r="A23" s="1" t="s">
        <v>5</v>
      </c>
      <c r="B23">
        <v>333</v>
      </c>
      <c r="C23">
        <v>316</v>
      </c>
      <c r="D23">
        <v>350</v>
      </c>
      <c r="E23">
        <v>443</v>
      </c>
    </row>
    <row r="24" spans="1:5" x14ac:dyDescent="0.25">
      <c r="A24" s="1" t="s">
        <v>6</v>
      </c>
      <c r="B24">
        <v>333</v>
      </c>
      <c r="C24">
        <v>316</v>
      </c>
      <c r="D24">
        <v>350</v>
      </c>
      <c r="E24">
        <v>443</v>
      </c>
    </row>
    <row r="25" spans="1:5" x14ac:dyDescent="0.25">
      <c r="A25" s="1" t="s">
        <v>7</v>
      </c>
      <c r="B25">
        <v>333</v>
      </c>
      <c r="C25">
        <v>316</v>
      </c>
      <c r="D25">
        <v>350</v>
      </c>
      <c r="E25">
        <v>443</v>
      </c>
    </row>
    <row r="26" spans="1:5" x14ac:dyDescent="0.25">
      <c r="A26" t="s">
        <v>8</v>
      </c>
      <c r="B26">
        <f>ROUNDDOWN(B25*0.99,0)</f>
        <v>329</v>
      </c>
      <c r="C26">
        <f>ROUNDDOWN(C25*0.988,0)</f>
        <v>312</v>
      </c>
      <c r="D26">
        <f>ROUNDDOWN(D25*0.981,0)</f>
        <v>343</v>
      </c>
      <c r="E26">
        <f>ROUNDDOWN(E25*0.975,0)</f>
        <v>431</v>
      </c>
    </row>
    <row r="27" spans="1:5" x14ac:dyDescent="0.25">
      <c r="A27" t="s">
        <v>9</v>
      </c>
      <c r="B27">
        <f t="shared" ref="B27:B33" si="4">ROUNDDOWN(B26*0.99,0)</f>
        <v>325</v>
      </c>
      <c r="C27">
        <f t="shared" ref="C27:C33" si="5">ROUNDDOWN(C26*0.988,0)</f>
        <v>308</v>
      </c>
      <c r="D27">
        <f t="shared" ref="D27:D33" si="6">ROUNDDOWN(D26*0.981,0)</f>
        <v>336</v>
      </c>
      <c r="E27">
        <f t="shared" ref="E27:E33" si="7">ROUNDDOWN(E26*0.975,0)</f>
        <v>420</v>
      </c>
    </row>
    <row r="28" spans="1:5" x14ac:dyDescent="0.25">
      <c r="A28" t="s">
        <v>10</v>
      </c>
      <c r="B28">
        <f t="shared" si="4"/>
        <v>321</v>
      </c>
      <c r="C28">
        <f t="shared" si="5"/>
        <v>304</v>
      </c>
      <c r="D28">
        <f t="shared" si="6"/>
        <v>329</v>
      </c>
      <c r="E28">
        <f t="shared" si="7"/>
        <v>409</v>
      </c>
    </row>
    <row r="29" spans="1:5" x14ac:dyDescent="0.25">
      <c r="A29" s="2" t="s">
        <v>11</v>
      </c>
      <c r="B29" s="2">
        <f t="shared" si="4"/>
        <v>317</v>
      </c>
      <c r="C29" s="2">
        <f t="shared" si="5"/>
        <v>300</v>
      </c>
      <c r="D29" s="2">
        <f t="shared" si="6"/>
        <v>322</v>
      </c>
      <c r="E29" s="2">
        <f t="shared" si="7"/>
        <v>398</v>
      </c>
    </row>
    <row r="30" spans="1:5" x14ac:dyDescent="0.25">
      <c r="A30" t="s">
        <v>12</v>
      </c>
      <c r="B30">
        <f t="shared" si="4"/>
        <v>313</v>
      </c>
      <c r="C30">
        <f t="shared" si="5"/>
        <v>296</v>
      </c>
      <c r="D30">
        <f t="shared" si="6"/>
        <v>315</v>
      </c>
      <c r="E30">
        <f t="shared" si="7"/>
        <v>388</v>
      </c>
    </row>
    <row r="31" spans="1:5" x14ac:dyDescent="0.25">
      <c r="A31" t="s">
        <v>13</v>
      </c>
      <c r="B31">
        <f t="shared" si="4"/>
        <v>309</v>
      </c>
      <c r="C31">
        <f t="shared" si="5"/>
        <v>292</v>
      </c>
      <c r="D31">
        <f t="shared" si="6"/>
        <v>309</v>
      </c>
      <c r="E31">
        <f t="shared" si="7"/>
        <v>378</v>
      </c>
    </row>
    <row r="32" spans="1:5" x14ac:dyDescent="0.25">
      <c r="A32" t="s">
        <v>14</v>
      </c>
      <c r="B32">
        <f t="shared" si="4"/>
        <v>305</v>
      </c>
      <c r="C32">
        <f t="shared" si="5"/>
        <v>288</v>
      </c>
      <c r="D32">
        <f t="shared" si="6"/>
        <v>303</v>
      </c>
      <c r="E32">
        <f t="shared" si="7"/>
        <v>368</v>
      </c>
    </row>
    <row r="33" spans="1:5" x14ac:dyDescent="0.25">
      <c r="A33" t="s">
        <v>15</v>
      </c>
      <c r="B33">
        <f t="shared" si="4"/>
        <v>301</v>
      </c>
      <c r="C33">
        <f t="shared" si="5"/>
        <v>284</v>
      </c>
      <c r="D33">
        <f t="shared" si="6"/>
        <v>297</v>
      </c>
      <c r="E33">
        <f t="shared" si="7"/>
        <v>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ODP_4_1</vt:lpstr>
      <vt:lpstr>ODP_4_2</vt:lpstr>
      <vt:lpstr>ODP_4_3</vt:lpstr>
      <vt:lpstr>ODP_4_4</vt:lpstr>
      <vt:lpstr>ODP_4_5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2024-12-13T16:53:50Z</dcterms:modified>
</cp:coreProperties>
</file>